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adec-Claude\proyectos\sesión 5\"/>
    </mc:Choice>
  </mc:AlternateContent>
  <xr:revisionPtr revIDLastSave="0" documentId="13_ncr:1_{C6C39210-9A7F-48CB-A62F-F25AB5754BA0}" xr6:coauthVersionLast="47" xr6:coauthVersionMax="47" xr10:uidLastSave="{00000000-0000-0000-0000-000000000000}"/>
  <bookViews>
    <workbookView xWindow="-108" yWindow="-108" windowWidth="23256" windowHeight="12456" firstSheet="8" activeTab="11" xr2:uid="{00000000-000D-0000-FFFF-FFFF00000000}"/>
  </bookViews>
  <sheets>
    <sheet name="ENTREGABLES" sheetId="11" r:id="rId1"/>
    <sheet name="Sites Master" sheetId="1" r:id="rId2"/>
    <sheet name="Financials (USD)" sheetId="2" r:id="rId3"/>
    <sheet name="Resource Master" sheetId="3" r:id="rId4"/>
    <sheet name="Implementation Phases" sheetId="4" r:id="rId5"/>
    <sheet name="Phase-Resource Allocation" sheetId="5" r:id="rId6"/>
    <sheet name="00_README" sheetId="12" r:id="rId7"/>
    <sheet name="01_INPUTS" sheetId="13" r:id="rId8"/>
    <sheet name="02_SCHEDULE" sheetId="14" r:id="rId9"/>
    <sheet name="03_RESOURCES" sheetId="15" r:id="rId10"/>
    <sheet name="04_COSTS" sheetId="16" r:id="rId11"/>
    <sheet name="05_DASHBOARD" sheetId="17" r:id="rId12"/>
    <sheet name="06_SITE_VIEW" sheetId="18" r:id="rId13"/>
    <sheet name="07_SCENARIOS" sheetId="19" r:id="rId14"/>
  </sheets>
  <definedNames>
    <definedName name="_xlnm._FilterDatabase" localSheetId="4" hidden="1">'Implementation Phases'!$A$1:$E$65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3" l="1"/>
  <c r="C11" i="13"/>
  <c r="C9" i="13"/>
  <c r="C8" i="13"/>
  <c r="C10" i="13"/>
  <c r="H88" i="17"/>
  <c r="G88" i="17"/>
  <c r="F88" i="17"/>
  <c r="H87" i="17"/>
  <c r="G87" i="17"/>
  <c r="F87" i="17"/>
  <c r="H86" i="17"/>
  <c r="G86" i="17"/>
  <c r="F86" i="17"/>
  <c r="H85" i="17"/>
  <c r="G85" i="17"/>
  <c r="F85" i="17"/>
  <c r="H84" i="17"/>
  <c r="G84" i="17"/>
  <c r="F84" i="17"/>
  <c r="H83" i="17"/>
  <c r="G83" i="17"/>
  <c r="F83" i="17"/>
  <c r="H82" i="17"/>
  <c r="G82" i="17"/>
  <c r="F82" i="17"/>
  <c r="H81" i="17"/>
  <c r="G81" i="17"/>
  <c r="F81" i="17"/>
  <c r="H80" i="17"/>
  <c r="G80" i="17"/>
  <c r="F80" i="17"/>
  <c r="H79" i="17"/>
  <c r="G79" i="17"/>
  <c r="F79" i="17"/>
  <c r="H78" i="17"/>
  <c r="G78" i="17"/>
  <c r="F78" i="17"/>
  <c r="H77" i="17"/>
  <c r="G77" i="17"/>
  <c r="F77" i="17"/>
  <c r="H76" i="17"/>
  <c r="G76" i="17"/>
  <c r="F76" i="17"/>
  <c r="H75" i="17"/>
  <c r="G75" i="17"/>
  <c r="F75" i="17"/>
  <c r="H74" i="17"/>
  <c r="H89" i="17" s="1"/>
  <c r="C93" i="17" s="1"/>
  <c r="G74" i="17"/>
  <c r="F74" i="17"/>
  <c r="C88" i="17"/>
  <c r="C87" i="17"/>
  <c r="C86" i="17"/>
  <c r="C85" i="17"/>
  <c r="C84" i="17"/>
  <c r="C83" i="17"/>
  <c r="C82" i="17"/>
  <c r="C81" i="17"/>
  <c r="C80" i="17"/>
  <c r="C79" i="17"/>
  <c r="C78" i="17"/>
  <c r="C77" i="17"/>
  <c r="C76" i="17"/>
  <c r="C75" i="17"/>
  <c r="C74" i="17"/>
  <c r="C89" i="17" s="1"/>
  <c r="C92" i="17" s="1"/>
  <c r="D70" i="17"/>
  <c r="C70" i="17"/>
  <c r="D69" i="17"/>
  <c r="C69" i="17"/>
  <c r="D68" i="17"/>
  <c r="C68" i="17"/>
  <c r="D67" i="17"/>
  <c r="C67" i="17"/>
  <c r="D66" i="17"/>
  <c r="C66" i="17"/>
  <c r="D65" i="17"/>
  <c r="C65" i="17"/>
  <c r="D64" i="17"/>
  <c r="C64" i="17"/>
  <c r="D63" i="17"/>
  <c r="C63" i="17"/>
  <c r="D62" i="17"/>
  <c r="C62" i="17"/>
  <c r="D61" i="17"/>
  <c r="C61" i="17"/>
  <c r="D60" i="17"/>
  <c r="C60" i="17"/>
  <c r="D59" i="17"/>
  <c r="C59" i="17"/>
  <c r="D58" i="17"/>
  <c r="C58" i="17"/>
  <c r="D57" i="17"/>
  <c r="C57" i="17"/>
  <c r="D56" i="17"/>
  <c r="C56" i="17"/>
  <c r="F37" i="17"/>
  <c r="D37" i="17"/>
  <c r="L7" i="19"/>
  <c r="J34" i="17" s="1"/>
  <c r="K7" i="19"/>
  <c r="J7" i="19"/>
  <c r="J37" i="17" s="1"/>
  <c r="I7" i="19"/>
  <c r="L34" i="17" s="1"/>
  <c r="H7" i="19"/>
  <c r="H37" i="17" s="1"/>
  <c r="G7" i="19"/>
  <c r="F7" i="19"/>
  <c r="H34" i="17" s="1"/>
  <c r="E7" i="19"/>
  <c r="D7" i="19"/>
  <c r="C7" i="19"/>
  <c r="B34" i="17" s="1"/>
  <c r="B7" i="19"/>
  <c r="E49" i="13"/>
  <c r="E48" i="13"/>
  <c r="E47" i="13"/>
  <c r="E46" i="13"/>
  <c r="E45" i="13"/>
  <c r="E44" i="13"/>
  <c r="E43" i="13"/>
  <c r="E42" i="13"/>
  <c r="E41" i="13"/>
  <c r="E40" i="13"/>
  <c r="E39" i="13"/>
  <c r="E38" i="13"/>
  <c r="E37" i="13"/>
  <c r="E36" i="13"/>
  <c r="E35" i="13"/>
  <c r="C13" i="13"/>
  <c r="C6" i="13"/>
  <c r="B6" i="19" s="1"/>
  <c r="F203" i="15"/>
  <c r="F202" i="15"/>
  <c r="F201" i="15"/>
  <c r="F200" i="15"/>
  <c r="F199" i="15"/>
  <c r="F198" i="15"/>
  <c r="F197" i="15"/>
  <c r="F196" i="15"/>
  <c r="C192" i="15"/>
  <c r="B192" i="15"/>
  <c r="C191" i="15"/>
  <c r="B191" i="15"/>
  <c r="C190" i="15"/>
  <c r="B190" i="15"/>
  <c r="C189" i="15"/>
  <c r="B189" i="15"/>
  <c r="C188" i="15"/>
  <c r="B188" i="15"/>
  <c r="C187" i="15"/>
  <c r="B187" i="15"/>
  <c r="C186" i="15"/>
  <c r="B186" i="15"/>
  <c r="C185" i="15"/>
  <c r="B185" i="15"/>
  <c r="C184" i="15"/>
  <c r="B184" i="15"/>
  <c r="C183" i="15"/>
  <c r="B183" i="15"/>
  <c r="C182" i="15"/>
  <c r="B182" i="15"/>
  <c r="C181" i="15"/>
  <c r="B181" i="15"/>
  <c r="C180" i="15"/>
  <c r="B180" i="15"/>
  <c r="C179" i="15"/>
  <c r="B179" i="15"/>
  <c r="C178" i="15"/>
  <c r="B178"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B161" i="15"/>
  <c r="B162" i="15"/>
  <c r="B163" i="15"/>
  <c r="B164" i="15"/>
  <c r="B165" i="15"/>
  <c r="B166" i="15"/>
  <c r="B167" i="15"/>
  <c r="B168" i="15"/>
  <c r="B169" i="15"/>
  <c r="B170" i="15"/>
  <c r="B171" i="15"/>
  <c r="B172" i="15"/>
  <c r="B173" i="15"/>
  <c r="AD3" i="15"/>
  <c r="AD4" i="15"/>
  <c r="AD5" i="15"/>
  <c r="AD6" i="15"/>
  <c r="AD7" i="15"/>
  <c r="AD8" i="15"/>
  <c r="AD9" i="15"/>
  <c r="AD10" i="15"/>
  <c r="AD11" i="15"/>
  <c r="AD12" i="15"/>
  <c r="AD13" i="15"/>
  <c r="AD14" i="15"/>
  <c r="AD15" i="15"/>
  <c r="AD16" i="15"/>
  <c r="AD17" i="15"/>
  <c r="AD18" i="15"/>
  <c r="AD19" i="15"/>
  <c r="AD20" i="15"/>
  <c r="AD21" i="15"/>
  <c r="AD22" i="15"/>
  <c r="AD23" i="15"/>
  <c r="AD24" i="15"/>
  <c r="AD25" i="15"/>
  <c r="AD26" i="15"/>
  <c r="AD27" i="15"/>
  <c r="AD28" i="15"/>
  <c r="AD29" i="15"/>
  <c r="AD30" i="15"/>
  <c r="AD31" i="15"/>
  <c r="AD32" i="15"/>
  <c r="AD33" i="15"/>
  <c r="AD34" i="15"/>
  <c r="AD35" i="15"/>
  <c r="AD36" i="15"/>
  <c r="AD37" i="15"/>
  <c r="AD38" i="15"/>
  <c r="AD39" i="15"/>
  <c r="AD40" i="15"/>
  <c r="AD41" i="15"/>
  <c r="AD42" i="15"/>
  <c r="AD43" i="15"/>
  <c r="AD44" i="15"/>
  <c r="AD45" i="15"/>
  <c r="AD46" i="15"/>
  <c r="AD47" i="15"/>
  <c r="AD48" i="15"/>
  <c r="AD49" i="15"/>
  <c r="AD50" i="15"/>
  <c r="AD51" i="15"/>
  <c r="AD52" i="15"/>
  <c r="AD53" i="15"/>
  <c r="AD54" i="15"/>
  <c r="AD55" i="15"/>
  <c r="AD56" i="15"/>
  <c r="AD57" i="15"/>
  <c r="AD58" i="15"/>
  <c r="AD59" i="15"/>
  <c r="AD60" i="15"/>
  <c r="AD61" i="15"/>
  <c r="AD62" i="15"/>
  <c r="AD63" i="15"/>
  <c r="AD64" i="15"/>
  <c r="AD65" i="15"/>
  <c r="AD66" i="15"/>
  <c r="AD67" i="15"/>
  <c r="AD68" i="15"/>
  <c r="AD69" i="15"/>
  <c r="AD70" i="15"/>
  <c r="AD71" i="15"/>
  <c r="AD72" i="15"/>
  <c r="AD73" i="15"/>
  <c r="AD74" i="15"/>
  <c r="AD75" i="15"/>
  <c r="AD76" i="15"/>
  <c r="AD77" i="15"/>
  <c r="AD78" i="15"/>
  <c r="AD79" i="15"/>
  <c r="AD80" i="15"/>
  <c r="AD81" i="15"/>
  <c r="AD82" i="15"/>
  <c r="AD83" i="15"/>
  <c r="AD84" i="15"/>
  <c r="AD85" i="15"/>
  <c r="AD86" i="15"/>
  <c r="AD87" i="15"/>
  <c r="AD88" i="15"/>
  <c r="AD89" i="15"/>
  <c r="AD90" i="15"/>
  <c r="AD91" i="15"/>
  <c r="AD92" i="15"/>
  <c r="AD93" i="15"/>
  <c r="AD94" i="15"/>
  <c r="AD95" i="15"/>
  <c r="AD96" i="15"/>
  <c r="AD97" i="15"/>
  <c r="AD98" i="15"/>
  <c r="AD99" i="15"/>
  <c r="AD100" i="15"/>
  <c r="AD101" i="15"/>
  <c r="AD102" i="15"/>
  <c r="AD103" i="15"/>
  <c r="AD104" i="15"/>
  <c r="AD105" i="15"/>
  <c r="AD106" i="15"/>
  <c r="AD107" i="15"/>
  <c r="AD108" i="15"/>
  <c r="AD109" i="15"/>
  <c r="AD110" i="15"/>
  <c r="AD111" i="15"/>
  <c r="AD112" i="15"/>
  <c r="AD113" i="15"/>
  <c r="AD114" i="15"/>
  <c r="AD115" i="15"/>
  <c r="AD116" i="15"/>
  <c r="AD117" i="15"/>
  <c r="AD118" i="15"/>
  <c r="AD119" i="15"/>
  <c r="AD120" i="15"/>
  <c r="AD121" i="15"/>
  <c r="AD122" i="15"/>
  <c r="AD123" i="15"/>
  <c r="AD124" i="15"/>
  <c r="AD125" i="15"/>
  <c r="AD126" i="15"/>
  <c r="AD127" i="15"/>
  <c r="AD128" i="15"/>
  <c r="AD129" i="15"/>
  <c r="AD130" i="15"/>
  <c r="AD131" i="15"/>
  <c r="AD132" i="15"/>
  <c r="AD133" i="15"/>
  <c r="AD134" i="15"/>
  <c r="AD135" i="15"/>
  <c r="AD136" i="15"/>
  <c r="AD137" i="15"/>
  <c r="AD138" i="15"/>
  <c r="AD139" i="15"/>
  <c r="AD140" i="15"/>
  <c r="AD141" i="15"/>
  <c r="AD142" i="15"/>
  <c r="AD143" i="15"/>
  <c r="AD144" i="15"/>
  <c r="AD145" i="15"/>
  <c r="AD146" i="15"/>
  <c r="AD147" i="15"/>
  <c r="AD148" i="15"/>
  <c r="AD149" i="15"/>
  <c r="AD150" i="15"/>
  <c r="AD151" i="15"/>
  <c r="AD152" i="15"/>
  <c r="AD153" i="15"/>
  <c r="AD154" i="15"/>
  <c r="AD155" i="15"/>
  <c r="AD156" i="15"/>
  <c r="AD157" i="15"/>
  <c r="AD158" i="15"/>
  <c r="AD159" i="15"/>
  <c r="AD160" i="15"/>
  <c r="AD161" i="15"/>
  <c r="AD162" i="15"/>
  <c r="AD163" i="15"/>
  <c r="AD164" i="15"/>
  <c r="AD165" i="15"/>
  <c r="AD166" i="15"/>
  <c r="AD167" i="15"/>
  <c r="AD168" i="15"/>
  <c r="AD169" i="15"/>
  <c r="AD170" i="15"/>
  <c r="AD171" i="15"/>
  <c r="AD172" i="15"/>
  <c r="AD173" i="15"/>
  <c r="AD174" i="15"/>
  <c r="AD175" i="15"/>
  <c r="AD176" i="15"/>
  <c r="AD177" i="15"/>
  <c r="AD178" i="15"/>
  <c r="AD179" i="15"/>
  <c r="AD180" i="15"/>
  <c r="AD181" i="15"/>
  <c r="AD182" i="15"/>
  <c r="AD183" i="15"/>
  <c r="AD184" i="15"/>
  <c r="AD185" i="15"/>
  <c r="AD186" i="15"/>
  <c r="AD187" i="15"/>
  <c r="AD188" i="15"/>
  <c r="AD189" i="15"/>
  <c r="AD190" i="15"/>
  <c r="AD191" i="15"/>
  <c r="AD192" i="15"/>
  <c r="AD193" i="15"/>
  <c r="AD194" i="15"/>
  <c r="AD195" i="15"/>
  <c r="AD196" i="15"/>
  <c r="AD197" i="15"/>
  <c r="AD198" i="15"/>
  <c r="AD199" i="15"/>
  <c r="AD200" i="15"/>
  <c r="AD201" i="15"/>
  <c r="AD202" i="15"/>
  <c r="AD203" i="15"/>
  <c r="AD204" i="15"/>
  <c r="AD205" i="15"/>
  <c r="AD206" i="15"/>
  <c r="AD207" i="15"/>
  <c r="AD208" i="15"/>
  <c r="AD209" i="15"/>
  <c r="AD210" i="15"/>
  <c r="AD211" i="15"/>
  <c r="AD212" i="15"/>
  <c r="AD213" i="15"/>
  <c r="AD214" i="15"/>
  <c r="AD215" i="15"/>
  <c r="AD216" i="15"/>
  <c r="AD217" i="15"/>
  <c r="AD218" i="15"/>
  <c r="AD219" i="15"/>
  <c r="AD220" i="15"/>
  <c r="AD221" i="15"/>
  <c r="AD222" i="15"/>
  <c r="AD223" i="15"/>
  <c r="AD224" i="15"/>
  <c r="AD225" i="15"/>
  <c r="AD226" i="15"/>
  <c r="AD227" i="15"/>
  <c r="AD228" i="15"/>
  <c r="AD229" i="15"/>
  <c r="AD230" i="15"/>
  <c r="AD231" i="15"/>
  <c r="AD232" i="15"/>
  <c r="AD233" i="15"/>
  <c r="AD234" i="15"/>
  <c r="AD235" i="15"/>
  <c r="AD236" i="15"/>
  <c r="AD237" i="15"/>
  <c r="AD238" i="15"/>
  <c r="AD239" i="15"/>
  <c r="AD240" i="15"/>
  <c r="AD241" i="15"/>
  <c r="AD242" i="15"/>
  <c r="AD243" i="15"/>
  <c r="AD244" i="15"/>
  <c r="AD245" i="15"/>
  <c r="AD246" i="15"/>
  <c r="AD247" i="15"/>
  <c r="AD248" i="15"/>
  <c r="AD249" i="15"/>
  <c r="AD250" i="15"/>
  <c r="AD251" i="15"/>
  <c r="AD252" i="15"/>
  <c r="AD253" i="15"/>
  <c r="AD254" i="15"/>
  <c r="AD255" i="15"/>
  <c r="AD256" i="15"/>
  <c r="AD257" i="15"/>
  <c r="AD258" i="15"/>
  <c r="AD259" i="15"/>
  <c r="AD260" i="15"/>
  <c r="AD261" i="15"/>
  <c r="AD262" i="15"/>
  <c r="AD263" i="15"/>
  <c r="AD264" i="15"/>
  <c r="AD265" i="15"/>
  <c r="AD266" i="15"/>
  <c r="AD267" i="15"/>
  <c r="AD268" i="15"/>
  <c r="AD269" i="15"/>
  <c r="AD270" i="15"/>
  <c r="AD271" i="15"/>
  <c r="AD272" i="15"/>
  <c r="AD273" i="15"/>
  <c r="AD274" i="15"/>
  <c r="AD275" i="15"/>
  <c r="AD276" i="15"/>
  <c r="AD277" i="15"/>
  <c r="AD278" i="15"/>
  <c r="AD279" i="15"/>
  <c r="AD280" i="15"/>
  <c r="AD281" i="15"/>
  <c r="AD282" i="15"/>
  <c r="AD283" i="15"/>
  <c r="AD284" i="15"/>
  <c r="AD285" i="15"/>
  <c r="AD286" i="15"/>
  <c r="AD287" i="15"/>
  <c r="AD288" i="15"/>
  <c r="AD289" i="15"/>
  <c r="AD290" i="15"/>
  <c r="AD291" i="15"/>
  <c r="AD292" i="15"/>
  <c r="AD293" i="15"/>
  <c r="AD294" i="15"/>
  <c r="AD295" i="15"/>
  <c r="AD296" i="15"/>
  <c r="AD297" i="15"/>
  <c r="AD298" i="15"/>
  <c r="AD299" i="15"/>
  <c r="AD300" i="15"/>
  <c r="AD301" i="15"/>
  <c r="AD302" i="15"/>
  <c r="AD303" i="15"/>
  <c r="AD304" i="15"/>
  <c r="AD305" i="15"/>
  <c r="AD306" i="15"/>
  <c r="AD307" i="15"/>
  <c r="AD308" i="15"/>
  <c r="AD309" i="15"/>
  <c r="AD310" i="15"/>
  <c r="AD311" i="15"/>
  <c r="AD312" i="15"/>
  <c r="AD313" i="15"/>
  <c r="AD314" i="15"/>
  <c r="AD315" i="15"/>
  <c r="AD316" i="15"/>
  <c r="AD317" i="15"/>
  <c r="AD318" i="15"/>
  <c r="AD319" i="15"/>
  <c r="AD320" i="15"/>
  <c r="AD321" i="15"/>
  <c r="AD322" i="15"/>
  <c r="AD323" i="15"/>
  <c r="AD324" i="15"/>
  <c r="AD325" i="15"/>
  <c r="AD326" i="15"/>
  <c r="AD327" i="15"/>
  <c r="AD328" i="15"/>
  <c r="AD329" i="15"/>
  <c r="AD330" i="15"/>
  <c r="AD331" i="15"/>
  <c r="AD332" i="15"/>
  <c r="AD333" i="15"/>
  <c r="AD334" i="15"/>
  <c r="AD335" i="15"/>
  <c r="AD336" i="15"/>
  <c r="AD337" i="15"/>
  <c r="AD338" i="15"/>
  <c r="AD339" i="15"/>
  <c r="AD340" i="15"/>
  <c r="AD341" i="15"/>
  <c r="AD342" i="15"/>
  <c r="AD343" i="15"/>
  <c r="AD344" i="15"/>
  <c r="AD345" i="15"/>
  <c r="AD346" i="15"/>
  <c r="AD347" i="15"/>
  <c r="AD348" i="15"/>
  <c r="AD349" i="15"/>
  <c r="AD350" i="15"/>
  <c r="AD351" i="15"/>
  <c r="AD352" i="15"/>
  <c r="AD353" i="15"/>
  <c r="AD354" i="15"/>
  <c r="AD355" i="15"/>
  <c r="AD356" i="15"/>
  <c r="AD357" i="15"/>
  <c r="AD358" i="15"/>
  <c r="AD359" i="15"/>
  <c r="AD360" i="15"/>
  <c r="AD361" i="15"/>
  <c r="AD362" i="15"/>
  <c r="AD363" i="15"/>
  <c r="AD364" i="15"/>
  <c r="AD365" i="15"/>
  <c r="AD366" i="15"/>
  <c r="AD367" i="15"/>
  <c r="AD368" i="15"/>
  <c r="AD369" i="15"/>
  <c r="AD370" i="15"/>
  <c r="AD371" i="15"/>
  <c r="AD372" i="15"/>
  <c r="AD373" i="15"/>
  <c r="AD374" i="15"/>
  <c r="AD375" i="15"/>
  <c r="AD376" i="15"/>
  <c r="AD377" i="15"/>
  <c r="AD378" i="15"/>
  <c r="AD379" i="15"/>
  <c r="AD380" i="15"/>
  <c r="AD381" i="15"/>
  <c r="AD382" i="15"/>
  <c r="AD383" i="15"/>
  <c r="AD384" i="15"/>
  <c r="AD385" i="15"/>
  <c r="AD386" i="15"/>
  <c r="AD387" i="15"/>
  <c r="AD388" i="15"/>
  <c r="AD389" i="15"/>
  <c r="AD390" i="15"/>
  <c r="AD391" i="15"/>
  <c r="AD392" i="15"/>
  <c r="AD393" i="15"/>
  <c r="AD394" i="15"/>
  <c r="AD395" i="15"/>
  <c r="AD396" i="15"/>
  <c r="AD397" i="15"/>
  <c r="AD398" i="15"/>
  <c r="AD399" i="15"/>
  <c r="AD400" i="15"/>
  <c r="AD401" i="15"/>
  <c r="AD402" i="15"/>
  <c r="AD403" i="15"/>
  <c r="AD404" i="15"/>
  <c r="AD405" i="15"/>
  <c r="AD406" i="15"/>
  <c r="AD407" i="15"/>
  <c r="AD408" i="15"/>
  <c r="AD409" i="15"/>
  <c r="AD410" i="15"/>
  <c r="AD411" i="15"/>
  <c r="AD412" i="15"/>
  <c r="AD413" i="15"/>
  <c r="AD414" i="15"/>
  <c r="AD415" i="15"/>
  <c r="AD416" i="15"/>
  <c r="AD417" i="15"/>
  <c r="AD418" i="15"/>
  <c r="AD419" i="15"/>
  <c r="AD420" i="15"/>
  <c r="AD421" i="15"/>
  <c r="AD422" i="15"/>
  <c r="AD423" i="15"/>
  <c r="AD424" i="15"/>
  <c r="AD425" i="15"/>
  <c r="AD426" i="15"/>
  <c r="AD427" i="15"/>
  <c r="AD428" i="15"/>
  <c r="AD429" i="15"/>
  <c r="AD430" i="15"/>
  <c r="AD431" i="15"/>
  <c r="AD432" i="15"/>
  <c r="AD433" i="15"/>
  <c r="AD434" i="15"/>
  <c r="AD435" i="15"/>
  <c r="AD436" i="15"/>
  <c r="AD437" i="15"/>
  <c r="AD438" i="15"/>
  <c r="AD439" i="15"/>
  <c r="AD440" i="15"/>
  <c r="AD441" i="15"/>
  <c r="AD442" i="15"/>
  <c r="AD443" i="15"/>
  <c r="AD444" i="15"/>
  <c r="AD445" i="15"/>
  <c r="AD446" i="15"/>
  <c r="AD447" i="15"/>
  <c r="AD448" i="15"/>
  <c r="AD449" i="15"/>
  <c r="AD450" i="15"/>
  <c r="AD451" i="15"/>
  <c r="AD452" i="15"/>
  <c r="AD453" i="15"/>
  <c r="AD454" i="15"/>
  <c r="AD455" i="15"/>
  <c r="AD456" i="15"/>
  <c r="AD457" i="15"/>
  <c r="AD458" i="15"/>
  <c r="AD459" i="15"/>
  <c r="AD460" i="15"/>
  <c r="AD461" i="15"/>
  <c r="AD462" i="15"/>
  <c r="AD463" i="15"/>
  <c r="AD464" i="15"/>
  <c r="AD465" i="15"/>
  <c r="AD466" i="15"/>
  <c r="AD467" i="15"/>
  <c r="AD468" i="15"/>
  <c r="AD469" i="15"/>
  <c r="AD470" i="15"/>
  <c r="AD471" i="15"/>
  <c r="AD472" i="15"/>
  <c r="AD473" i="15"/>
  <c r="AD474" i="15"/>
  <c r="AD475" i="15"/>
  <c r="AD476" i="15"/>
  <c r="AD477" i="15"/>
  <c r="AD478" i="15"/>
  <c r="AD479" i="15"/>
  <c r="AD480" i="15"/>
  <c r="AD481" i="15"/>
  <c r="AD482" i="15"/>
  <c r="AD483" i="15"/>
  <c r="AD484" i="15"/>
  <c r="AD485" i="15"/>
  <c r="AD486" i="15"/>
  <c r="AD487" i="15"/>
  <c r="AD488" i="15"/>
  <c r="AD489" i="15"/>
  <c r="AD490" i="15"/>
  <c r="AD491" i="15"/>
  <c r="AD492" i="15"/>
  <c r="AD493" i="15"/>
  <c r="AD494" i="15"/>
  <c r="AD495" i="15"/>
  <c r="AD496" i="15"/>
  <c r="AD497" i="15"/>
  <c r="AD498" i="15"/>
  <c r="AD499" i="15"/>
  <c r="AD500" i="15"/>
  <c r="AD501" i="15"/>
  <c r="AD502" i="15"/>
  <c r="AD503" i="15"/>
  <c r="AD504" i="15"/>
  <c r="AD505" i="15"/>
  <c r="AD506" i="15"/>
  <c r="AD507" i="15"/>
  <c r="AD508" i="15"/>
  <c r="AD509" i="15"/>
  <c r="AD510" i="15"/>
  <c r="AD511" i="15"/>
  <c r="AD512" i="15"/>
  <c r="AD513" i="15"/>
  <c r="AD514" i="15"/>
  <c r="AD515" i="15"/>
  <c r="AD516" i="15"/>
  <c r="AD517" i="15"/>
  <c r="AD518" i="15"/>
  <c r="AD519" i="15"/>
  <c r="AD520" i="15"/>
  <c r="AD521" i="15"/>
  <c r="AD522" i="15"/>
  <c r="AD523" i="15"/>
  <c r="AD524" i="15"/>
  <c r="AD525" i="15"/>
  <c r="AD526" i="15"/>
  <c r="AD527" i="15"/>
  <c r="AD528" i="15"/>
  <c r="AD529" i="15"/>
  <c r="AD530" i="15"/>
  <c r="AD531" i="15"/>
  <c r="AD532" i="15"/>
  <c r="AD533" i="15"/>
  <c r="AD534" i="15"/>
  <c r="AD535" i="15"/>
  <c r="AD536" i="15"/>
  <c r="AD537" i="15"/>
  <c r="AD538" i="15"/>
  <c r="AD539" i="15"/>
  <c r="AD540" i="15"/>
  <c r="AD541" i="15"/>
  <c r="AD542" i="15"/>
  <c r="AD543" i="15"/>
  <c r="AD544" i="15"/>
  <c r="AD545" i="15"/>
  <c r="AD546" i="15"/>
  <c r="AD547" i="15"/>
  <c r="AD548" i="15"/>
  <c r="AD549" i="15"/>
  <c r="AD550" i="15"/>
  <c r="AD551" i="15"/>
  <c r="AD552" i="15"/>
  <c r="AD553" i="15"/>
  <c r="AD554" i="15"/>
  <c r="AD555" i="15"/>
  <c r="AD556" i="15"/>
  <c r="AD557" i="15"/>
  <c r="AD558" i="15"/>
  <c r="AD559" i="15"/>
  <c r="AD560" i="15"/>
  <c r="AD561" i="15"/>
  <c r="AD562" i="15"/>
  <c r="AD563" i="15"/>
  <c r="AD564" i="15"/>
  <c r="AD565" i="15"/>
  <c r="AD566" i="15"/>
  <c r="AD567" i="15"/>
  <c r="AD568" i="15"/>
  <c r="AD569" i="15"/>
  <c r="AD570" i="15"/>
  <c r="AD571" i="15"/>
  <c r="AD572" i="15"/>
  <c r="AD573" i="15"/>
  <c r="AD574" i="15"/>
  <c r="AD575" i="15"/>
  <c r="AD576" i="15"/>
  <c r="AD577" i="15"/>
  <c r="AD578" i="15"/>
  <c r="AD579" i="15"/>
  <c r="AD580" i="15"/>
  <c r="AD581" i="15"/>
  <c r="AD582" i="15"/>
  <c r="AD583" i="15"/>
  <c r="AD584" i="15"/>
  <c r="AD585" i="15"/>
  <c r="AD586" i="15"/>
  <c r="AD587" i="15"/>
  <c r="AD588" i="15"/>
  <c r="AD589" i="15"/>
  <c r="AD590" i="15"/>
  <c r="AD591" i="15"/>
  <c r="AD592" i="15"/>
  <c r="AD593" i="15"/>
  <c r="AD594" i="15"/>
  <c r="AD595" i="15"/>
  <c r="AD596" i="15"/>
  <c r="AD597" i="15"/>
  <c r="AD598" i="15"/>
  <c r="AD599" i="15"/>
  <c r="AD600" i="15"/>
  <c r="AD601" i="15"/>
  <c r="AD602" i="15"/>
  <c r="AD603" i="15"/>
  <c r="AD604" i="15"/>
  <c r="AD605" i="15"/>
  <c r="AD606" i="15"/>
  <c r="AD607" i="15"/>
  <c r="AD608" i="15"/>
  <c r="AD609" i="15"/>
  <c r="AD610" i="15"/>
  <c r="AD611" i="15"/>
  <c r="AD612" i="15"/>
  <c r="AD613" i="15"/>
  <c r="AD614" i="15"/>
  <c r="AD615" i="15"/>
  <c r="AD616" i="15"/>
  <c r="AD617" i="15"/>
  <c r="AD618" i="15"/>
  <c r="AD619" i="15"/>
  <c r="AD620" i="15"/>
  <c r="AD621" i="15"/>
  <c r="AD622" i="15"/>
  <c r="AD623" i="15"/>
  <c r="AD624" i="15"/>
  <c r="AD625" i="15"/>
  <c r="AD626" i="15"/>
  <c r="AD627" i="15"/>
  <c r="AD628" i="15"/>
  <c r="AD629" i="15"/>
  <c r="AD630" i="15"/>
  <c r="AD631" i="15"/>
  <c r="AD632" i="15"/>
  <c r="AD633" i="15"/>
  <c r="AD634" i="15"/>
  <c r="AD635" i="15"/>
  <c r="AD636" i="15"/>
  <c r="AD637" i="15"/>
  <c r="AD638" i="15"/>
  <c r="AD639" i="15"/>
  <c r="AD640" i="15"/>
  <c r="AD641" i="15"/>
  <c r="AD642" i="15"/>
  <c r="AD643" i="15"/>
  <c r="AD644" i="15"/>
  <c r="AD645" i="15"/>
  <c r="AD646" i="15"/>
  <c r="AD647" i="15"/>
  <c r="AD648" i="15"/>
  <c r="AD649" i="15"/>
  <c r="AD650" i="15"/>
  <c r="AD651" i="15"/>
  <c r="AD652" i="15"/>
  <c r="AD653" i="15"/>
  <c r="AD654" i="15"/>
  <c r="AD655" i="15"/>
  <c r="AD656" i="15"/>
  <c r="AD657" i="15"/>
  <c r="AD658" i="15"/>
  <c r="AD659" i="15"/>
  <c r="AD660" i="15"/>
  <c r="AD661" i="15"/>
  <c r="AD662" i="15"/>
  <c r="AD663" i="15"/>
  <c r="AD664" i="15"/>
  <c r="AD665" i="15"/>
  <c r="AD666" i="15"/>
  <c r="AD667" i="15"/>
  <c r="AD668" i="15"/>
  <c r="AD669" i="15"/>
  <c r="AD670" i="15"/>
  <c r="AD671" i="15"/>
  <c r="AD672" i="15"/>
  <c r="AD673" i="15"/>
  <c r="AD674" i="15"/>
  <c r="AD675" i="15"/>
  <c r="AD676" i="15"/>
  <c r="AD677" i="15"/>
  <c r="AD678" i="15"/>
  <c r="AD679" i="15"/>
  <c r="AD680" i="15"/>
  <c r="AD681" i="15"/>
  <c r="AD682" i="15"/>
  <c r="AD683" i="15"/>
  <c r="AD684" i="15"/>
  <c r="AD685" i="15"/>
  <c r="AD686" i="15"/>
  <c r="AD687" i="15"/>
  <c r="AD688" i="15"/>
  <c r="AD689" i="15"/>
  <c r="AD690" i="15"/>
  <c r="AD691" i="15"/>
  <c r="AD692" i="15"/>
  <c r="AD693" i="15"/>
  <c r="AD694" i="15"/>
  <c r="AD695" i="15"/>
  <c r="AD696" i="15"/>
  <c r="AD697" i="15"/>
  <c r="AD698" i="15"/>
  <c r="AD699" i="15"/>
  <c r="AD700" i="15"/>
  <c r="AD701" i="15"/>
  <c r="AD702" i="15"/>
  <c r="AD703" i="15"/>
  <c r="AD704" i="15"/>
  <c r="AD705" i="15"/>
  <c r="AD706" i="15"/>
  <c r="AD707" i="15"/>
  <c r="AD708" i="15"/>
  <c r="AD709" i="15"/>
  <c r="AD710" i="15"/>
  <c r="AD711" i="15"/>
  <c r="AD712" i="15"/>
  <c r="AD713" i="15"/>
  <c r="AD714" i="15"/>
  <c r="AD715" i="15"/>
  <c r="AD716" i="15"/>
  <c r="AD717" i="15"/>
  <c r="AD718" i="15"/>
  <c r="AD719" i="15"/>
  <c r="AD720" i="15"/>
  <c r="AD721" i="15"/>
  <c r="AD722" i="15"/>
  <c r="AD723" i="15"/>
  <c r="AD724" i="15"/>
  <c r="AD725" i="15"/>
  <c r="AD726" i="15"/>
  <c r="AD727" i="15"/>
  <c r="AD728" i="15"/>
  <c r="AD729" i="15"/>
  <c r="AD730" i="15"/>
  <c r="AD731" i="15"/>
  <c r="AD732" i="15"/>
  <c r="AD733" i="15"/>
  <c r="AD734" i="15"/>
  <c r="AD735" i="15"/>
  <c r="AD736" i="15"/>
  <c r="AD737" i="15"/>
  <c r="AD738" i="15"/>
  <c r="AD739" i="15"/>
  <c r="AD740" i="15"/>
  <c r="AD741" i="15"/>
  <c r="AD742" i="15"/>
  <c r="AD743" i="15"/>
  <c r="AD744" i="15"/>
  <c r="AD745" i="15"/>
  <c r="AD746" i="15"/>
  <c r="AD747" i="15"/>
  <c r="AD748" i="15"/>
  <c r="AD749" i="15"/>
  <c r="AD750" i="15"/>
  <c r="AD751" i="15"/>
  <c r="AD752" i="15"/>
  <c r="AD753" i="15"/>
  <c r="AD754" i="15"/>
  <c r="AD755" i="15"/>
  <c r="AD756" i="15"/>
  <c r="AD757" i="15"/>
  <c r="AD758" i="15"/>
  <c r="AD759" i="15"/>
  <c r="AD760" i="15"/>
  <c r="AD761" i="15"/>
  <c r="AD762" i="15"/>
  <c r="AD763" i="15"/>
  <c r="AD764" i="15"/>
  <c r="AD765" i="15"/>
  <c r="AD766" i="15"/>
  <c r="AD767" i="15"/>
  <c r="AD768" i="15"/>
  <c r="AD769" i="15"/>
  <c r="AD770" i="15"/>
  <c r="AD771" i="15"/>
  <c r="AD772" i="15"/>
  <c r="AD773" i="15"/>
  <c r="AD774" i="15"/>
  <c r="AD775" i="15"/>
  <c r="AD776" i="15"/>
  <c r="AD777" i="15"/>
  <c r="AD778" i="15"/>
  <c r="AD779" i="15"/>
  <c r="AD780" i="15"/>
  <c r="AD781" i="15"/>
  <c r="AD782" i="15"/>
  <c r="AD783" i="15"/>
  <c r="AD784" i="15"/>
  <c r="AD785" i="15"/>
  <c r="AD786" i="15"/>
  <c r="AD787" i="15"/>
  <c r="AD788" i="15"/>
  <c r="AD789" i="15"/>
  <c r="AD790" i="15"/>
  <c r="AD791" i="15"/>
  <c r="AD792" i="15"/>
  <c r="AD793" i="15"/>
  <c r="AD794" i="15"/>
  <c r="AD795" i="15"/>
  <c r="AD796" i="15"/>
  <c r="AD797" i="15"/>
  <c r="AD798" i="15"/>
  <c r="AD799" i="15"/>
  <c r="AD800" i="15"/>
  <c r="AD801" i="15"/>
  <c r="AD802" i="15"/>
  <c r="AD803" i="15"/>
  <c r="AD804" i="15"/>
  <c r="AD805" i="15"/>
  <c r="AD806" i="15"/>
  <c r="AD807" i="15"/>
  <c r="AD808" i="15"/>
  <c r="AD809" i="15"/>
  <c r="AD810" i="15"/>
  <c r="AD811" i="15"/>
  <c r="AD812" i="15"/>
  <c r="AD813" i="15"/>
  <c r="AD814" i="15"/>
  <c r="AD815" i="15"/>
  <c r="AD816" i="15"/>
  <c r="AD817" i="15"/>
  <c r="AD818" i="15"/>
  <c r="AD819" i="15"/>
  <c r="AD820" i="15"/>
  <c r="AD821" i="15"/>
  <c r="AD822" i="15"/>
  <c r="AD823" i="15"/>
  <c r="AD824" i="15"/>
  <c r="AD825" i="15"/>
  <c r="AD826" i="15"/>
  <c r="AD827" i="15"/>
  <c r="AD828" i="15"/>
  <c r="AD829" i="15"/>
  <c r="AD830" i="15"/>
  <c r="AD831" i="15"/>
  <c r="AD832" i="15"/>
  <c r="AD833" i="15"/>
  <c r="AD834" i="15"/>
  <c r="AD835" i="15"/>
  <c r="AD836" i="15"/>
  <c r="AD837" i="15"/>
  <c r="AD838" i="15"/>
  <c r="AD839" i="15"/>
  <c r="AD840" i="15"/>
  <c r="AD841" i="15"/>
  <c r="AD842" i="15"/>
  <c r="AD843" i="15"/>
  <c r="AD844" i="15"/>
  <c r="AD845" i="15"/>
  <c r="AD846" i="15"/>
  <c r="AD847" i="15"/>
  <c r="AD848" i="15"/>
  <c r="AD849" i="15"/>
  <c r="AD850" i="15"/>
  <c r="AD851" i="15"/>
  <c r="AD852" i="15"/>
  <c r="AD853" i="15"/>
  <c r="AD854" i="15"/>
  <c r="AD855" i="15"/>
  <c r="AD856" i="15"/>
  <c r="AD857" i="15"/>
  <c r="AD858" i="15"/>
  <c r="AD859" i="15"/>
  <c r="AD860" i="15"/>
  <c r="AD861" i="15"/>
  <c r="AD862" i="15"/>
  <c r="AD863" i="15"/>
  <c r="AD864" i="15"/>
  <c r="AD865" i="15"/>
  <c r="AD866" i="15"/>
  <c r="AD867" i="15"/>
  <c r="AD868" i="15"/>
  <c r="AD869" i="15"/>
  <c r="AD870" i="15"/>
  <c r="AC3" i="15"/>
  <c r="AC4" i="15"/>
  <c r="AC5" i="15"/>
  <c r="AC6" i="15"/>
  <c r="AC7" i="15"/>
  <c r="AC8" i="15"/>
  <c r="AC9" i="15"/>
  <c r="AC10" i="15"/>
  <c r="AC11" i="15"/>
  <c r="AC12" i="15"/>
  <c r="AC13" i="15"/>
  <c r="AC14" i="15"/>
  <c r="AC15" i="15"/>
  <c r="AC16" i="15"/>
  <c r="AC17" i="15"/>
  <c r="AC18" i="15"/>
  <c r="AC19" i="15"/>
  <c r="AC20" i="15"/>
  <c r="AC21" i="15"/>
  <c r="AC22" i="15"/>
  <c r="AC23" i="15"/>
  <c r="AC24" i="15"/>
  <c r="AC25" i="15"/>
  <c r="AC26" i="15"/>
  <c r="AC27" i="15"/>
  <c r="AC28" i="15"/>
  <c r="AC29" i="15"/>
  <c r="AC30" i="15"/>
  <c r="AC31" i="15"/>
  <c r="AC32" i="15"/>
  <c r="AC33" i="15"/>
  <c r="AC34" i="15"/>
  <c r="AC35" i="15"/>
  <c r="AC36" i="15"/>
  <c r="AC37" i="15"/>
  <c r="AC38" i="15"/>
  <c r="AC39" i="15"/>
  <c r="AC40" i="15"/>
  <c r="AC41" i="15"/>
  <c r="AC42" i="15"/>
  <c r="AC43" i="15"/>
  <c r="AC44" i="15"/>
  <c r="AC45" i="15"/>
  <c r="AC46" i="15"/>
  <c r="AC47" i="15"/>
  <c r="AC48" i="15"/>
  <c r="AC49" i="15"/>
  <c r="AC50" i="15"/>
  <c r="AC51" i="15"/>
  <c r="AC52" i="15"/>
  <c r="AC53" i="15"/>
  <c r="AC54" i="15"/>
  <c r="AC55" i="15"/>
  <c r="AC56" i="15"/>
  <c r="AC57" i="15"/>
  <c r="AC58" i="15"/>
  <c r="AC59" i="15"/>
  <c r="AC60" i="15"/>
  <c r="AC61" i="15"/>
  <c r="AC62" i="15"/>
  <c r="AC63" i="15"/>
  <c r="AC64" i="15"/>
  <c r="AC65" i="15"/>
  <c r="AC66" i="15"/>
  <c r="AC67" i="15"/>
  <c r="AC68" i="15"/>
  <c r="AC69" i="15"/>
  <c r="AC70" i="15"/>
  <c r="AC71" i="15"/>
  <c r="AC72" i="15"/>
  <c r="AC73" i="15"/>
  <c r="AC74" i="15"/>
  <c r="AC75" i="15"/>
  <c r="AC76" i="15"/>
  <c r="AC77" i="15"/>
  <c r="AC78" i="15"/>
  <c r="AC79" i="15"/>
  <c r="AC80" i="15"/>
  <c r="AC81" i="15"/>
  <c r="AC82" i="15"/>
  <c r="AC83" i="15"/>
  <c r="AC84" i="15"/>
  <c r="AC85" i="15"/>
  <c r="AC86" i="15"/>
  <c r="AC87" i="15"/>
  <c r="AC88" i="15"/>
  <c r="AC89" i="15"/>
  <c r="AC90" i="15"/>
  <c r="AC91" i="15"/>
  <c r="AC92" i="15"/>
  <c r="AC93" i="15"/>
  <c r="AC94" i="15"/>
  <c r="AC95" i="15"/>
  <c r="AC96" i="15"/>
  <c r="AC97" i="15"/>
  <c r="AC98" i="15"/>
  <c r="AC99" i="15"/>
  <c r="AC100" i="15"/>
  <c r="AC101" i="15"/>
  <c r="AC102" i="15"/>
  <c r="AC103" i="15"/>
  <c r="AC104" i="15"/>
  <c r="AC105" i="15"/>
  <c r="AC106" i="15"/>
  <c r="AC107" i="15"/>
  <c r="AC108" i="15"/>
  <c r="AC109" i="15"/>
  <c r="AC110" i="15"/>
  <c r="AC111" i="15"/>
  <c r="AC112" i="15"/>
  <c r="AC113" i="15"/>
  <c r="AC114" i="15"/>
  <c r="AC115" i="15"/>
  <c r="AC116" i="15"/>
  <c r="AC117" i="15"/>
  <c r="AC118" i="15"/>
  <c r="AC119" i="15"/>
  <c r="AC120" i="15"/>
  <c r="AC121" i="15"/>
  <c r="AC122" i="15"/>
  <c r="AC123" i="15"/>
  <c r="AC124" i="15"/>
  <c r="AC125" i="15"/>
  <c r="AC126" i="15"/>
  <c r="AC127" i="15"/>
  <c r="AC128" i="15"/>
  <c r="AC129" i="15"/>
  <c r="AC130" i="15"/>
  <c r="AC131" i="15"/>
  <c r="AC132" i="15"/>
  <c r="AC133" i="15"/>
  <c r="AC134" i="15"/>
  <c r="AC135" i="15"/>
  <c r="AC136" i="15"/>
  <c r="AC137" i="15"/>
  <c r="AC138" i="15"/>
  <c r="AC139" i="15"/>
  <c r="AC140" i="15"/>
  <c r="AC141" i="15"/>
  <c r="AC142" i="15"/>
  <c r="AC143" i="15"/>
  <c r="AC144" i="15"/>
  <c r="AC145" i="15"/>
  <c r="AC146" i="15"/>
  <c r="AC147" i="15"/>
  <c r="AC148" i="15"/>
  <c r="AC149" i="15"/>
  <c r="AC150" i="15"/>
  <c r="AC151" i="15"/>
  <c r="AC152" i="15"/>
  <c r="AC153" i="15"/>
  <c r="AC154" i="15"/>
  <c r="AC155" i="15"/>
  <c r="AC156" i="15"/>
  <c r="AC157" i="15"/>
  <c r="AC158" i="15"/>
  <c r="AC159" i="15"/>
  <c r="AC160" i="15"/>
  <c r="AC161" i="15"/>
  <c r="AC162" i="15"/>
  <c r="AC163" i="15"/>
  <c r="AC164" i="15"/>
  <c r="AC165" i="15"/>
  <c r="AC166" i="15"/>
  <c r="AC167" i="15"/>
  <c r="AC168" i="15"/>
  <c r="AC169" i="15"/>
  <c r="AC170" i="15"/>
  <c r="AC171" i="15"/>
  <c r="AC172" i="15"/>
  <c r="AC173" i="15"/>
  <c r="AC174" i="15"/>
  <c r="AC175" i="15"/>
  <c r="AC176" i="15"/>
  <c r="AC177" i="15"/>
  <c r="AC178" i="15"/>
  <c r="AC179" i="15"/>
  <c r="AC180" i="15"/>
  <c r="AC181" i="15"/>
  <c r="AC182" i="15"/>
  <c r="AC183" i="15"/>
  <c r="AC184" i="15"/>
  <c r="AC185" i="15"/>
  <c r="AC186" i="15"/>
  <c r="AC187" i="15"/>
  <c r="AC188" i="15"/>
  <c r="AC189" i="15"/>
  <c r="AC190" i="15"/>
  <c r="AC191" i="15"/>
  <c r="AC192" i="15"/>
  <c r="AC193" i="15"/>
  <c r="AC194" i="15"/>
  <c r="AC195" i="15"/>
  <c r="AC196" i="15"/>
  <c r="AC197" i="15"/>
  <c r="AC198" i="15"/>
  <c r="AC199" i="15"/>
  <c r="AC200" i="15"/>
  <c r="AC201" i="15"/>
  <c r="AC202" i="15"/>
  <c r="AC203" i="15"/>
  <c r="AC204" i="15"/>
  <c r="AC205" i="15"/>
  <c r="AC206" i="15"/>
  <c r="AC207" i="15"/>
  <c r="AC208" i="15"/>
  <c r="AC209" i="15"/>
  <c r="AC210" i="15"/>
  <c r="AC211" i="15"/>
  <c r="AC212" i="15"/>
  <c r="AC213" i="15"/>
  <c r="AC214" i="15"/>
  <c r="AC215" i="15"/>
  <c r="AC216" i="15"/>
  <c r="AC217" i="15"/>
  <c r="AC218" i="15"/>
  <c r="AC219" i="15"/>
  <c r="AC220" i="15"/>
  <c r="AC221" i="15"/>
  <c r="AC222" i="15"/>
  <c r="AC223" i="15"/>
  <c r="AC224" i="15"/>
  <c r="AC225" i="15"/>
  <c r="AC226" i="15"/>
  <c r="AC227" i="15"/>
  <c r="AC228" i="15"/>
  <c r="AC229" i="15"/>
  <c r="AC230" i="15"/>
  <c r="AC231" i="15"/>
  <c r="AC232" i="15"/>
  <c r="AC233" i="15"/>
  <c r="AC234" i="15"/>
  <c r="AC235" i="15"/>
  <c r="AC236" i="15"/>
  <c r="AC237" i="15"/>
  <c r="AC238" i="15"/>
  <c r="AC239" i="15"/>
  <c r="AC240" i="15"/>
  <c r="AC241" i="15"/>
  <c r="AC242" i="15"/>
  <c r="AC243" i="15"/>
  <c r="AC244" i="15"/>
  <c r="AC245" i="15"/>
  <c r="AC246" i="15"/>
  <c r="AC247" i="15"/>
  <c r="AC248" i="15"/>
  <c r="AC249" i="15"/>
  <c r="AC250" i="15"/>
  <c r="AC251" i="15"/>
  <c r="AC252" i="15"/>
  <c r="AC253" i="15"/>
  <c r="AC254" i="15"/>
  <c r="AC255" i="15"/>
  <c r="AC256" i="15"/>
  <c r="AC257" i="15"/>
  <c r="AC258" i="15"/>
  <c r="AC259" i="15"/>
  <c r="AC260" i="15"/>
  <c r="AC261" i="15"/>
  <c r="AC262" i="15"/>
  <c r="AC263" i="15"/>
  <c r="AC264" i="15"/>
  <c r="AC265" i="15"/>
  <c r="AC266" i="15"/>
  <c r="AC267" i="15"/>
  <c r="AC268" i="15"/>
  <c r="AC269" i="15"/>
  <c r="AC270" i="15"/>
  <c r="AC271" i="15"/>
  <c r="AC272" i="15"/>
  <c r="AC273" i="15"/>
  <c r="AC274" i="15"/>
  <c r="AC275" i="15"/>
  <c r="AC276" i="15"/>
  <c r="AC277" i="15"/>
  <c r="AC278" i="15"/>
  <c r="AC279" i="15"/>
  <c r="AC280" i="15"/>
  <c r="AC281" i="15"/>
  <c r="AC282" i="15"/>
  <c r="AC283" i="15"/>
  <c r="AC284" i="15"/>
  <c r="AC285" i="15"/>
  <c r="AC286" i="15"/>
  <c r="AC287" i="15"/>
  <c r="AC288" i="15"/>
  <c r="AC289" i="15"/>
  <c r="AC290" i="15"/>
  <c r="AC291" i="15"/>
  <c r="AC292" i="15"/>
  <c r="AC293" i="15"/>
  <c r="AC294" i="15"/>
  <c r="AC295" i="15"/>
  <c r="AC296" i="15"/>
  <c r="AC297" i="15"/>
  <c r="AC298" i="15"/>
  <c r="AC299" i="15"/>
  <c r="AC300" i="15"/>
  <c r="AC301" i="15"/>
  <c r="AC302" i="15"/>
  <c r="AC303" i="15"/>
  <c r="AC304" i="15"/>
  <c r="AC305" i="15"/>
  <c r="AC306" i="15"/>
  <c r="AC307" i="15"/>
  <c r="AC308" i="15"/>
  <c r="AC309" i="15"/>
  <c r="AC310" i="15"/>
  <c r="AC311" i="15"/>
  <c r="AC312" i="15"/>
  <c r="AC313" i="15"/>
  <c r="AC314" i="15"/>
  <c r="AC315" i="15"/>
  <c r="AC316" i="15"/>
  <c r="AC317" i="15"/>
  <c r="AC318" i="15"/>
  <c r="AC319" i="15"/>
  <c r="AC320" i="15"/>
  <c r="AC321" i="15"/>
  <c r="AC322" i="15"/>
  <c r="AC323" i="15"/>
  <c r="AC324" i="15"/>
  <c r="AC325" i="15"/>
  <c r="AC326" i="15"/>
  <c r="AC327" i="15"/>
  <c r="AC328" i="15"/>
  <c r="AC329" i="15"/>
  <c r="AC330" i="15"/>
  <c r="AC331" i="15"/>
  <c r="AC332" i="15"/>
  <c r="AC333" i="15"/>
  <c r="AC334" i="15"/>
  <c r="AC335" i="15"/>
  <c r="AC336" i="15"/>
  <c r="AC337" i="15"/>
  <c r="AC338" i="15"/>
  <c r="AC339" i="15"/>
  <c r="AC340" i="15"/>
  <c r="AC341" i="15"/>
  <c r="AC342" i="15"/>
  <c r="AC343" i="15"/>
  <c r="AC344" i="15"/>
  <c r="AC345" i="15"/>
  <c r="AC346" i="15"/>
  <c r="AC347" i="15"/>
  <c r="AC348" i="15"/>
  <c r="AC349" i="15"/>
  <c r="AC350" i="15"/>
  <c r="AC351" i="15"/>
  <c r="AC352" i="15"/>
  <c r="AC353" i="15"/>
  <c r="AC354" i="15"/>
  <c r="AC355" i="15"/>
  <c r="AC356" i="15"/>
  <c r="AC357" i="15"/>
  <c r="AC358" i="15"/>
  <c r="AC359" i="15"/>
  <c r="AC360" i="15"/>
  <c r="AC361" i="15"/>
  <c r="AC362" i="15"/>
  <c r="AC363" i="15"/>
  <c r="AC364" i="15"/>
  <c r="AC365" i="15"/>
  <c r="AC366" i="15"/>
  <c r="AC367" i="15"/>
  <c r="AC368" i="15"/>
  <c r="AC369" i="15"/>
  <c r="AC370" i="15"/>
  <c r="AC371" i="15"/>
  <c r="AC372" i="15"/>
  <c r="AC373" i="15"/>
  <c r="AC374" i="15"/>
  <c r="AC375" i="15"/>
  <c r="AC376" i="15"/>
  <c r="AC377" i="15"/>
  <c r="AC378" i="15"/>
  <c r="AC379" i="15"/>
  <c r="AC380" i="15"/>
  <c r="AC381" i="15"/>
  <c r="AC382" i="15"/>
  <c r="AC383" i="15"/>
  <c r="AC384" i="15"/>
  <c r="AC385" i="15"/>
  <c r="AC386" i="15"/>
  <c r="AC387" i="15"/>
  <c r="AC388" i="15"/>
  <c r="AC389" i="15"/>
  <c r="AC390" i="15"/>
  <c r="AC391" i="15"/>
  <c r="AC392" i="15"/>
  <c r="AC393" i="15"/>
  <c r="AC394" i="15"/>
  <c r="AC395" i="15"/>
  <c r="AC396" i="15"/>
  <c r="AC397" i="15"/>
  <c r="AC398" i="15"/>
  <c r="AC399" i="15"/>
  <c r="AC400" i="15"/>
  <c r="AC401" i="15"/>
  <c r="AC402" i="15"/>
  <c r="AC403" i="15"/>
  <c r="AC404" i="15"/>
  <c r="AC405" i="15"/>
  <c r="AC406" i="15"/>
  <c r="AC407" i="15"/>
  <c r="AC408" i="15"/>
  <c r="AC409" i="15"/>
  <c r="AC410" i="15"/>
  <c r="AC411" i="15"/>
  <c r="AC412" i="15"/>
  <c r="AC413" i="15"/>
  <c r="AC414" i="15"/>
  <c r="AC415" i="15"/>
  <c r="AC416" i="15"/>
  <c r="AC417" i="15"/>
  <c r="AC418" i="15"/>
  <c r="AC419" i="15"/>
  <c r="AC420" i="15"/>
  <c r="AC421" i="15"/>
  <c r="AC422" i="15"/>
  <c r="AC423" i="15"/>
  <c r="AC424" i="15"/>
  <c r="AC425" i="15"/>
  <c r="AC426" i="15"/>
  <c r="AC427" i="15"/>
  <c r="AC428" i="15"/>
  <c r="AC429" i="15"/>
  <c r="AC430" i="15"/>
  <c r="AC431" i="15"/>
  <c r="AC432" i="15"/>
  <c r="AC433" i="15"/>
  <c r="AC434" i="15"/>
  <c r="AC435" i="15"/>
  <c r="AC436" i="15"/>
  <c r="AC437" i="15"/>
  <c r="AC438" i="15"/>
  <c r="AC439" i="15"/>
  <c r="AC440" i="15"/>
  <c r="AC441" i="15"/>
  <c r="AC442" i="15"/>
  <c r="AC443" i="15"/>
  <c r="AC444" i="15"/>
  <c r="AC445" i="15"/>
  <c r="AC446" i="15"/>
  <c r="AC447" i="15"/>
  <c r="AC448" i="15"/>
  <c r="AC449" i="15"/>
  <c r="AC450" i="15"/>
  <c r="AC451" i="15"/>
  <c r="AC452" i="15"/>
  <c r="AC453" i="15"/>
  <c r="AC454" i="15"/>
  <c r="AC455" i="15"/>
  <c r="AC456" i="15"/>
  <c r="AC457" i="15"/>
  <c r="AC458" i="15"/>
  <c r="AC459" i="15"/>
  <c r="AC460" i="15"/>
  <c r="AC461" i="15"/>
  <c r="AC462" i="15"/>
  <c r="AC463" i="15"/>
  <c r="AC464" i="15"/>
  <c r="AC465" i="15"/>
  <c r="AC466" i="15"/>
  <c r="AC467" i="15"/>
  <c r="AC468" i="15"/>
  <c r="AC469" i="15"/>
  <c r="AC470" i="15"/>
  <c r="AC471" i="15"/>
  <c r="AC472" i="15"/>
  <c r="AC473" i="15"/>
  <c r="AC474" i="15"/>
  <c r="AC475" i="15"/>
  <c r="AC476" i="15"/>
  <c r="AC477" i="15"/>
  <c r="AC478" i="15"/>
  <c r="AC479" i="15"/>
  <c r="AC480" i="15"/>
  <c r="AC481" i="15"/>
  <c r="AC482" i="15"/>
  <c r="AC483" i="15"/>
  <c r="AC484" i="15"/>
  <c r="AC485" i="15"/>
  <c r="AC486" i="15"/>
  <c r="AC487" i="15"/>
  <c r="AC488" i="15"/>
  <c r="AC489" i="15"/>
  <c r="AC490" i="15"/>
  <c r="AC491" i="15"/>
  <c r="AC492" i="15"/>
  <c r="AC493" i="15"/>
  <c r="AC494" i="15"/>
  <c r="AC495" i="15"/>
  <c r="AC496" i="15"/>
  <c r="AC497" i="15"/>
  <c r="AC498" i="15"/>
  <c r="AC499" i="15"/>
  <c r="AC500" i="15"/>
  <c r="AC501" i="15"/>
  <c r="AC502" i="15"/>
  <c r="AC503" i="15"/>
  <c r="AC504" i="15"/>
  <c r="AC505" i="15"/>
  <c r="AC506" i="15"/>
  <c r="AC507" i="15"/>
  <c r="AC508" i="15"/>
  <c r="AC509" i="15"/>
  <c r="AC510" i="15"/>
  <c r="AC511" i="15"/>
  <c r="AC512" i="15"/>
  <c r="AC513" i="15"/>
  <c r="AC514" i="15"/>
  <c r="AC515" i="15"/>
  <c r="AC516" i="15"/>
  <c r="AC517" i="15"/>
  <c r="AC518" i="15"/>
  <c r="AC519" i="15"/>
  <c r="AC520" i="15"/>
  <c r="AC521" i="15"/>
  <c r="AC522" i="15"/>
  <c r="AC523" i="15"/>
  <c r="AC524" i="15"/>
  <c r="AC525" i="15"/>
  <c r="AC526" i="15"/>
  <c r="AC527" i="15"/>
  <c r="AC528" i="15"/>
  <c r="AC529" i="15"/>
  <c r="AC530" i="15"/>
  <c r="AC531" i="15"/>
  <c r="AC532" i="15"/>
  <c r="AC533" i="15"/>
  <c r="AC534" i="15"/>
  <c r="AC535" i="15"/>
  <c r="AC536" i="15"/>
  <c r="AC537" i="15"/>
  <c r="AC538" i="15"/>
  <c r="AC539" i="15"/>
  <c r="AC540" i="15"/>
  <c r="AC541" i="15"/>
  <c r="AC542" i="15"/>
  <c r="AC543" i="15"/>
  <c r="AC544" i="15"/>
  <c r="AC545" i="15"/>
  <c r="AC546" i="15"/>
  <c r="AC547" i="15"/>
  <c r="AC548" i="15"/>
  <c r="AC549" i="15"/>
  <c r="AC550" i="15"/>
  <c r="AC551" i="15"/>
  <c r="AC552" i="15"/>
  <c r="AC553" i="15"/>
  <c r="AC554" i="15"/>
  <c r="AC555" i="15"/>
  <c r="AC556" i="15"/>
  <c r="AC557" i="15"/>
  <c r="AC558" i="15"/>
  <c r="AC559" i="15"/>
  <c r="AC560" i="15"/>
  <c r="AC561" i="15"/>
  <c r="AC562" i="15"/>
  <c r="AC563" i="15"/>
  <c r="AC564" i="15"/>
  <c r="AC565" i="15"/>
  <c r="AC566" i="15"/>
  <c r="AC567" i="15"/>
  <c r="AC568" i="15"/>
  <c r="AC569" i="15"/>
  <c r="AC570" i="15"/>
  <c r="AC571" i="15"/>
  <c r="AC572" i="15"/>
  <c r="AC573" i="15"/>
  <c r="AC574" i="15"/>
  <c r="AC575" i="15"/>
  <c r="AC576" i="15"/>
  <c r="AC577" i="15"/>
  <c r="AC578" i="15"/>
  <c r="AC579" i="15"/>
  <c r="AC580" i="15"/>
  <c r="AC581" i="15"/>
  <c r="AC582" i="15"/>
  <c r="AC583" i="15"/>
  <c r="AC584" i="15"/>
  <c r="AC585" i="15"/>
  <c r="AC586" i="15"/>
  <c r="AC587" i="15"/>
  <c r="AC588" i="15"/>
  <c r="AC589" i="15"/>
  <c r="AC590" i="15"/>
  <c r="AC591" i="15"/>
  <c r="AC592" i="15"/>
  <c r="AC593" i="15"/>
  <c r="AC594" i="15"/>
  <c r="AC595" i="15"/>
  <c r="AC596" i="15"/>
  <c r="AC597" i="15"/>
  <c r="AC598" i="15"/>
  <c r="AC599" i="15"/>
  <c r="AC600" i="15"/>
  <c r="AC601" i="15"/>
  <c r="AC602" i="15"/>
  <c r="AC603" i="15"/>
  <c r="AC604" i="15"/>
  <c r="AC605" i="15"/>
  <c r="AC606" i="15"/>
  <c r="AC607" i="15"/>
  <c r="AC608" i="15"/>
  <c r="AC609" i="15"/>
  <c r="AC610" i="15"/>
  <c r="AC611" i="15"/>
  <c r="AC612" i="15"/>
  <c r="AC613" i="15"/>
  <c r="AC614" i="15"/>
  <c r="AC615" i="15"/>
  <c r="AC616" i="15"/>
  <c r="AC617" i="15"/>
  <c r="AC618" i="15"/>
  <c r="AC619" i="15"/>
  <c r="AC620" i="15"/>
  <c r="AC621" i="15"/>
  <c r="AC622" i="15"/>
  <c r="AC623" i="15"/>
  <c r="AC624" i="15"/>
  <c r="AC625" i="15"/>
  <c r="AC626" i="15"/>
  <c r="AC627" i="15"/>
  <c r="AC628" i="15"/>
  <c r="AC629" i="15"/>
  <c r="AC630" i="15"/>
  <c r="AC631" i="15"/>
  <c r="AC632" i="15"/>
  <c r="AC633" i="15"/>
  <c r="AC634" i="15"/>
  <c r="AC635" i="15"/>
  <c r="AC636" i="15"/>
  <c r="AC637" i="15"/>
  <c r="AC638" i="15"/>
  <c r="AC639" i="15"/>
  <c r="AC640" i="15"/>
  <c r="AC641" i="15"/>
  <c r="AC642" i="15"/>
  <c r="AC643" i="15"/>
  <c r="AC644" i="15"/>
  <c r="AC645" i="15"/>
  <c r="AC646" i="15"/>
  <c r="AC647" i="15"/>
  <c r="AC648" i="15"/>
  <c r="AC649" i="15"/>
  <c r="AC650" i="15"/>
  <c r="AC651" i="15"/>
  <c r="AC652" i="15"/>
  <c r="AC653" i="15"/>
  <c r="AC654" i="15"/>
  <c r="AC655" i="15"/>
  <c r="AC656" i="15"/>
  <c r="AC657" i="15"/>
  <c r="AC658" i="15"/>
  <c r="AC659" i="15"/>
  <c r="AC660" i="15"/>
  <c r="AC661" i="15"/>
  <c r="AC662" i="15"/>
  <c r="AC663" i="15"/>
  <c r="AC664" i="15"/>
  <c r="AC665" i="15"/>
  <c r="AC666" i="15"/>
  <c r="AC667" i="15"/>
  <c r="AC668" i="15"/>
  <c r="AC669" i="15"/>
  <c r="AC670" i="15"/>
  <c r="AC671" i="15"/>
  <c r="AC672" i="15"/>
  <c r="AC673" i="15"/>
  <c r="AC674" i="15"/>
  <c r="AC675" i="15"/>
  <c r="AC676" i="15"/>
  <c r="AC677" i="15"/>
  <c r="AC678" i="15"/>
  <c r="AC679" i="15"/>
  <c r="AC680" i="15"/>
  <c r="AC681" i="15"/>
  <c r="AC682" i="15"/>
  <c r="AC683" i="15"/>
  <c r="AC684" i="15"/>
  <c r="AC685" i="15"/>
  <c r="AC686" i="15"/>
  <c r="AC687" i="15"/>
  <c r="AC688" i="15"/>
  <c r="AC689" i="15"/>
  <c r="AC690" i="15"/>
  <c r="AC691" i="15"/>
  <c r="AC692" i="15"/>
  <c r="AC693" i="15"/>
  <c r="AC694" i="15"/>
  <c r="AC695" i="15"/>
  <c r="AC696" i="15"/>
  <c r="AC697" i="15"/>
  <c r="AC698" i="15"/>
  <c r="AC699" i="15"/>
  <c r="AC700" i="15"/>
  <c r="AC701" i="15"/>
  <c r="AC702" i="15"/>
  <c r="AC703" i="15"/>
  <c r="AC704" i="15"/>
  <c r="AC705" i="15"/>
  <c r="AC706" i="15"/>
  <c r="AC707" i="15"/>
  <c r="AC708" i="15"/>
  <c r="AC709" i="15"/>
  <c r="AC710" i="15"/>
  <c r="AC711" i="15"/>
  <c r="AC712" i="15"/>
  <c r="AC713" i="15"/>
  <c r="AC714" i="15"/>
  <c r="AC715" i="15"/>
  <c r="AC716" i="15"/>
  <c r="AC717" i="15"/>
  <c r="AC718" i="15"/>
  <c r="AC719" i="15"/>
  <c r="AC720" i="15"/>
  <c r="AC721" i="15"/>
  <c r="AC722" i="15"/>
  <c r="AC723" i="15"/>
  <c r="AC724" i="15"/>
  <c r="AC725" i="15"/>
  <c r="AC726" i="15"/>
  <c r="AC727" i="15"/>
  <c r="AC728" i="15"/>
  <c r="AC729" i="15"/>
  <c r="AC730" i="15"/>
  <c r="AC731" i="15"/>
  <c r="AC732" i="15"/>
  <c r="AC733" i="15"/>
  <c r="AC734" i="15"/>
  <c r="AC735" i="15"/>
  <c r="AC736" i="15"/>
  <c r="AC737" i="15"/>
  <c r="AC738" i="15"/>
  <c r="AC739" i="15"/>
  <c r="AC740" i="15"/>
  <c r="AC741" i="15"/>
  <c r="AC742" i="15"/>
  <c r="AC743" i="15"/>
  <c r="AC744" i="15"/>
  <c r="AC745" i="15"/>
  <c r="AC746" i="15"/>
  <c r="AC747" i="15"/>
  <c r="AC748" i="15"/>
  <c r="AC749" i="15"/>
  <c r="AC750" i="15"/>
  <c r="AC751" i="15"/>
  <c r="AC752" i="15"/>
  <c r="AC753" i="15"/>
  <c r="AC754" i="15"/>
  <c r="AC755" i="15"/>
  <c r="AC756" i="15"/>
  <c r="AC757" i="15"/>
  <c r="AC758" i="15"/>
  <c r="AC759" i="15"/>
  <c r="AC760" i="15"/>
  <c r="AC761" i="15"/>
  <c r="AC762" i="15"/>
  <c r="AC763" i="15"/>
  <c r="AC764" i="15"/>
  <c r="AC765" i="15"/>
  <c r="AC766" i="15"/>
  <c r="AC767" i="15"/>
  <c r="AC768" i="15"/>
  <c r="AC769" i="15"/>
  <c r="AC770" i="15"/>
  <c r="AC771" i="15"/>
  <c r="AC772" i="15"/>
  <c r="AC773" i="15"/>
  <c r="AC774" i="15"/>
  <c r="AC775" i="15"/>
  <c r="AC776" i="15"/>
  <c r="AC777" i="15"/>
  <c r="AC778" i="15"/>
  <c r="AC779" i="15"/>
  <c r="AC780" i="15"/>
  <c r="AC781" i="15"/>
  <c r="AC782" i="15"/>
  <c r="AC783" i="15"/>
  <c r="AC784" i="15"/>
  <c r="AC785" i="15"/>
  <c r="AC786" i="15"/>
  <c r="AC787" i="15"/>
  <c r="AC788" i="15"/>
  <c r="AC789" i="15"/>
  <c r="AC790" i="15"/>
  <c r="AC791" i="15"/>
  <c r="AC792" i="15"/>
  <c r="AC793" i="15"/>
  <c r="AC794" i="15"/>
  <c r="AC795" i="15"/>
  <c r="AC796" i="15"/>
  <c r="AC797" i="15"/>
  <c r="AC798" i="15"/>
  <c r="AC799" i="15"/>
  <c r="AC800" i="15"/>
  <c r="AC801" i="15"/>
  <c r="AC802" i="15"/>
  <c r="AC803" i="15"/>
  <c r="AC804" i="15"/>
  <c r="AC805" i="15"/>
  <c r="AC806" i="15"/>
  <c r="AC807" i="15"/>
  <c r="AC808" i="15"/>
  <c r="AC809" i="15"/>
  <c r="AC810" i="15"/>
  <c r="AC811" i="15"/>
  <c r="AC812" i="15"/>
  <c r="AC813" i="15"/>
  <c r="AC814" i="15"/>
  <c r="AC815" i="15"/>
  <c r="AC816" i="15"/>
  <c r="AC817" i="15"/>
  <c r="AC818" i="15"/>
  <c r="AC819" i="15"/>
  <c r="AC820" i="15"/>
  <c r="AC821" i="15"/>
  <c r="AC822" i="15"/>
  <c r="AC823" i="15"/>
  <c r="AC824" i="15"/>
  <c r="AC825" i="15"/>
  <c r="AC826" i="15"/>
  <c r="AC827" i="15"/>
  <c r="AC828" i="15"/>
  <c r="AC829" i="15"/>
  <c r="AC830" i="15"/>
  <c r="AC831" i="15"/>
  <c r="AC832" i="15"/>
  <c r="AC833" i="15"/>
  <c r="AC834" i="15"/>
  <c r="AC835" i="15"/>
  <c r="AC836" i="15"/>
  <c r="AC837" i="15"/>
  <c r="AC838" i="15"/>
  <c r="AC839" i="15"/>
  <c r="AC840" i="15"/>
  <c r="AC841" i="15"/>
  <c r="AC842" i="15"/>
  <c r="AC843" i="15"/>
  <c r="AC844" i="15"/>
  <c r="AC845" i="15"/>
  <c r="AC846" i="15"/>
  <c r="AC847" i="15"/>
  <c r="AC848" i="15"/>
  <c r="AC849" i="15"/>
  <c r="AC850" i="15"/>
  <c r="AC851" i="15"/>
  <c r="AC852" i="15"/>
  <c r="AC853" i="15"/>
  <c r="AC854" i="15"/>
  <c r="AC855" i="15"/>
  <c r="AC856" i="15"/>
  <c r="AC857" i="15"/>
  <c r="AC858" i="15"/>
  <c r="AC859" i="15"/>
  <c r="AC860" i="15"/>
  <c r="AC861" i="15"/>
  <c r="AC862" i="15"/>
  <c r="AC863" i="15"/>
  <c r="AC864" i="15"/>
  <c r="AC865" i="15"/>
  <c r="AC866" i="15"/>
  <c r="AC867" i="15"/>
  <c r="AC868" i="15"/>
  <c r="AC869" i="15"/>
  <c r="AC870" i="15"/>
  <c r="AB3" i="15"/>
  <c r="AB4" i="15"/>
  <c r="AB5" i="15"/>
  <c r="AB6" i="15"/>
  <c r="AB7" i="15"/>
  <c r="AB8" i="15"/>
  <c r="AB9" i="15"/>
  <c r="AB10" i="15"/>
  <c r="AB11" i="15"/>
  <c r="AB12" i="15"/>
  <c r="AB13" i="15"/>
  <c r="AB14" i="15"/>
  <c r="AB15" i="15"/>
  <c r="AB16" i="15"/>
  <c r="AB17" i="15"/>
  <c r="AB18"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57" i="15"/>
  <c r="AB58" i="15"/>
  <c r="AB59" i="15"/>
  <c r="AB60" i="15"/>
  <c r="AB61" i="15"/>
  <c r="AB62" i="15"/>
  <c r="AB63" i="15"/>
  <c r="AB64" i="15"/>
  <c r="AB65" i="15"/>
  <c r="AB66" i="15"/>
  <c r="AB67" i="15"/>
  <c r="AB68" i="15"/>
  <c r="AB69" i="15"/>
  <c r="AB70" i="15"/>
  <c r="AB71" i="15"/>
  <c r="AB72" i="15"/>
  <c r="AB73" i="15"/>
  <c r="AB74" i="15"/>
  <c r="AB75" i="15"/>
  <c r="AB76" i="15"/>
  <c r="AB77" i="15"/>
  <c r="AB78" i="15"/>
  <c r="AB79" i="15"/>
  <c r="AB80" i="15"/>
  <c r="AB81" i="15"/>
  <c r="AB82" i="15"/>
  <c r="AB83" i="15"/>
  <c r="AB84" i="15"/>
  <c r="AB85" i="15"/>
  <c r="AB86" i="15"/>
  <c r="AB87" i="15"/>
  <c r="AB88" i="15"/>
  <c r="AB89" i="15"/>
  <c r="AB90" i="15"/>
  <c r="AB91" i="15"/>
  <c r="AB92" i="15"/>
  <c r="AB93" i="15"/>
  <c r="AB94" i="15"/>
  <c r="AB95" i="15"/>
  <c r="AB96" i="15"/>
  <c r="AB97" i="15"/>
  <c r="AB98" i="15"/>
  <c r="AB99" i="15"/>
  <c r="AB100" i="15"/>
  <c r="AB101" i="15"/>
  <c r="AB102" i="15"/>
  <c r="AB103" i="15"/>
  <c r="AB104" i="15"/>
  <c r="AB105" i="15"/>
  <c r="AB106" i="15"/>
  <c r="AB107" i="15"/>
  <c r="AB108" i="15"/>
  <c r="AB109" i="15"/>
  <c r="AB110" i="15"/>
  <c r="AB111" i="15"/>
  <c r="AB112" i="15"/>
  <c r="AB113" i="15"/>
  <c r="AB114" i="15"/>
  <c r="AB115" i="15"/>
  <c r="AB116" i="15"/>
  <c r="AB117" i="15"/>
  <c r="AB118" i="15"/>
  <c r="AB119" i="15"/>
  <c r="AB120" i="15"/>
  <c r="AB121" i="15"/>
  <c r="AB122" i="15"/>
  <c r="AB123" i="15"/>
  <c r="AB124" i="15"/>
  <c r="AB125" i="15"/>
  <c r="AB126" i="15"/>
  <c r="AB127" i="15"/>
  <c r="AB128" i="15"/>
  <c r="AB129" i="15"/>
  <c r="AB130" i="15"/>
  <c r="AB131" i="15"/>
  <c r="AB132" i="15"/>
  <c r="AB133" i="15"/>
  <c r="AB134" i="15"/>
  <c r="AB135" i="15"/>
  <c r="AB136" i="15"/>
  <c r="AB137" i="15"/>
  <c r="AB138" i="15"/>
  <c r="AB139" i="15"/>
  <c r="AB140" i="15"/>
  <c r="AB141" i="15"/>
  <c r="AB142" i="15"/>
  <c r="AB143" i="15"/>
  <c r="AB144" i="15"/>
  <c r="AB145" i="15"/>
  <c r="AB146" i="15"/>
  <c r="AB147" i="15"/>
  <c r="AB148" i="15"/>
  <c r="AB149" i="15"/>
  <c r="AB150" i="15"/>
  <c r="AB151" i="15"/>
  <c r="AB152" i="15"/>
  <c r="AB153" i="15"/>
  <c r="AB154" i="15"/>
  <c r="AB155" i="15"/>
  <c r="AB156" i="15"/>
  <c r="AB157" i="15"/>
  <c r="AB158" i="15"/>
  <c r="AB159" i="15"/>
  <c r="AB160" i="15"/>
  <c r="AB161" i="15"/>
  <c r="AB162" i="15"/>
  <c r="AB163" i="15"/>
  <c r="AB164" i="15"/>
  <c r="AB165" i="15"/>
  <c r="AB166" i="15"/>
  <c r="AB167" i="15"/>
  <c r="AB168" i="15"/>
  <c r="AB169" i="15"/>
  <c r="AB170" i="15"/>
  <c r="AB171" i="15"/>
  <c r="AB172" i="15"/>
  <c r="AB173" i="15"/>
  <c r="AB174" i="15"/>
  <c r="AB175" i="15"/>
  <c r="AB176" i="15"/>
  <c r="AB177" i="15"/>
  <c r="AB178" i="15"/>
  <c r="AB179" i="15"/>
  <c r="AB180" i="15"/>
  <c r="AB181" i="15"/>
  <c r="AB182" i="15"/>
  <c r="AB183" i="15"/>
  <c r="AB184" i="15"/>
  <c r="AB185" i="15"/>
  <c r="AB186" i="15"/>
  <c r="AB187" i="15"/>
  <c r="AB188" i="15"/>
  <c r="AB189" i="15"/>
  <c r="AB190" i="15"/>
  <c r="AB191" i="15"/>
  <c r="AB192" i="15"/>
  <c r="AB193" i="15"/>
  <c r="AB194" i="15"/>
  <c r="AB195" i="15"/>
  <c r="AB196" i="15"/>
  <c r="AB197" i="15"/>
  <c r="AB198" i="15"/>
  <c r="AB199" i="15"/>
  <c r="AB200" i="15"/>
  <c r="AB201" i="15"/>
  <c r="AB202" i="15"/>
  <c r="AB203" i="15"/>
  <c r="AB204" i="15"/>
  <c r="AB205" i="15"/>
  <c r="AB206" i="15"/>
  <c r="AB207" i="15"/>
  <c r="AB208" i="15"/>
  <c r="AB209" i="15"/>
  <c r="AB210" i="15"/>
  <c r="AB211" i="15"/>
  <c r="AB212" i="15"/>
  <c r="AB213" i="15"/>
  <c r="AB214" i="15"/>
  <c r="AB215" i="15"/>
  <c r="AB216" i="15"/>
  <c r="AB217" i="15"/>
  <c r="AB218" i="15"/>
  <c r="AB219" i="15"/>
  <c r="AB220" i="15"/>
  <c r="AB221" i="15"/>
  <c r="AB222" i="15"/>
  <c r="AB223" i="15"/>
  <c r="AB224" i="15"/>
  <c r="AB225" i="15"/>
  <c r="AB226" i="15"/>
  <c r="AB227" i="15"/>
  <c r="AB228" i="15"/>
  <c r="AB229" i="15"/>
  <c r="AB230" i="15"/>
  <c r="AB231" i="15"/>
  <c r="AB232" i="15"/>
  <c r="AB233" i="15"/>
  <c r="AB234" i="15"/>
  <c r="AB235" i="15"/>
  <c r="AB236" i="15"/>
  <c r="AB237" i="15"/>
  <c r="AB238" i="15"/>
  <c r="AB239" i="15"/>
  <c r="AB240" i="15"/>
  <c r="AB241" i="15"/>
  <c r="AB242" i="15"/>
  <c r="AB243" i="15"/>
  <c r="AB244" i="15"/>
  <c r="AB245" i="15"/>
  <c r="AB246" i="15"/>
  <c r="AB247" i="15"/>
  <c r="AB248" i="15"/>
  <c r="AB249" i="15"/>
  <c r="AB250" i="15"/>
  <c r="AB251" i="15"/>
  <c r="AB252" i="15"/>
  <c r="AB253" i="15"/>
  <c r="AB254" i="15"/>
  <c r="AB255" i="15"/>
  <c r="AB256" i="15"/>
  <c r="AB257" i="15"/>
  <c r="AB258" i="15"/>
  <c r="AB259" i="15"/>
  <c r="AB260" i="15"/>
  <c r="AB261" i="15"/>
  <c r="AB262" i="15"/>
  <c r="AB263" i="15"/>
  <c r="AB264" i="15"/>
  <c r="AB265" i="15"/>
  <c r="AB266" i="15"/>
  <c r="AB267" i="15"/>
  <c r="AB268" i="15"/>
  <c r="AB269" i="15"/>
  <c r="AB270" i="15"/>
  <c r="AB271" i="15"/>
  <c r="AB272" i="15"/>
  <c r="AB273" i="15"/>
  <c r="AB274" i="15"/>
  <c r="AB275" i="15"/>
  <c r="AB276" i="15"/>
  <c r="AB277" i="15"/>
  <c r="AB278" i="15"/>
  <c r="AB279" i="15"/>
  <c r="AB280" i="15"/>
  <c r="AB281" i="15"/>
  <c r="AB282" i="15"/>
  <c r="AB283" i="15"/>
  <c r="AB284" i="15"/>
  <c r="AB285" i="15"/>
  <c r="AB286" i="15"/>
  <c r="AB287" i="15"/>
  <c r="AB288" i="15"/>
  <c r="AB289" i="15"/>
  <c r="AB290" i="15"/>
  <c r="AB291" i="15"/>
  <c r="AB292" i="15"/>
  <c r="AB293" i="15"/>
  <c r="AB294" i="15"/>
  <c r="AB295" i="15"/>
  <c r="AB296" i="15"/>
  <c r="AB297" i="15"/>
  <c r="AB298" i="15"/>
  <c r="AB299" i="15"/>
  <c r="AB300" i="15"/>
  <c r="AB301" i="15"/>
  <c r="AB302" i="15"/>
  <c r="AB303" i="15"/>
  <c r="AB304" i="15"/>
  <c r="AB305" i="15"/>
  <c r="AB306" i="15"/>
  <c r="AB307" i="15"/>
  <c r="AB308" i="15"/>
  <c r="AB309" i="15"/>
  <c r="AB310" i="15"/>
  <c r="AB311" i="15"/>
  <c r="AB312" i="15"/>
  <c r="AB313" i="15"/>
  <c r="AB314" i="15"/>
  <c r="AB315" i="15"/>
  <c r="AB316" i="15"/>
  <c r="AB317" i="15"/>
  <c r="AB318" i="15"/>
  <c r="AB319" i="15"/>
  <c r="AB320" i="15"/>
  <c r="AB321" i="15"/>
  <c r="AB322" i="15"/>
  <c r="AB323" i="15"/>
  <c r="AB324" i="15"/>
  <c r="AB325" i="15"/>
  <c r="AB326" i="15"/>
  <c r="AB327" i="15"/>
  <c r="AB328" i="15"/>
  <c r="AB329" i="15"/>
  <c r="AB330" i="15"/>
  <c r="AB331" i="15"/>
  <c r="AB332" i="15"/>
  <c r="AB333" i="15"/>
  <c r="AB334" i="15"/>
  <c r="AB335" i="15"/>
  <c r="AB336" i="15"/>
  <c r="AB337" i="15"/>
  <c r="AB338" i="15"/>
  <c r="AB339" i="15"/>
  <c r="AB340" i="15"/>
  <c r="AB341" i="15"/>
  <c r="AB342" i="15"/>
  <c r="AB343" i="15"/>
  <c r="AB344" i="15"/>
  <c r="AB345" i="15"/>
  <c r="AB346" i="15"/>
  <c r="AB347" i="15"/>
  <c r="AB348" i="15"/>
  <c r="AB349" i="15"/>
  <c r="AB350" i="15"/>
  <c r="AB351" i="15"/>
  <c r="AB352" i="15"/>
  <c r="AB353" i="15"/>
  <c r="AB354" i="15"/>
  <c r="AB355" i="15"/>
  <c r="AB356" i="15"/>
  <c r="AB357" i="15"/>
  <c r="AB358" i="15"/>
  <c r="AB359" i="15"/>
  <c r="AB360" i="15"/>
  <c r="AB361" i="15"/>
  <c r="AB362" i="15"/>
  <c r="AB363" i="15"/>
  <c r="AB364" i="15"/>
  <c r="AB365" i="15"/>
  <c r="AB366" i="15"/>
  <c r="AB367" i="15"/>
  <c r="AB368" i="15"/>
  <c r="AB369" i="15"/>
  <c r="AB370" i="15"/>
  <c r="AB371" i="15"/>
  <c r="AB372" i="15"/>
  <c r="AB373" i="15"/>
  <c r="AB374" i="15"/>
  <c r="AB375" i="15"/>
  <c r="AB376" i="15"/>
  <c r="AB377" i="15"/>
  <c r="AB378" i="15"/>
  <c r="AB379" i="15"/>
  <c r="AB380" i="15"/>
  <c r="AB381" i="15"/>
  <c r="AB382" i="15"/>
  <c r="AB383" i="15"/>
  <c r="AB384" i="15"/>
  <c r="AB385" i="15"/>
  <c r="AB386" i="15"/>
  <c r="AB387" i="15"/>
  <c r="AB388" i="15"/>
  <c r="AB389" i="15"/>
  <c r="AB390" i="15"/>
  <c r="AB391" i="15"/>
  <c r="AB392" i="15"/>
  <c r="AB393" i="15"/>
  <c r="AB394" i="15"/>
  <c r="AB395" i="15"/>
  <c r="AB396" i="15"/>
  <c r="AB397" i="15"/>
  <c r="AB398" i="15"/>
  <c r="AB399" i="15"/>
  <c r="AB400" i="15"/>
  <c r="AB401" i="15"/>
  <c r="AB402" i="15"/>
  <c r="AB403" i="15"/>
  <c r="AB404" i="15"/>
  <c r="AB405" i="15"/>
  <c r="AB406" i="15"/>
  <c r="AB407" i="15"/>
  <c r="AB408" i="15"/>
  <c r="AB409" i="15"/>
  <c r="AB410" i="15"/>
  <c r="AB411" i="15"/>
  <c r="AB412" i="15"/>
  <c r="AB413" i="15"/>
  <c r="AB414" i="15"/>
  <c r="AB415" i="15"/>
  <c r="AB416" i="15"/>
  <c r="AB417" i="15"/>
  <c r="AB418" i="15"/>
  <c r="AB419" i="15"/>
  <c r="AB420" i="15"/>
  <c r="AB421" i="15"/>
  <c r="AB422" i="15"/>
  <c r="AB423" i="15"/>
  <c r="AB424" i="15"/>
  <c r="AB425" i="15"/>
  <c r="AB426" i="15"/>
  <c r="AB427" i="15"/>
  <c r="AB428" i="15"/>
  <c r="AB429" i="15"/>
  <c r="AB430" i="15"/>
  <c r="AB431" i="15"/>
  <c r="AB432" i="15"/>
  <c r="AB433" i="15"/>
  <c r="AB434" i="15"/>
  <c r="AB435" i="15"/>
  <c r="AB436" i="15"/>
  <c r="AB437" i="15"/>
  <c r="AB438" i="15"/>
  <c r="AB439" i="15"/>
  <c r="AB440" i="15"/>
  <c r="AB441" i="15"/>
  <c r="AB442" i="15"/>
  <c r="AB443" i="15"/>
  <c r="AB444" i="15"/>
  <c r="AB445" i="15"/>
  <c r="AB446" i="15"/>
  <c r="AB447" i="15"/>
  <c r="AB448" i="15"/>
  <c r="AB449" i="15"/>
  <c r="AB450" i="15"/>
  <c r="AB451" i="15"/>
  <c r="AB452" i="15"/>
  <c r="AB453" i="15"/>
  <c r="AB454" i="15"/>
  <c r="AB455" i="15"/>
  <c r="AB456" i="15"/>
  <c r="AB457" i="15"/>
  <c r="AB458" i="15"/>
  <c r="AB459" i="15"/>
  <c r="AB460" i="15"/>
  <c r="AB461" i="15"/>
  <c r="AB462" i="15"/>
  <c r="AB463" i="15"/>
  <c r="AB464" i="15"/>
  <c r="AB465" i="15"/>
  <c r="AB466" i="15"/>
  <c r="AB467" i="15"/>
  <c r="AB468" i="15"/>
  <c r="AB469" i="15"/>
  <c r="AB470" i="15"/>
  <c r="AB471" i="15"/>
  <c r="AB472" i="15"/>
  <c r="AB473" i="15"/>
  <c r="AB474" i="15"/>
  <c r="AB475" i="15"/>
  <c r="AB476" i="15"/>
  <c r="AB477" i="15"/>
  <c r="AB478" i="15"/>
  <c r="AB479" i="15"/>
  <c r="AB480" i="15"/>
  <c r="AB481" i="15"/>
  <c r="AB482" i="15"/>
  <c r="AB483" i="15"/>
  <c r="AB484" i="15"/>
  <c r="AB485" i="15"/>
  <c r="AB486" i="15"/>
  <c r="AB487" i="15"/>
  <c r="AB488" i="15"/>
  <c r="AB489" i="15"/>
  <c r="AB490" i="15"/>
  <c r="AB491" i="15"/>
  <c r="AB492" i="15"/>
  <c r="AB493" i="15"/>
  <c r="AB494" i="15"/>
  <c r="AB495" i="15"/>
  <c r="AB496" i="15"/>
  <c r="AB497" i="15"/>
  <c r="AB498" i="15"/>
  <c r="AB499" i="15"/>
  <c r="AB500" i="15"/>
  <c r="AB501" i="15"/>
  <c r="AB502" i="15"/>
  <c r="AB503" i="15"/>
  <c r="AB504" i="15"/>
  <c r="AB505" i="15"/>
  <c r="AB506" i="15"/>
  <c r="AB507" i="15"/>
  <c r="AB508" i="15"/>
  <c r="AB509" i="15"/>
  <c r="AB510" i="15"/>
  <c r="AB511" i="15"/>
  <c r="AB512" i="15"/>
  <c r="AB513" i="15"/>
  <c r="AB514" i="15"/>
  <c r="AB515" i="15"/>
  <c r="AB516" i="15"/>
  <c r="AB517" i="15"/>
  <c r="AB518" i="15"/>
  <c r="AB519" i="15"/>
  <c r="AB520" i="15"/>
  <c r="AB521" i="15"/>
  <c r="AB522" i="15"/>
  <c r="AB523" i="15"/>
  <c r="AB524" i="15"/>
  <c r="AB525" i="15"/>
  <c r="AB526" i="15"/>
  <c r="AB527" i="15"/>
  <c r="AB528" i="15"/>
  <c r="AB529" i="15"/>
  <c r="AB530" i="15"/>
  <c r="AB531" i="15"/>
  <c r="AB532" i="15"/>
  <c r="AB533" i="15"/>
  <c r="AB534" i="15"/>
  <c r="AB535" i="15"/>
  <c r="AB536" i="15"/>
  <c r="AB537" i="15"/>
  <c r="AB538" i="15"/>
  <c r="AB539" i="15"/>
  <c r="AB540" i="15"/>
  <c r="AB541" i="15"/>
  <c r="AB542" i="15"/>
  <c r="AB543" i="15"/>
  <c r="AB544" i="15"/>
  <c r="AB545" i="15"/>
  <c r="AB546" i="15"/>
  <c r="AB547" i="15"/>
  <c r="AB548" i="15"/>
  <c r="AB549" i="15"/>
  <c r="AB550" i="15"/>
  <c r="AB551" i="15"/>
  <c r="AB552" i="15"/>
  <c r="AB553" i="15"/>
  <c r="AB554" i="15"/>
  <c r="AB555" i="15"/>
  <c r="AB556" i="15"/>
  <c r="AB557" i="15"/>
  <c r="AB558" i="15"/>
  <c r="AB559" i="15"/>
  <c r="AB560" i="15"/>
  <c r="AB561" i="15"/>
  <c r="AB562" i="15"/>
  <c r="AB563" i="15"/>
  <c r="AB564" i="15"/>
  <c r="AB565" i="15"/>
  <c r="AB566" i="15"/>
  <c r="AB567" i="15"/>
  <c r="AB568" i="15"/>
  <c r="AB569" i="15"/>
  <c r="AB570" i="15"/>
  <c r="AB571" i="15"/>
  <c r="AB572" i="15"/>
  <c r="AB573" i="15"/>
  <c r="AB574" i="15"/>
  <c r="AB575" i="15"/>
  <c r="AB576" i="15"/>
  <c r="AB577" i="15"/>
  <c r="AB578" i="15"/>
  <c r="AB579" i="15"/>
  <c r="AB580" i="15"/>
  <c r="AB581" i="15"/>
  <c r="AB582" i="15"/>
  <c r="AB583" i="15"/>
  <c r="AB584" i="15"/>
  <c r="AB585" i="15"/>
  <c r="AB586" i="15"/>
  <c r="AB587" i="15"/>
  <c r="AB588" i="15"/>
  <c r="AB589" i="15"/>
  <c r="AB590" i="15"/>
  <c r="AB591" i="15"/>
  <c r="AB592" i="15"/>
  <c r="AB593" i="15"/>
  <c r="AB594" i="15"/>
  <c r="AB595" i="15"/>
  <c r="AB596" i="15"/>
  <c r="AB597" i="15"/>
  <c r="AB598" i="15"/>
  <c r="AB599" i="15"/>
  <c r="AB600" i="15"/>
  <c r="AB601" i="15"/>
  <c r="AB602" i="15"/>
  <c r="AB603" i="15"/>
  <c r="AB604" i="15"/>
  <c r="AB605" i="15"/>
  <c r="AB606" i="15"/>
  <c r="AB607" i="15"/>
  <c r="AB608" i="15"/>
  <c r="AB609" i="15"/>
  <c r="AB610" i="15"/>
  <c r="AB611" i="15"/>
  <c r="AB612" i="15"/>
  <c r="AB613" i="15"/>
  <c r="AB614" i="15"/>
  <c r="AB615" i="15"/>
  <c r="AB616" i="15"/>
  <c r="AB617" i="15"/>
  <c r="AB618" i="15"/>
  <c r="AB619" i="15"/>
  <c r="AB620" i="15"/>
  <c r="AB621" i="15"/>
  <c r="AB622" i="15"/>
  <c r="AB623" i="15"/>
  <c r="AB624" i="15"/>
  <c r="AB625" i="15"/>
  <c r="AB626" i="15"/>
  <c r="AB627" i="15"/>
  <c r="AB628" i="15"/>
  <c r="AB629" i="15"/>
  <c r="AB630" i="15"/>
  <c r="AB631" i="15"/>
  <c r="AB632" i="15"/>
  <c r="AB633" i="15"/>
  <c r="AB634" i="15"/>
  <c r="AB635" i="15"/>
  <c r="AB636" i="15"/>
  <c r="AB637" i="15"/>
  <c r="AB638" i="15"/>
  <c r="AB639" i="15"/>
  <c r="AB640" i="15"/>
  <c r="AB641" i="15"/>
  <c r="AB642" i="15"/>
  <c r="AB643" i="15"/>
  <c r="AB644" i="15"/>
  <c r="AB645" i="15"/>
  <c r="AB646" i="15"/>
  <c r="AB647" i="15"/>
  <c r="AB648" i="15"/>
  <c r="AB649" i="15"/>
  <c r="AB650" i="15"/>
  <c r="AB651" i="15"/>
  <c r="AB652" i="15"/>
  <c r="AB653" i="15"/>
  <c r="AB654" i="15"/>
  <c r="AB655" i="15"/>
  <c r="AB656" i="15"/>
  <c r="AB657" i="15"/>
  <c r="AB658" i="15"/>
  <c r="AB659" i="15"/>
  <c r="AB660" i="15"/>
  <c r="AB661" i="15"/>
  <c r="AB662" i="15"/>
  <c r="AB663" i="15"/>
  <c r="AB664" i="15"/>
  <c r="AB665" i="15"/>
  <c r="AB666" i="15"/>
  <c r="AB667" i="15"/>
  <c r="AB668" i="15"/>
  <c r="AB669" i="15"/>
  <c r="AB670" i="15"/>
  <c r="AB671" i="15"/>
  <c r="AB672" i="15"/>
  <c r="AB673" i="15"/>
  <c r="AB674" i="15"/>
  <c r="AB675" i="15"/>
  <c r="AB676" i="15"/>
  <c r="AB677" i="15"/>
  <c r="AB678" i="15"/>
  <c r="AB679" i="15"/>
  <c r="AB680" i="15"/>
  <c r="AB681" i="15"/>
  <c r="AB682" i="15"/>
  <c r="AB683" i="15"/>
  <c r="AB684" i="15"/>
  <c r="AB685" i="15"/>
  <c r="AB686" i="15"/>
  <c r="AB687" i="15"/>
  <c r="AB688" i="15"/>
  <c r="AB689" i="15"/>
  <c r="AB690" i="15"/>
  <c r="AB691" i="15"/>
  <c r="AB692" i="15"/>
  <c r="AB693" i="15"/>
  <c r="AB694" i="15"/>
  <c r="AB695" i="15"/>
  <c r="AB696" i="15"/>
  <c r="AB697" i="15"/>
  <c r="AB698" i="15"/>
  <c r="AB699" i="15"/>
  <c r="AB700" i="15"/>
  <c r="AB701" i="15"/>
  <c r="AB702" i="15"/>
  <c r="AB703" i="15"/>
  <c r="AB704" i="15"/>
  <c r="AB705" i="15"/>
  <c r="AB706" i="15"/>
  <c r="AB707" i="15"/>
  <c r="AB708" i="15"/>
  <c r="AB709" i="15"/>
  <c r="AB710" i="15"/>
  <c r="AB711" i="15"/>
  <c r="AB712" i="15"/>
  <c r="AB713" i="15"/>
  <c r="AB714" i="15"/>
  <c r="AB715" i="15"/>
  <c r="AB716" i="15"/>
  <c r="AB717" i="15"/>
  <c r="AB718" i="15"/>
  <c r="AB719" i="15"/>
  <c r="AB720" i="15"/>
  <c r="AB721" i="15"/>
  <c r="AB722" i="15"/>
  <c r="AB723" i="15"/>
  <c r="AB724" i="15"/>
  <c r="AB725" i="15"/>
  <c r="AB726" i="15"/>
  <c r="AB727" i="15"/>
  <c r="AB728" i="15"/>
  <c r="AB729" i="15"/>
  <c r="AB730" i="15"/>
  <c r="AB731" i="15"/>
  <c r="AB732" i="15"/>
  <c r="AB733" i="15"/>
  <c r="AB734" i="15"/>
  <c r="AB735" i="15"/>
  <c r="AB736" i="15"/>
  <c r="AB737" i="15"/>
  <c r="AB738" i="15"/>
  <c r="AB739" i="15"/>
  <c r="AB740" i="15"/>
  <c r="AB741" i="15"/>
  <c r="AB742" i="15"/>
  <c r="AB743" i="15"/>
  <c r="AB744" i="15"/>
  <c r="AB745" i="15"/>
  <c r="AB746" i="15"/>
  <c r="AB747" i="15"/>
  <c r="AB748" i="15"/>
  <c r="AB749" i="15"/>
  <c r="AB750" i="15"/>
  <c r="AB751" i="15"/>
  <c r="AB752" i="15"/>
  <c r="AB753" i="15"/>
  <c r="AB754" i="15"/>
  <c r="AB755" i="15"/>
  <c r="AB756" i="15"/>
  <c r="AB757" i="15"/>
  <c r="AB758" i="15"/>
  <c r="AB759" i="15"/>
  <c r="AB760" i="15"/>
  <c r="AB761" i="15"/>
  <c r="AB762" i="15"/>
  <c r="AB763" i="15"/>
  <c r="AB764" i="15"/>
  <c r="AB765" i="15"/>
  <c r="AB766" i="15"/>
  <c r="AB767" i="15"/>
  <c r="AB768" i="15"/>
  <c r="AB769" i="15"/>
  <c r="AB770" i="15"/>
  <c r="AB771" i="15"/>
  <c r="AB772" i="15"/>
  <c r="AB773" i="15"/>
  <c r="AB774" i="15"/>
  <c r="AB775" i="15"/>
  <c r="AB776" i="15"/>
  <c r="AB777" i="15"/>
  <c r="AB778" i="15"/>
  <c r="AB779" i="15"/>
  <c r="AB780" i="15"/>
  <c r="AB781" i="15"/>
  <c r="AB782" i="15"/>
  <c r="AB783" i="15"/>
  <c r="AB784" i="15"/>
  <c r="AB785" i="15"/>
  <c r="AB786" i="15"/>
  <c r="AB787" i="15"/>
  <c r="AB788" i="15"/>
  <c r="AB789" i="15"/>
  <c r="AB790" i="15"/>
  <c r="AB791" i="15"/>
  <c r="AB792" i="15"/>
  <c r="AB793" i="15"/>
  <c r="AB794" i="15"/>
  <c r="AB795" i="15"/>
  <c r="AB796" i="15"/>
  <c r="AB797" i="15"/>
  <c r="AB798" i="15"/>
  <c r="AB799" i="15"/>
  <c r="AB800" i="15"/>
  <c r="AB801" i="15"/>
  <c r="AB802" i="15"/>
  <c r="AB803" i="15"/>
  <c r="AB804" i="15"/>
  <c r="AB805" i="15"/>
  <c r="AB806" i="15"/>
  <c r="AB807" i="15"/>
  <c r="AB808" i="15"/>
  <c r="AB809" i="15"/>
  <c r="AB810" i="15"/>
  <c r="AB811" i="15"/>
  <c r="AB812" i="15"/>
  <c r="AB813" i="15"/>
  <c r="AB814" i="15"/>
  <c r="AB815" i="15"/>
  <c r="AB816" i="15"/>
  <c r="AB817" i="15"/>
  <c r="AB818" i="15"/>
  <c r="AB819" i="15"/>
  <c r="AB820" i="15"/>
  <c r="AB821" i="15"/>
  <c r="AB822" i="15"/>
  <c r="AB823" i="15"/>
  <c r="AB824" i="15"/>
  <c r="AB825" i="15"/>
  <c r="AB826" i="15"/>
  <c r="AB827" i="15"/>
  <c r="AB828" i="15"/>
  <c r="AB829" i="15"/>
  <c r="AB830" i="15"/>
  <c r="AB831" i="15"/>
  <c r="AB832" i="15"/>
  <c r="AB833" i="15"/>
  <c r="AB834" i="15"/>
  <c r="AB835" i="15"/>
  <c r="AB836" i="15"/>
  <c r="AB837" i="15"/>
  <c r="AB838" i="15"/>
  <c r="AB839" i="15"/>
  <c r="AB840" i="15"/>
  <c r="AB841" i="15"/>
  <c r="AB842" i="15"/>
  <c r="AB843" i="15"/>
  <c r="AB844" i="15"/>
  <c r="AB845" i="15"/>
  <c r="AB846" i="15"/>
  <c r="AB847" i="15"/>
  <c r="AB848" i="15"/>
  <c r="AB849" i="15"/>
  <c r="AB850" i="15"/>
  <c r="AB851" i="15"/>
  <c r="AB852" i="15"/>
  <c r="AB853" i="15"/>
  <c r="AB854" i="15"/>
  <c r="AB855" i="15"/>
  <c r="AB856" i="15"/>
  <c r="AB857" i="15"/>
  <c r="AB858" i="15"/>
  <c r="AB859" i="15"/>
  <c r="AB860" i="15"/>
  <c r="AB861" i="15"/>
  <c r="AB862" i="15"/>
  <c r="AB863" i="15"/>
  <c r="AB864" i="15"/>
  <c r="AB865" i="15"/>
  <c r="AB866" i="15"/>
  <c r="AB867" i="15"/>
  <c r="AB868" i="15"/>
  <c r="AB869" i="15"/>
  <c r="AB870" i="15"/>
  <c r="AA3" i="15"/>
  <c r="AA4" i="15"/>
  <c r="AA5" i="15"/>
  <c r="AA6" i="15"/>
  <c r="AA7" i="15"/>
  <c r="AA8" i="15"/>
  <c r="AA9" i="15"/>
  <c r="AA10" i="15"/>
  <c r="AA11" i="15"/>
  <c r="AA12" i="15"/>
  <c r="AA13" i="15"/>
  <c r="AA14" i="15"/>
  <c r="AA15" i="15"/>
  <c r="AA16" i="15"/>
  <c r="AA17" i="15"/>
  <c r="AA18" i="15"/>
  <c r="AA19" i="15"/>
  <c r="AA20" i="15"/>
  <c r="AA21" i="15"/>
  <c r="AA22" i="15"/>
  <c r="AA23" i="15"/>
  <c r="AA24" i="15"/>
  <c r="AA25" i="15"/>
  <c r="AA26" i="15"/>
  <c r="AA27" i="15"/>
  <c r="AA28" i="15"/>
  <c r="AA29" i="15"/>
  <c r="AA30" i="15"/>
  <c r="AA31" i="15"/>
  <c r="AA32" i="15"/>
  <c r="AA33" i="15"/>
  <c r="AA34" i="15"/>
  <c r="AA35" i="15"/>
  <c r="AA36" i="15"/>
  <c r="AA37" i="15"/>
  <c r="AA38" i="15"/>
  <c r="AA39" i="15"/>
  <c r="AA40" i="15"/>
  <c r="AA41" i="15"/>
  <c r="AA42" i="15"/>
  <c r="AA43" i="15"/>
  <c r="AA44" i="15"/>
  <c r="AA45" i="15"/>
  <c r="AA46" i="15"/>
  <c r="AA47" i="15"/>
  <c r="AA48" i="15"/>
  <c r="AA49" i="15"/>
  <c r="AA50" i="15"/>
  <c r="AA51" i="15"/>
  <c r="AA52" i="15"/>
  <c r="AA53" i="15"/>
  <c r="AA54" i="15"/>
  <c r="AA55" i="15"/>
  <c r="AA56" i="15"/>
  <c r="AA57" i="15"/>
  <c r="AA58" i="15"/>
  <c r="AA59" i="15"/>
  <c r="AA60" i="15"/>
  <c r="AA61" i="15"/>
  <c r="AA62" i="15"/>
  <c r="AA63" i="15"/>
  <c r="AA64" i="15"/>
  <c r="AA65" i="15"/>
  <c r="AA66" i="15"/>
  <c r="AA67" i="15"/>
  <c r="AA68" i="15"/>
  <c r="AA69" i="15"/>
  <c r="AA70" i="15"/>
  <c r="AA71" i="15"/>
  <c r="AA72" i="15"/>
  <c r="AA73" i="15"/>
  <c r="AA74" i="15"/>
  <c r="AA75" i="15"/>
  <c r="AA76" i="15"/>
  <c r="AA77" i="15"/>
  <c r="AA78" i="15"/>
  <c r="AA79" i="15"/>
  <c r="AA80" i="15"/>
  <c r="AA81" i="15"/>
  <c r="AA82" i="15"/>
  <c r="AA83" i="15"/>
  <c r="AA84" i="15"/>
  <c r="AA85" i="15"/>
  <c r="AA86" i="15"/>
  <c r="AA87" i="15"/>
  <c r="AA88" i="15"/>
  <c r="AA89" i="15"/>
  <c r="AA90" i="15"/>
  <c r="AA91" i="15"/>
  <c r="AA92" i="15"/>
  <c r="AA93" i="15"/>
  <c r="AA94" i="15"/>
  <c r="AA95" i="15"/>
  <c r="AA96" i="15"/>
  <c r="AA97" i="15"/>
  <c r="AA98" i="15"/>
  <c r="AA99" i="15"/>
  <c r="AA100" i="15"/>
  <c r="AA101" i="15"/>
  <c r="AA102" i="15"/>
  <c r="AA103" i="15"/>
  <c r="AA104" i="15"/>
  <c r="AA105" i="15"/>
  <c r="AA106" i="15"/>
  <c r="AA107" i="15"/>
  <c r="AA108" i="15"/>
  <c r="AA109" i="15"/>
  <c r="AA110" i="15"/>
  <c r="AA111" i="15"/>
  <c r="AA112" i="15"/>
  <c r="AA113" i="15"/>
  <c r="AA114" i="15"/>
  <c r="AA115" i="15"/>
  <c r="AA116" i="15"/>
  <c r="AA117" i="15"/>
  <c r="AA118" i="15"/>
  <c r="AA119" i="15"/>
  <c r="AA120" i="15"/>
  <c r="AA121" i="15"/>
  <c r="AA122" i="15"/>
  <c r="AA123" i="15"/>
  <c r="AA124" i="15"/>
  <c r="AA125" i="15"/>
  <c r="AA126" i="15"/>
  <c r="AA127" i="15"/>
  <c r="AA128" i="15"/>
  <c r="AA129" i="15"/>
  <c r="AA130" i="15"/>
  <c r="AA131" i="15"/>
  <c r="AA132" i="15"/>
  <c r="AA133" i="15"/>
  <c r="AA134" i="15"/>
  <c r="AA135" i="15"/>
  <c r="AA136" i="15"/>
  <c r="AA137" i="15"/>
  <c r="AA138" i="15"/>
  <c r="AA139" i="15"/>
  <c r="AA140" i="15"/>
  <c r="AA141" i="15"/>
  <c r="AA142" i="15"/>
  <c r="AA143" i="15"/>
  <c r="AA144" i="15"/>
  <c r="AA145" i="15"/>
  <c r="AA146" i="15"/>
  <c r="AA147" i="15"/>
  <c r="AA148" i="15"/>
  <c r="AA149" i="15"/>
  <c r="AA150" i="15"/>
  <c r="AA151" i="15"/>
  <c r="AA152" i="15"/>
  <c r="AA153" i="15"/>
  <c r="AA154" i="15"/>
  <c r="AA155" i="15"/>
  <c r="AA156" i="15"/>
  <c r="AA157" i="15"/>
  <c r="AA158" i="15"/>
  <c r="AA159" i="15"/>
  <c r="AA160" i="15"/>
  <c r="AA161" i="15"/>
  <c r="AA162" i="15"/>
  <c r="AA163" i="15"/>
  <c r="AA164" i="15"/>
  <c r="AA165" i="15"/>
  <c r="AA166" i="15"/>
  <c r="AA167" i="15"/>
  <c r="AA168" i="15"/>
  <c r="AA169" i="15"/>
  <c r="AA170" i="15"/>
  <c r="AA171" i="15"/>
  <c r="AA172" i="15"/>
  <c r="AA173" i="15"/>
  <c r="AA174" i="15"/>
  <c r="AA175" i="15"/>
  <c r="AA176" i="15"/>
  <c r="AA177" i="15"/>
  <c r="AA178" i="15"/>
  <c r="AA179" i="15"/>
  <c r="AA180" i="15"/>
  <c r="AA181" i="15"/>
  <c r="AA182" i="15"/>
  <c r="AA183" i="15"/>
  <c r="AA184" i="15"/>
  <c r="AA185" i="15"/>
  <c r="AA186" i="15"/>
  <c r="AA187" i="15"/>
  <c r="AA188" i="15"/>
  <c r="AA189" i="15"/>
  <c r="AA190" i="15"/>
  <c r="AA191" i="15"/>
  <c r="AA192" i="15"/>
  <c r="AA193" i="15"/>
  <c r="AA194" i="15"/>
  <c r="AA195" i="15"/>
  <c r="AA196" i="15"/>
  <c r="AA197" i="15"/>
  <c r="AA198" i="15"/>
  <c r="AA199" i="15"/>
  <c r="AA200" i="15"/>
  <c r="AA201" i="15"/>
  <c r="AA202" i="15"/>
  <c r="AA203" i="15"/>
  <c r="AA204" i="15"/>
  <c r="AA205" i="15"/>
  <c r="AA206" i="15"/>
  <c r="AA207" i="15"/>
  <c r="AA208" i="15"/>
  <c r="AA209" i="15"/>
  <c r="AA210" i="15"/>
  <c r="AA211" i="15"/>
  <c r="AA212" i="15"/>
  <c r="AA213" i="15"/>
  <c r="AA214" i="15"/>
  <c r="AA215" i="15"/>
  <c r="AA216" i="15"/>
  <c r="AA217" i="15"/>
  <c r="AA218" i="15"/>
  <c r="AA219" i="15"/>
  <c r="AA220" i="15"/>
  <c r="AA221" i="15"/>
  <c r="AA222" i="15"/>
  <c r="AA223" i="15"/>
  <c r="AA224" i="15"/>
  <c r="AA225" i="15"/>
  <c r="AA226" i="15"/>
  <c r="AA227" i="15"/>
  <c r="AA228" i="15"/>
  <c r="AA229" i="15"/>
  <c r="AA230" i="15"/>
  <c r="AA231" i="15"/>
  <c r="AA232" i="15"/>
  <c r="AA233" i="15"/>
  <c r="AA234" i="15"/>
  <c r="AA235" i="15"/>
  <c r="AA236" i="15"/>
  <c r="AA237" i="15"/>
  <c r="AA238" i="15"/>
  <c r="AA239" i="15"/>
  <c r="AA240" i="15"/>
  <c r="AA241" i="15"/>
  <c r="AA242" i="15"/>
  <c r="AA243" i="15"/>
  <c r="AA244" i="15"/>
  <c r="AA245" i="15"/>
  <c r="AA246" i="15"/>
  <c r="AA247" i="15"/>
  <c r="AA248" i="15"/>
  <c r="AA249" i="15"/>
  <c r="AA250" i="15"/>
  <c r="AA251" i="15"/>
  <c r="AA252" i="15"/>
  <c r="AA253" i="15"/>
  <c r="AA254" i="15"/>
  <c r="AA255" i="15"/>
  <c r="AA256" i="15"/>
  <c r="AA257" i="15"/>
  <c r="AA258" i="15"/>
  <c r="AA259" i="15"/>
  <c r="AA260" i="15"/>
  <c r="AA261" i="15"/>
  <c r="AA262" i="15"/>
  <c r="AA263" i="15"/>
  <c r="AA264" i="15"/>
  <c r="AA265" i="15"/>
  <c r="AA266" i="15"/>
  <c r="AA267" i="15"/>
  <c r="AA268" i="15"/>
  <c r="AA269" i="15"/>
  <c r="AA270" i="15"/>
  <c r="AA271" i="15"/>
  <c r="AA272" i="15"/>
  <c r="AA273" i="15"/>
  <c r="AA274" i="15"/>
  <c r="AA275" i="15"/>
  <c r="AA276" i="15"/>
  <c r="AA277" i="15"/>
  <c r="AA278" i="15"/>
  <c r="AA279" i="15"/>
  <c r="AA280" i="15"/>
  <c r="AA281" i="15"/>
  <c r="AA282" i="15"/>
  <c r="AA283" i="15"/>
  <c r="AA284" i="15"/>
  <c r="AA285" i="15"/>
  <c r="AA286" i="15"/>
  <c r="AA287" i="15"/>
  <c r="AA288" i="15"/>
  <c r="AA289" i="15"/>
  <c r="AA290" i="15"/>
  <c r="AA291" i="15"/>
  <c r="AA292" i="15"/>
  <c r="AA293" i="15"/>
  <c r="AA294" i="15"/>
  <c r="AA295" i="15"/>
  <c r="AA296" i="15"/>
  <c r="AA297" i="15"/>
  <c r="AA298" i="15"/>
  <c r="AA299" i="15"/>
  <c r="AA300" i="15"/>
  <c r="AA301" i="15"/>
  <c r="AA302" i="15"/>
  <c r="AA303" i="15"/>
  <c r="AA304" i="15"/>
  <c r="AA305" i="15"/>
  <c r="AA306" i="15"/>
  <c r="AA307" i="15"/>
  <c r="AA308" i="15"/>
  <c r="AA309" i="15"/>
  <c r="AA310" i="15"/>
  <c r="AA311" i="15"/>
  <c r="AA312" i="15"/>
  <c r="AA313" i="15"/>
  <c r="AA314" i="15"/>
  <c r="AA315" i="15"/>
  <c r="AA316" i="15"/>
  <c r="AA317" i="15"/>
  <c r="AA318" i="15"/>
  <c r="AA319" i="15"/>
  <c r="AA320" i="15"/>
  <c r="AA321" i="15"/>
  <c r="AA322" i="15"/>
  <c r="AA323" i="15"/>
  <c r="AA324" i="15"/>
  <c r="AA325" i="15"/>
  <c r="AA326" i="15"/>
  <c r="AA327" i="15"/>
  <c r="AA328" i="15"/>
  <c r="AA329" i="15"/>
  <c r="AA330" i="15"/>
  <c r="AA331" i="15"/>
  <c r="AA332" i="15"/>
  <c r="AA333" i="15"/>
  <c r="AA334" i="15"/>
  <c r="AA335" i="15"/>
  <c r="AA336" i="15"/>
  <c r="AA337" i="15"/>
  <c r="AA338" i="15"/>
  <c r="AA339" i="15"/>
  <c r="AA340" i="15"/>
  <c r="AA341" i="15"/>
  <c r="AA342" i="15"/>
  <c r="AA343" i="15"/>
  <c r="AA344" i="15"/>
  <c r="AA345" i="15"/>
  <c r="AA346" i="15"/>
  <c r="AA347" i="15"/>
  <c r="AA348" i="15"/>
  <c r="AA349" i="15"/>
  <c r="AA350" i="15"/>
  <c r="AA351" i="15"/>
  <c r="AA352" i="15"/>
  <c r="AA353" i="15"/>
  <c r="AA354" i="15"/>
  <c r="AA355" i="15"/>
  <c r="AA356" i="15"/>
  <c r="AA357" i="15"/>
  <c r="AA358" i="15"/>
  <c r="AA359" i="15"/>
  <c r="AA360" i="15"/>
  <c r="AA361" i="15"/>
  <c r="AA362" i="15"/>
  <c r="AA363" i="15"/>
  <c r="AA364" i="15"/>
  <c r="AA365" i="15"/>
  <c r="AA366" i="15"/>
  <c r="AA367" i="15"/>
  <c r="AA368" i="15"/>
  <c r="AA369" i="15"/>
  <c r="AA370" i="15"/>
  <c r="AA371" i="15"/>
  <c r="AA372" i="15"/>
  <c r="AA373" i="15"/>
  <c r="AA374" i="15"/>
  <c r="AA375" i="15"/>
  <c r="AA376" i="15"/>
  <c r="AA377" i="15"/>
  <c r="AA378" i="15"/>
  <c r="AA379" i="15"/>
  <c r="AA380" i="15"/>
  <c r="AA381" i="15"/>
  <c r="AA382" i="15"/>
  <c r="AA383" i="15"/>
  <c r="AA384" i="15"/>
  <c r="AA385" i="15"/>
  <c r="AA386" i="15"/>
  <c r="AA387" i="15"/>
  <c r="AA388" i="15"/>
  <c r="AA389" i="15"/>
  <c r="AA390" i="15"/>
  <c r="AA391" i="15"/>
  <c r="AA392" i="15"/>
  <c r="AA393" i="15"/>
  <c r="AA394" i="15"/>
  <c r="AA395" i="15"/>
  <c r="AA396" i="15"/>
  <c r="AA397" i="15"/>
  <c r="AA398" i="15"/>
  <c r="AA399" i="15"/>
  <c r="AA400" i="15"/>
  <c r="AA401" i="15"/>
  <c r="AA402" i="15"/>
  <c r="AA403" i="15"/>
  <c r="AA404" i="15"/>
  <c r="AA405" i="15"/>
  <c r="AA406" i="15"/>
  <c r="AA407" i="15"/>
  <c r="AA408" i="15"/>
  <c r="AA409" i="15"/>
  <c r="AA410" i="15"/>
  <c r="AA411" i="15"/>
  <c r="AA412" i="15"/>
  <c r="AA413" i="15"/>
  <c r="AA414" i="15"/>
  <c r="AA415" i="15"/>
  <c r="AA416" i="15"/>
  <c r="AA417" i="15"/>
  <c r="AA418" i="15"/>
  <c r="AA419" i="15"/>
  <c r="AA420" i="15"/>
  <c r="AA421" i="15"/>
  <c r="AA422" i="15"/>
  <c r="AA423" i="15"/>
  <c r="AA424" i="15"/>
  <c r="AA425" i="15"/>
  <c r="AA426" i="15"/>
  <c r="AA427" i="15"/>
  <c r="AA428" i="15"/>
  <c r="AA429" i="15"/>
  <c r="AA430" i="15"/>
  <c r="AA431" i="15"/>
  <c r="AA432" i="15"/>
  <c r="AA433" i="15"/>
  <c r="AA434" i="15"/>
  <c r="AA435" i="15"/>
  <c r="AA436" i="15"/>
  <c r="AA437" i="15"/>
  <c r="AA438" i="15"/>
  <c r="AA439" i="15"/>
  <c r="AA440" i="15"/>
  <c r="AA441" i="15"/>
  <c r="AA442" i="15"/>
  <c r="AA443" i="15"/>
  <c r="AA444" i="15"/>
  <c r="AA445" i="15"/>
  <c r="AA446" i="15"/>
  <c r="AA447" i="15"/>
  <c r="AA448" i="15"/>
  <c r="AA449" i="15"/>
  <c r="AA450" i="15"/>
  <c r="AA451" i="15"/>
  <c r="AA452" i="15"/>
  <c r="AA453" i="15"/>
  <c r="AA454" i="15"/>
  <c r="AA455" i="15"/>
  <c r="AA456" i="15"/>
  <c r="AA457" i="15"/>
  <c r="AA458" i="15"/>
  <c r="AA459" i="15"/>
  <c r="AA460" i="15"/>
  <c r="AA461" i="15"/>
  <c r="AA462" i="15"/>
  <c r="AA463" i="15"/>
  <c r="AA464" i="15"/>
  <c r="AA465" i="15"/>
  <c r="AA466" i="15"/>
  <c r="AA467" i="15"/>
  <c r="AA468" i="15"/>
  <c r="AA469" i="15"/>
  <c r="AA470" i="15"/>
  <c r="AA471" i="15"/>
  <c r="AA472" i="15"/>
  <c r="AA473" i="15"/>
  <c r="AA474" i="15"/>
  <c r="AA475" i="15"/>
  <c r="AA476" i="15"/>
  <c r="AA477" i="15"/>
  <c r="AA478" i="15"/>
  <c r="AA479" i="15"/>
  <c r="AA480" i="15"/>
  <c r="AA481" i="15"/>
  <c r="AA482" i="15"/>
  <c r="AA483" i="15"/>
  <c r="AA484" i="15"/>
  <c r="AA485" i="15"/>
  <c r="AA486" i="15"/>
  <c r="AA487" i="15"/>
  <c r="AA488" i="15"/>
  <c r="AA489" i="15"/>
  <c r="AA490" i="15"/>
  <c r="AA491" i="15"/>
  <c r="AA492" i="15"/>
  <c r="AA493" i="15"/>
  <c r="AA494" i="15"/>
  <c r="AA495" i="15"/>
  <c r="AA496" i="15"/>
  <c r="AA497" i="15"/>
  <c r="AA498" i="15"/>
  <c r="AA499" i="15"/>
  <c r="AA500" i="15"/>
  <c r="AA501" i="15"/>
  <c r="AA502" i="15"/>
  <c r="AA503" i="15"/>
  <c r="AA504" i="15"/>
  <c r="AA505" i="15"/>
  <c r="AA506" i="15"/>
  <c r="AA507" i="15"/>
  <c r="AA508" i="15"/>
  <c r="AA509" i="15"/>
  <c r="AA510" i="15"/>
  <c r="AA511" i="15"/>
  <c r="AA512" i="15"/>
  <c r="AA513" i="15"/>
  <c r="AA514" i="15"/>
  <c r="AA515" i="15"/>
  <c r="AA516" i="15"/>
  <c r="AA517" i="15"/>
  <c r="AA518" i="15"/>
  <c r="AA519" i="15"/>
  <c r="AA520" i="15"/>
  <c r="AA521" i="15"/>
  <c r="AA522" i="15"/>
  <c r="AA523" i="15"/>
  <c r="AA524" i="15"/>
  <c r="AA525" i="15"/>
  <c r="AA526" i="15"/>
  <c r="AA527" i="15"/>
  <c r="AA528" i="15"/>
  <c r="AA529" i="15"/>
  <c r="AA530" i="15"/>
  <c r="AA531" i="15"/>
  <c r="AA532" i="15"/>
  <c r="AA533" i="15"/>
  <c r="AA534" i="15"/>
  <c r="AA535" i="15"/>
  <c r="AA536" i="15"/>
  <c r="AA537" i="15"/>
  <c r="AA538" i="15"/>
  <c r="AA539" i="15"/>
  <c r="AA540" i="15"/>
  <c r="AA541" i="15"/>
  <c r="AA542" i="15"/>
  <c r="AA543" i="15"/>
  <c r="AA544" i="15"/>
  <c r="AA545" i="15"/>
  <c r="AA546" i="15"/>
  <c r="AA547" i="15"/>
  <c r="AA548" i="15"/>
  <c r="AA549" i="15"/>
  <c r="AA550" i="15"/>
  <c r="AA551" i="15"/>
  <c r="AA552" i="15"/>
  <c r="AA553" i="15"/>
  <c r="AA554" i="15"/>
  <c r="AA555" i="15"/>
  <c r="AA556" i="15"/>
  <c r="AA557" i="15"/>
  <c r="AA558" i="15"/>
  <c r="AA559" i="15"/>
  <c r="AA560" i="15"/>
  <c r="AA561" i="15"/>
  <c r="AA562" i="15"/>
  <c r="AA563" i="15"/>
  <c r="AA564" i="15"/>
  <c r="AA565" i="15"/>
  <c r="AA566" i="15"/>
  <c r="AA567" i="15"/>
  <c r="AA568" i="15"/>
  <c r="AA569" i="15"/>
  <c r="AA570" i="15"/>
  <c r="AA571" i="15"/>
  <c r="AA572" i="15"/>
  <c r="AA573" i="15"/>
  <c r="AA574" i="15"/>
  <c r="AA575" i="15"/>
  <c r="AA576" i="15"/>
  <c r="AA577" i="15"/>
  <c r="AA578" i="15"/>
  <c r="AA579" i="15"/>
  <c r="AA580" i="15"/>
  <c r="AA581" i="15"/>
  <c r="AA582" i="15"/>
  <c r="AA583" i="15"/>
  <c r="AA584" i="15"/>
  <c r="AA585" i="15"/>
  <c r="AA586" i="15"/>
  <c r="AA587" i="15"/>
  <c r="AA588" i="15"/>
  <c r="AA589" i="15"/>
  <c r="AA590" i="15"/>
  <c r="AA591" i="15"/>
  <c r="AA592" i="15"/>
  <c r="AA593" i="15"/>
  <c r="AA594" i="15"/>
  <c r="AA595" i="15"/>
  <c r="AA596" i="15"/>
  <c r="AA597" i="15"/>
  <c r="AA598" i="15"/>
  <c r="AA599" i="15"/>
  <c r="AA600" i="15"/>
  <c r="AA601" i="15"/>
  <c r="AA602" i="15"/>
  <c r="AA603" i="15"/>
  <c r="AA604" i="15"/>
  <c r="AA605" i="15"/>
  <c r="AA606" i="15"/>
  <c r="AA607" i="15"/>
  <c r="AA608" i="15"/>
  <c r="AA609" i="15"/>
  <c r="AA610" i="15"/>
  <c r="AA611" i="15"/>
  <c r="AA612" i="15"/>
  <c r="AA613" i="15"/>
  <c r="AA614" i="15"/>
  <c r="AA615" i="15"/>
  <c r="AA616" i="15"/>
  <c r="AA617" i="15"/>
  <c r="AA618" i="15"/>
  <c r="AA619" i="15"/>
  <c r="AA620" i="15"/>
  <c r="AA621" i="15"/>
  <c r="AA622" i="15"/>
  <c r="AA623" i="15"/>
  <c r="AA624" i="15"/>
  <c r="AA625" i="15"/>
  <c r="AA626" i="15"/>
  <c r="AA627" i="15"/>
  <c r="AA628" i="15"/>
  <c r="AA629" i="15"/>
  <c r="AA630" i="15"/>
  <c r="AA631" i="15"/>
  <c r="AA632" i="15"/>
  <c r="AA633" i="15"/>
  <c r="AA634" i="15"/>
  <c r="AA635" i="15"/>
  <c r="AA636" i="15"/>
  <c r="AA637" i="15"/>
  <c r="AA638" i="15"/>
  <c r="AA639" i="15"/>
  <c r="AA640" i="15"/>
  <c r="AA641" i="15"/>
  <c r="AA642" i="15"/>
  <c r="AA643" i="15"/>
  <c r="AA644" i="15"/>
  <c r="AA645" i="15"/>
  <c r="AA646" i="15"/>
  <c r="AA647" i="15"/>
  <c r="AA648" i="15"/>
  <c r="AA649" i="15"/>
  <c r="AA650" i="15"/>
  <c r="AA651" i="15"/>
  <c r="AA652" i="15"/>
  <c r="AA653" i="15"/>
  <c r="AA654" i="15"/>
  <c r="AA655" i="15"/>
  <c r="AA656" i="15"/>
  <c r="AA657" i="15"/>
  <c r="AA658" i="15"/>
  <c r="AA659" i="15"/>
  <c r="AA660" i="15"/>
  <c r="AA661" i="15"/>
  <c r="AA662" i="15"/>
  <c r="AA663" i="15"/>
  <c r="AA664" i="15"/>
  <c r="AA665" i="15"/>
  <c r="AA666" i="15"/>
  <c r="AA667" i="15"/>
  <c r="AA668" i="15"/>
  <c r="AA669" i="15"/>
  <c r="AA670" i="15"/>
  <c r="AA671" i="15"/>
  <c r="AA672" i="15"/>
  <c r="AA673" i="15"/>
  <c r="AA674" i="15"/>
  <c r="AA675" i="15"/>
  <c r="AA676" i="15"/>
  <c r="AA677" i="15"/>
  <c r="AA678" i="15"/>
  <c r="AA679" i="15"/>
  <c r="AA680" i="15"/>
  <c r="AA681" i="15"/>
  <c r="AA682" i="15"/>
  <c r="AA683" i="15"/>
  <c r="AA684" i="15"/>
  <c r="AA685" i="15"/>
  <c r="AA686" i="15"/>
  <c r="AA687" i="15"/>
  <c r="AA688" i="15"/>
  <c r="AA689" i="15"/>
  <c r="AA690" i="15"/>
  <c r="AA691" i="15"/>
  <c r="AA692" i="15"/>
  <c r="AA693" i="15"/>
  <c r="AA694" i="15"/>
  <c r="AA695" i="15"/>
  <c r="AA696" i="15"/>
  <c r="AA697" i="15"/>
  <c r="AA698" i="15"/>
  <c r="AA699" i="15"/>
  <c r="AA700" i="15"/>
  <c r="AA701" i="15"/>
  <c r="AA702" i="15"/>
  <c r="AA703" i="15"/>
  <c r="AA704" i="15"/>
  <c r="AA705" i="15"/>
  <c r="AA706" i="15"/>
  <c r="AA707" i="15"/>
  <c r="AA708" i="15"/>
  <c r="AA709" i="15"/>
  <c r="AA710" i="15"/>
  <c r="AA711" i="15"/>
  <c r="AA712" i="15"/>
  <c r="AA713" i="15"/>
  <c r="AA714" i="15"/>
  <c r="AA715" i="15"/>
  <c r="AA716" i="15"/>
  <c r="AA717" i="15"/>
  <c r="AA718" i="15"/>
  <c r="AA719" i="15"/>
  <c r="AA720" i="15"/>
  <c r="AA721" i="15"/>
  <c r="AA722" i="15"/>
  <c r="AA723" i="15"/>
  <c r="AA724" i="15"/>
  <c r="AA725" i="15"/>
  <c r="AA726" i="15"/>
  <c r="AA727" i="15"/>
  <c r="AA728" i="15"/>
  <c r="AA729" i="15"/>
  <c r="AA730" i="15"/>
  <c r="AA731" i="15"/>
  <c r="AA732" i="15"/>
  <c r="AA733" i="15"/>
  <c r="AA734" i="15"/>
  <c r="AA735" i="15"/>
  <c r="AA736" i="15"/>
  <c r="AA737" i="15"/>
  <c r="AA738" i="15"/>
  <c r="AA739" i="15"/>
  <c r="AA740" i="15"/>
  <c r="AA741" i="15"/>
  <c r="AA742" i="15"/>
  <c r="AA743" i="15"/>
  <c r="AA744" i="15"/>
  <c r="AA745" i="15"/>
  <c r="AA746" i="15"/>
  <c r="AA747" i="15"/>
  <c r="AA748" i="15"/>
  <c r="AA749" i="15"/>
  <c r="AA750" i="15"/>
  <c r="AA751" i="15"/>
  <c r="AA752" i="15"/>
  <c r="AA753" i="15"/>
  <c r="AA754" i="15"/>
  <c r="AA755" i="15"/>
  <c r="AA756" i="15"/>
  <c r="AA757" i="15"/>
  <c r="AA758" i="15"/>
  <c r="AA759" i="15"/>
  <c r="AA760" i="15"/>
  <c r="AA761" i="15"/>
  <c r="AA762" i="15"/>
  <c r="AA763" i="15"/>
  <c r="AA764" i="15"/>
  <c r="AA765" i="15"/>
  <c r="AA766" i="15"/>
  <c r="AA767" i="15"/>
  <c r="AA768" i="15"/>
  <c r="AA769" i="15"/>
  <c r="AA770" i="15"/>
  <c r="AA771" i="15"/>
  <c r="AA772" i="15"/>
  <c r="AA773" i="15"/>
  <c r="AA774" i="15"/>
  <c r="AA775" i="15"/>
  <c r="AA776" i="15"/>
  <c r="AA777" i="15"/>
  <c r="AA778" i="15"/>
  <c r="AA779" i="15"/>
  <c r="AA780" i="15"/>
  <c r="AA781" i="15"/>
  <c r="AA782" i="15"/>
  <c r="AA783" i="15"/>
  <c r="AA784" i="15"/>
  <c r="AA785" i="15"/>
  <c r="AA786" i="15"/>
  <c r="AA787" i="15"/>
  <c r="AA788" i="15"/>
  <c r="AA789" i="15"/>
  <c r="AA790" i="15"/>
  <c r="AA791" i="15"/>
  <c r="AA792" i="15"/>
  <c r="AA793" i="15"/>
  <c r="AA794" i="15"/>
  <c r="AA795" i="15"/>
  <c r="AA796" i="15"/>
  <c r="AA797" i="15"/>
  <c r="AA798" i="15"/>
  <c r="AA799" i="15"/>
  <c r="AA800" i="15"/>
  <c r="AA801" i="15"/>
  <c r="AA802" i="15"/>
  <c r="AA803" i="15"/>
  <c r="AA804" i="15"/>
  <c r="AA805" i="15"/>
  <c r="AA806" i="15"/>
  <c r="AA807" i="15"/>
  <c r="AA808" i="15"/>
  <c r="AA809" i="15"/>
  <c r="AA810" i="15"/>
  <c r="AA811" i="15"/>
  <c r="AA812" i="15"/>
  <c r="AA813" i="15"/>
  <c r="AA814" i="15"/>
  <c r="AA815" i="15"/>
  <c r="AA816" i="15"/>
  <c r="AA817" i="15"/>
  <c r="AA818" i="15"/>
  <c r="AA819" i="15"/>
  <c r="AA820" i="15"/>
  <c r="AA821" i="15"/>
  <c r="AA822" i="15"/>
  <c r="AA823" i="15"/>
  <c r="AA824" i="15"/>
  <c r="AA825" i="15"/>
  <c r="AA826" i="15"/>
  <c r="AA827" i="15"/>
  <c r="AA828" i="15"/>
  <c r="AA829" i="15"/>
  <c r="AA830" i="15"/>
  <c r="AA831" i="15"/>
  <c r="AA832" i="15"/>
  <c r="AA833" i="15"/>
  <c r="AA834" i="15"/>
  <c r="AA835" i="15"/>
  <c r="AA836" i="15"/>
  <c r="AA837" i="15"/>
  <c r="AA838" i="15"/>
  <c r="AA839" i="15"/>
  <c r="AA840" i="15"/>
  <c r="AA841" i="15"/>
  <c r="AA842" i="15"/>
  <c r="AA843" i="15"/>
  <c r="AA844" i="15"/>
  <c r="AA845" i="15"/>
  <c r="AA846" i="15"/>
  <c r="AA847" i="15"/>
  <c r="AA848" i="15"/>
  <c r="AA849" i="15"/>
  <c r="AA850" i="15"/>
  <c r="AA851" i="15"/>
  <c r="AA852" i="15"/>
  <c r="AA853" i="15"/>
  <c r="AA854" i="15"/>
  <c r="AA855" i="15"/>
  <c r="AA856" i="15"/>
  <c r="AA857" i="15"/>
  <c r="AA858" i="15"/>
  <c r="AA859" i="15"/>
  <c r="AA860" i="15"/>
  <c r="AA861" i="15"/>
  <c r="AA862" i="15"/>
  <c r="AA863" i="15"/>
  <c r="AA864" i="15"/>
  <c r="AA865" i="15"/>
  <c r="AA866" i="15"/>
  <c r="AA867" i="15"/>
  <c r="AA868" i="15"/>
  <c r="AA869" i="15"/>
  <c r="AA870" i="15"/>
  <c r="C4" i="18"/>
  <c r="B26" i="17"/>
  <c r="B25" i="17"/>
  <c r="B24" i="17"/>
  <c r="B23" i="17"/>
  <c r="B22" i="17"/>
  <c r="B21" i="17"/>
  <c r="B20" i="17"/>
  <c r="B19" i="17"/>
  <c r="B18" i="17"/>
  <c r="B17" i="17"/>
  <c r="B16" i="17"/>
  <c r="B15" i="17"/>
  <c r="B14" i="17"/>
  <c r="B13" i="17"/>
  <c r="B12" i="17"/>
  <c r="H6" i="17"/>
  <c r="D21" i="16"/>
  <c r="C21" i="16"/>
  <c r="B21" i="16"/>
  <c r="D20" i="16"/>
  <c r="C20" i="16"/>
  <c r="B20" i="16"/>
  <c r="D19" i="16"/>
  <c r="C19" i="16"/>
  <c r="B19" i="16"/>
  <c r="D18" i="16"/>
  <c r="C18" i="16"/>
  <c r="B18" i="16"/>
  <c r="D17" i="16"/>
  <c r="C17" i="16"/>
  <c r="B17" i="16"/>
  <c r="D16" i="16"/>
  <c r="C16" i="16"/>
  <c r="B16" i="16"/>
  <c r="D15" i="16"/>
  <c r="C15" i="16"/>
  <c r="B15" i="16"/>
  <c r="D14" i="16"/>
  <c r="C14" i="16"/>
  <c r="B14" i="16"/>
  <c r="I14" i="16" s="1"/>
  <c r="D13" i="16"/>
  <c r="C13" i="16"/>
  <c r="B13" i="16"/>
  <c r="D12" i="16"/>
  <c r="C12" i="16"/>
  <c r="B12" i="16"/>
  <c r="D11" i="16"/>
  <c r="C11" i="16"/>
  <c r="B11" i="16"/>
  <c r="D10" i="16"/>
  <c r="C10" i="16"/>
  <c r="B10" i="16"/>
  <c r="D9" i="16"/>
  <c r="C9" i="16"/>
  <c r="B9" i="16"/>
  <c r="D8" i="16"/>
  <c r="C8" i="16"/>
  <c r="B8" i="16"/>
  <c r="I8" i="16" s="1"/>
  <c r="D7" i="16"/>
  <c r="C7" i="16"/>
  <c r="B7" i="16"/>
  <c r="G124" i="14"/>
  <c r="F124" i="14" s="1" a="1"/>
  <c r="D124" i="14"/>
  <c r="C124" i="14"/>
  <c r="B124" i="14"/>
  <c r="G123" i="14"/>
  <c r="F123" i="14" s="1" a="1"/>
  <c r="D123" i="14"/>
  <c r="C123" i="14"/>
  <c r="B123" i="14"/>
  <c r="G122" i="14"/>
  <c r="F122" i="14" s="1" a="1"/>
  <c r="D122" i="14"/>
  <c r="C122" i="14"/>
  <c r="B122" i="14"/>
  <c r="G121" i="14"/>
  <c r="F121" i="14" s="1" a="1"/>
  <c r="D121" i="14"/>
  <c r="C121" i="14"/>
  <c r="B121" i="14"/>
  <c r="G120" i="14"/>
  <c r="F120" i="14" s="1" a="1"/>
  <c r="D120" i="14"/>
  <c r="C120" i="14"/>
  <c r="B120" i="14"/>
  <c r="G119" i="14"/>
  <c r="F119" i="14" s="1" a="1"/>
  <c r="D119" i="14"/>
  <c r="C119" i="14"/>
  <c r="B119" i="14"/>
  <c r="G118" i="14"/>
  <c r="F118" i="14" s="1" a="1"/>
  <c r="D118" i="14"/>
  <c r="C118" i="14"/>
  <c r="B118" i="14"/>
  <c r="G117" i="14"/>
  <c r="F117" i="14" s="1" a="1"/>
  <c r="D117" i="14"/>
  <c r="C117" i="14"/>
  <c r="B117" i="14"/>
  <c r="G116" i="14"/>
  <c r="F116" i="14" s="1" a="1"/>
  <c r="D116" i="14"/>
  <c r="C116" i="14"/>
  <c r="B116" i="14"/>
  <c r="G115" i="14"/>
  <c r="F115" i="14" s="1" a="1"/>
  <c r="D115" i="14"/>
  <c r="C115" i="14"/>
  <c r="B115" i="14"/>
  <c r="G114" i="14"/>
  <c r="F114" i="14" s="1" a="1"/>
  <c r="D114" i="14"/>
  <c r="C114" i="14"/>
  <c r="B114" i="14"/>
  <c r="G113" i="14"/>
  <c r="F113" i="14" s="1" a="1"/>
  <c r="D113" i="14"/>
  <c r="C113" i="14"/>
  <c r="B113" i="14"/>
  <c r="G112" i="14"/>
  <c r="F112" i="14" s="1" a="1"/>
  <c r="D112" i="14"/>
  <c r="C112" i="14"/>
  <c r="B112" i="14"/>
  <c r="G111" i="14"/>
  <c r="F111" i="14" s="1" a="1"/>
  <c r="D111" i="14"/>
  <c r="C111" i="14"/>
  <c r="B111" i="14"/>
  <c r="G110" i="14"/>
  <c r="F110" i="14" s="1" a="1"/>
  <c r="D110" i="14"/>
  <c r="C110" i="14"/>
  <c r="B110" i="14"/>
  <c r="G109" i="14"/>
  <c r="F109" i="14" s="1" a="1"/>
  <c r="D109" i="14"/>
  <c r="C109" i="14"/>
  <c r="B109" i="14"/>
  <c r="G108" i="14"/>
  <c r="F108" i="14" s="1" a="1"/>
  <c r="D108" i="14"/>
  <c r="C108" i="14"/>
  <c r="B108" i="14"/>
  <c r="G107" i="14"/>
  <c r="F107" i="14" s="1" a="1"/>
  <c r="D107" i="14"/>
  <c r="C107" i="14"/>
  <c r="B107" i="14"/>
  <c r="G106" i="14"/>
  <c r="F106" i="14" s="1" a="1"/>
  <c r="D106" i="14"/>
  <c r="C106" i="14"/>
  <c r="B106" i="14"/>
  <c r="G105" i="14"/>
  <c r="F105" i="14" s="1" a="1"/>
  <c r="D105" i="14"/>
  <c r="C105" i="14"/>
  <c r="B105" i="14"/>
  <c r="G104" i="14"/>
  <c r="F104" i="14" s="1" a="1"/>
  <c r="D104" i="14"/>
  <c r="C104" i="14"/>
  <c r="B104" i="14"/>
  <c r="G103" i="14"/>
  <c r="F103" i="14" s="1" a="1"/>
  <c r="D103" i="14"/>
  <c r="C103" i="14"/>
  <c r="B103" i="14"/>
  <c r="G102" i="14"/>
  <c r="F102" i="14" s="1" a="1"/>
  <c r="D102" i="14"/>
  <c r="C102" i="14"/>
  <c r="B102" i="14"/>
  <c r="G101" i="14"/>
  <c r="F101" i="14" s="1" a="1"/>
  <c r="D101" i="14"/>
  <c r="C101" i="14"/>
  <c r="B101" i="14"/>
  <c r="G100" i="14"/>
  <c r="F100" i="14" s="1" a="1"/>
  <c r="D100" i="14"/>
  <c r="C100" i="14"/>
  <c r="B100" i="14"/>
  <c r="G99" i="14"/>
  <c r="F99" i="14" s="1" a="1"/>
  <c r="D99" i="14"/>
  <c r="C99" i="14"/>
  <c r="B99" i="14"/>
  <c r="G98" i="14"/>
  <c r="F98" i="14" s="1" a="1"/>
  <c r="D98" i="14"/>
  <c r="C98" i="14"/>
  <c r="B98" i="14"/>
  <c r="G97" i="14"/>
  <c r="F97" i="14" s="1" a="1"/>
  <c r="D97" i="14"/>
  <c r="C97" i="14"/>
  <c r="B97" i="14"/>
  <c r="G96" i="14"/>
  <c r="F96" i="14" s="1" a="1"/>
  <c r="D96" i="14"/>
  <c r="C96" i="14"/>
  <c r="B96" i="14"/>
  <c r="G95" i="14"/>
  <c r="F95" i="14" s="1" a="1"/>
  <c r="D95" i="14"/>
  <c r="C95" i="14"/>
  <c r="B95" i="14"/>
  <c r="G94" i="14"/>
  <c r="F94" i="14" s="1" a="1"/>
  <c r="D94" i="14"/>
  <c r="C94" i="14"/>
  <c r="B94" i="14"/>
  <c r="G93" i="14"/>
  <c r="F93" i="14" s="1" a="1"/>
  <c r="D93" i="14"/>
  <c r="C93" i="14"/>
  <c r="B93" i="14"/>
  <c r="G92" i="14"/>
  <c r="F92" i="14" s="1" a="1"/>
  <c r="D92" i="14"/>
  <c r="C92" i="14"/>
  <c r="B92" i="14"/>
  <c r="G91" i="14"/>
  <c r="F91" i="14" s="1" a="1"/>
  <c r="D91" i="14"/>
  <c r="C91" i="14"/>
  <c r="B91" i="14"/>
  <c r="G90" i="14"/>
  <c r="F90" i="14" s="1" a="1"/>
  <c r="D90" i="14"/>
  <c r="C90" i="14"/>
  <c r="B90" i="14"/>
  <c r="G89" i="14"/>
  <c r="F89" i="14" s="1" a="1"/>
  <c r="D89" i="14"/>
  <c r="C89" i="14"/>
  <c r="B89" i="14"/>
  <c r="G88" i="14"/>
  <c r="D88" i="14"/>
  <c r="C88" i="14"/>
  <c r="B88" i="14"/>
  <c r="G87" i="14"/>
  <c r="F87" i="14" s="1" a="1"/>
  <c r="D87" i="14"/>
  <c r="C87" i="14"/>
  <c r="B87" i="14"/>
  <c r="G86" i="14"/>
  <c r="F86" i="14" s="1" a="1"/>
  <c r="D86" i="14"/>
  <c r="C86" i="14"/>
  <c r="B86" i="14"/>
  <c r="G85" i="14"/>
  <c r="F85" i="14" s="1" a="1"/>
  <c r="D85" i="14"/>
  <c r="C85" i="14"/>
  <c r="B85" i="14"/>
  <c r="G84" i="14"/>
  <c r="F84" i="14" s="1" a="1"/>
  <c r="D84" i="14"/>
  <c r="C84" i="14"/>
  <c r="B84" i="14"/>
  <c r="G83" i="14"/>
  <c r="F83" i="14" s="1" a="1"/>
  <c r="D83" i="14"/>
  <c r="C83" i="14"/>
  <c r="B83" i="14"/>
  <c r="G82" i="14"/>
  <c r="F82" i="14" s="1" a="1"/>
  <c r="D82" i="14"/>
  <c r="C82" i="14"/>
  <c r="B82" i="14"/>
  <c r="G81" i="14"/>
  <c r="F81" i="14" s="1" a="1"/>
  <c r="D81" i="14"/>
  <c r="C81" i="14"/>
  <c r="B81" i="14"/>
  <c r="G80" i="14"/>
  <c r="F80" i="14" s="1" a="1"/>
  <c r="D80" i="14"/>
  <c r="C80" i="14"/>
  <c r="B80" i="14"/>
  <c r="G79" i="14"/>
  <c r="F79" i="14" s="1" a="1"/>
  <c r="D79" i="14"/>
  <c r="C79" i="14"/>
  <c r="B79" i="14"/>
  <c r="G78" i="14"/>
  <c r="F78" i="14" s="1" a="1"/>
  <c r="D78" i="14"/>
  <c r="C78" i="14"/>
  <c r="B78" i="14"/>
  <c r="G77" i="14"/>
  <c r="F77" i="14" s="1" a="1"/>
  <c r="D77" i="14"/>
  <c r="C77" i="14"/>
  <c r="B77" i="14"/>
  <c r="G76" i="14"/>
  <c r="F76" i="14" s="1" a="1"/>
  <c r="D76" i="14"/>
  <c r="C76" i="14"/>
  <c r="B76" i="14"/>
  <c r="G75" i="14"/>
  <c r="F75" i="14" s="1" a="1"/>
  <c r="D75" i="14"/>
  <c r="C75" i="14"/>
  <c r="B75" i="14"/>
  <c r="G74" i="14"/>
  <c r="F74" i="14" s="1" a="1"/>
  <c r="D74" i="14"/>
  <c r="C74" i="14"/>
  <c r="B74" i="14"/>
  <c r="G73" i="14"/>
  <c r="F73" i="14" s="1" a="1"/>
  <c r="D73" i="14"/>
  <c r="C73" i="14"/>
  <c r="B73" i="14"/>
  <c r="G72" i="14"/>
  <c r="F72" i="14" s="1" a="1"/>
  <c r="D72" i="14"/>
  <c r="C72" i="14"/>
  <c r="B72" i="14"/>
  <c r="G71" i="14"/>
  <c r="F71" i="14" s="1" a="1"/>
  <c r="D71" i="14"/>
  <c r="C71" i="14"/>
  <c r="B71" i="14"/>
  <c r="G70" i="14"/>
  <c r="F70" i="14" s="1" a="1"/>
  <c r="D70" i="14"/>
  <c r="C70" i="14"/>
  <c r="B70" i="14"/>
  <c r="G69" i="14"/>
  <c r="F69" i="14" s="1" a="1"/>
  <c r="D69" i="14"/>
  <c r="C69" i="14"/>
  <c r="B69" i="14"/>
  <c r="G68" i="14"/>
  <c r="F68" i="14" s="1" a="1"/>
  <c r="D68" i="14"/>
  <c r="C68" i="14"/>
  <c r="B68" i="14"/>
  <c r="G67" i="14"/>
  <c r="F67" i="14" s="1" a="1"/>
  <c r="D67" i="14"/>
  <c r="C67" i="14"/>
  <c r="B67" i="14"/>
  <c r="G66" i="14"/>
  <c r="F66" i="14" s="1" a="1"/>
  <c r="D66" i="14"/>
  <c r="C66" i="14"/>
  <c r="B66" i="14"/>
  <c r="G65" i="14"/>
  <c r="F65" i="14" s="1" a="1"/>
  <c r="D65" i="14"/>
  <c r="C65" i="14"/>
  <c r="B65" i="14"/>
  <c r="G64" i="14"/>
  <c r="F64" i="14" s="1" a="1"/>
  <c r="D64" i="14"/>
  <c r="C64" i="14"/>
  <c r="B64" i="14"/>
  <c r="G63" i="14"/>
  <c r="F63" i="14" s="1" a="1"/>
  <c r="D63" i="14"/>
  <c r="C63" i="14"/>
  <c r="B63" i="14"/>
  <c r="G62" i="14"/>
  <c r="F62" i="14" s="1" a="1"/>
  <c r="D62" i="14"/>
  <c r="C62" i="14"/>
  <c r="B62" i="14"/>
  <c r="G61" i="14"/>
  <c r="F61" i="14" s="1" a="1"/>
  <c r="D61" i="14"/>
  <c r="C61" i="14"/>
  <c r="B61" i="14"/>
  <c r="G60" i="14"/>
  <c r="F60" i="14" s="1" a="1"/>
  <c r="D60" i="14"/>
  <c r="C60" i="14"/>
  <c r="B60" i="14"/>
  <c r="G59" i="14"/>
  <c r="F59" i="14" s="1" a="1"/>
  <c r="D59" i="14"/>
  <c r="C59" i="14"/>
  <c r="B59" i="14"/>
  <c r="G58" i="14"/>
  <c r="F58" i="14" s="1" a="1"/>
  <c r="D58" i="14"/>
  <c r="C58" i="14"/>
  <c r="B58" i="14"/>
  <c r="M58" i="14" s="1"/>
  <c r="G57" i="14"/>
  <c r="F57" i="14" s="1" a="1"/>
  <c r="D57" i="14"/>
  <c r="C57" i="14"/>
  <c r="B57" i="14"/>
  <c r="G56" i="14"/>
  <c r="F56" i="14" s="1" a="1"/>
  <c r="D56" i="14"/>
  <c r="C56" i="14"/>
  <c r="B56" i="14"/>
  <c r="G55" i="14"/>
  <c r="F55" i="14" s="1" a="1"/>
  <c r="D55" i="14"/>
  <c r="C55" i="14"/>
  <c r="B55" i="14"/>
  <c r="G54" i="14"/>
  <c r="F54" i="14" s="1" a="1"/>
  <c r="D54" i="14"/>
  <c r="C54" i="14"/>
  <c r="B54" i="14"/>
  <c r="G53" i="14"/>
  <c r="F53" i="14" s="1" a="1"/>
  <c r="D53" i="14"/>
  <c r="C53" i="14"/>
  <c r="B53" i="14"/>
  <c r="G52" i="14"/>
  <c r="F52" i="14" s="1" a="1"/>
  <c r="D52" i="14"/>
  <c r="C52" i="14"/>
  <c r="B52" i="14"/>
  <c r="G51" i="14"/>
  <c r="F51" i="14" s="1" a="1"/>
  <c r="D51" i="14"/>
  <c r="C51" i="14"/>
  <c r="B51" i="14"/>
  <c r="G50" i="14"/>
  <c r="F50" i="14" s="1" a="1"/>
  <c r="D50" i="14"/>
  <c r="C50" i="14"/>
  <c r="B50" i="14"/>
  <c r="G49" i="14"/>
  <c r="F49" i="14" s="1" a="1"/>
  <c r="D49" i="14"/>
  <c r="C49" i="14"/>
  <c r="B49" i="14"/>
  <c r="G48" i="14"/>
  <c r="F48" i="14" s="1" a="1"/>
  <c r="D48" i="14"/>
  <c r="C48" i="14"/>
  <c r="B48" i="14"/>
  <c r="G47" i="14"/>
  <c r="F47" i="14" s="1" a="1"/>
  <c r="D47" i="14"/>
  <c r="C47" i="14"/>
  <c r="B47" i="14"/>
  <c r="G46" i="14"/>
  <c r="F46" i="14" s="1" a="1"/>
  <c r="D46" i="14"/>
  <c r="C46" i="14"/>
  <c r="B46" i="14"/>
  <c r="G45" i="14"/>
  <c r="F45" i="14" s="1" a="1"/>
  <c r="D45" i="14"/>
  <c r="C45" i="14"/>
  <c r="B45" i="14"/>
  <c r="G44" i="14"/>
  <c r="F44" i="14" s="1" a="1"/>
  <c r="D44" i="14"/>
  <c r="C44" i="14"/>
  <c r="B44" i="14"/>
  <c r="G43" i="14"/>
  <c r="F43" i="14" s="1" a="1"/>
  <c r="D43" i="14"/>
  <c r="C43" i="14"/>
  <c r="B43" i="14"/>
  <c r="G42" i="14"/>
  <c r="F42" i="14" s="1" a="1"/>
  <c r="D42" i="14"/>
  <c r="C42" i="14"/>
  <c r="B42" i="14"/>
  <c r="G41" i="14"/>
  <c r="F41" i="14" s="1" a="1"/>
  <c r="D41" i="14"/>
  <c r="C41" i="14"/>
  <c r="B41" i="14"/>
  <c r="G40" i="14"/>
  <c r="F40" i="14" s="1" a="1"/>
  <c r="D40" i="14"/>
  <c r="C40" i="14"/>
  <c r="B40" i="14"/>
  <c r="G39" i="14"/>
  <c r="F39" i="14" s="1" a="1"/>
  <c r="D39" i="14"/>
  <c r="C39" i="14"/>
  <c r="B39" i="14"/>
  <c r="G38" i="14"/>
  <c r="F38" i="14" s="1" a="1"/>
  <c r="D38" i="14"/>
  <c r="C38" i="14"/>
  <c r="B38" i="14"/>
  <c r="G37" i="14"/>
  <c r="F37" i="14" s="1" a="1"/>
  <c r="D37" i="14"/>
  <c r="C37" i="14"/>
  <c r="B37" i="14"/>
  <c r="G36" i="14"/>
  <c r="F36" i="14" s="1" a="1"/>
  <c r="D36" i="14"/>
  <c r="C36" i="14"/>
  <c r="B36" i="14"/>
  <c r="G35" i="14"/>
  <c r="F35" i="14" s="1" a="1"/>
  <c r="D35" i="14"/>
  <c r="C35" i="14"/>
  <c r="B35" i="14"/>
  <c r="G34" i="14"/>
  <c r="F34" i="14" s="1" a="1"/>
  <c r="D34" i="14"/>
  <c r="C34" i="14"/>
  <c r="B34" i="14"/>
  <c r="G33" i="14"/>
  <c r="F33" i="14" s="1" a="1"/>
  <c r="D33" i="14"/>
  <c r="C33" i="14"/>
  <c r="B33" i="14"/>
  <c r="G32" i="14"/>
  <c r="F32" i="14" s="1" a="1"/>
  <c r="D32" i="14"/>
  <c r="C32" i="14"/>
  <c r="B32" i="14"/>
  <c r="G31" i="14"/>
  <c r="F31" i="14" s="1" a="1"/>
  <c r="D31" i="14"/>
  <c r="C31" i="14"/>
  <c r="B31" i="14"/>
  <c r="G30" i="14"/>
  <c r="F30" i="14" s="1" a="1"/>
  <c r="D30" i="14"/>
  <c r="C30" i="14"/>
  <c r="B30" i="14"/>
  <c r="G29" i="14"/>
  <c r="F29" i="14" s="1" a="1"/>
  <c r="D29" i="14"/>
  <c r="C29" i="14"/>
  <c r="B29" i="14"/>
  <c r="G28" i="14"/>
  <c r="F28" i="14" s="1" a="1"/>
  <c r="D28" i="14"/>
  <c r="C28" i="14"/>
  <c r="B28" i="14"/>
  <c r="G27" i="14"/>
  <c r="F27" i="14" s="1" a="1"/>
  <c r="D27" i="14"/>
  <c r="C27" i="14"/>
  <c r="B27" i="14"/>
  <c r="G26" i="14"/>
  <c r="F26" i="14" s="1" a="1"/>
  <c r="D26" i="14"/>
  <c r="C26" i="14"/>
  <c r="B26" i="14"/>
  <c r="G25" i="14"/>
  <c r="F25" i="14" s="1" a="1"/>
  <c r="D25" i="14"/>
  <c r="C25" i="14"/>
  <c r="B25" i="14"/>
  <c r="G24" i="14"/>
  <c r="F24" i="14" s="1" a="1"/>
  <c r="D24" i="14"/>
  <c r="C24" i="14"/>
  <c r="B24" i="14"/>
  <c r="G23" i="14"/>
  <c r="F23" i="14" s="1" a="1"/>
  <c r="D23" i="14"/>
  <c r="C23" i="14"/>
  <c r="B23" i="14"/>
  <c r="G22" i="14"/>
  <c r="F22" i="14" s="1" a="1"/>
  <c r="D22" i="14"/>
  <c r="C22" i="14"/>
  <c r="B22" i="14"/>
  <c r="G21" i="14"/>
  <c r="F21" i="14" s="1" a="1"/>
  <c r="D21" i="14"/>
  <c r="C21" i="14"/>
  <c r="B21" i="14"/>
  <c r="G20" i="14"/>
  <c r="F20" i="14" s="1" a="1"/>
  <c r="D20" i="14"/>
  <c r="C20" i="14"/>
  <c r="B20" i="14"/>
  <c r="G19" i="14"/>
  <c r="F19" i="14" s="1" a="1"/>
  <c r="D19" i="14"/>
  <c r="C19" i="14"/>
  <c r="B19" i="14"/>
  <c r="G18" i="14"/>
  <c r="F18" i="14" s="1" a="1"/>
  <c r="D18" i="14"/>
  <c r="C18" i="14"/>
  <c r="B18" i="14"/>
  <c r="G17" i="14"/>
  <c r="F17" i="14" s="1" a="1"/>
  <c r="D17" i="14"/>
  <c r="C17" i="14"/>
  <c r="B17" i="14"/>
  <c r="G16" i="14"/>
  <c r="F16" i="14" s="1" a="1"/>
  <c r="D16" i="14"/>
  <c r="C16" i="14"/>
  <c r="B16" i="14"/>
  <c r="G15" i="14"/>
  <c r="F15" i="14" s="1" a="1"/>
  <c r="D15" i="14"/>
  <c r="C15" i="14"/>
  <c r="B15" i="14"/>
  <c r="G14" i="14"/>
  <c r="F14" i="14" s="1" a="1"/>
  <c r="D14" i="14"/>
  <c r="C14" i="14"/>
  <c r="B14" i="14"/>
  <c r="G13" i="14"/>
  <c r="F13" i="14" s="1" a="1"/>
  <c r="D13" i="14"/>
  <c r="C13" i="14"/>
  <c r="B13" i="14"/>
  <c r="G12" i="14"/>
  <c r="F12" i="14" s="1" a="1"/>
  <c r="D12" i="14"/>
  <c r="C12" i="14"/>
  <c r="B12" i="14"/>
  <c r="G11" i="14"/>
  <c r="F11" i="14" s="1" a="1"/>
  <c r="D11" i="14"/>
  <c r="C11" i="14"/>
  <c r="B11" i="14"/>
  <c r="G10" i="14"/>
  <c r="F10" i="14" s="1" a="1"/>
  <c r="D10" i="14"/>
  <c r="C10" i="14"/>
  <c r="B10" i="14"/>
  <c r="G9" i="14"/>
  <c r="F9" i="14" s="1" a="1"/>
  <c r="D9" i="14"/>
  <c r="C9" i="14"/>
  <c r="B9" i="14"/>
  <c r="G8" i="14"/>
  <c r="F8" i="14" s="1" a="1"/>
  <c r="D8" i="14"/>
  <c r="C8" i="14"/>
  <c r="B8" i="14"/>
  <c r="G7" i="14"/>
  <c r="F7" i="14" s="1" a="1"/>
  <c r="D7" i="14"/>
  <c r="C7" i="14"/>
  <c r="B7" i="14"/>
  <c r="G6" i="14"/>
  <c r="F6" i="14" s="1" a="1"/>
  <c r="D6" i="14"/>
  <c r="C6" i="14"/>
  <c r="B6" i="14"/>
  <c r="G5" i="14"/>
  <c r="F5" i="14" s="1" a="1"/>
  <c r="D5" i="14"/>
  <c r="C5" i="14"/>
  <c r="B5" i="14"/>
  <c r="O19" i="14"/>
  <c r="O18" i="14"/>
  <c r="O17" i="14"/>
  <c r="O16" i="14"/>
  <c r="O15" i="14"/>
  <c r="O14" i="14"/>
  <c r="O13" i="14"/>
  <c r="O12" i="14"/>
  <c r="O11" i="14"/>
  <c r="O10" i="14"/>
  <c r="O9" i="14"/>
  <c r="O8" i="14"/>
  <c r="O7" i="14"/>
  <c r="O6" i="14"/>
  <c r="O5" i="14"/>
  <c r="D49" i="13"/>
  <c r="C49" i="13"/>
  <c r="B49" i="13"/>
  <c r="D48" i="13"/>
  <c r="C48" i="13"/>
  <c r="B48" i="13"/>
  <c r="D47" i="13"/>
  <c r="C47" i="13"/>
  <c r="B47" i="13"/>
  <c r="D46" i="13"/>
  <c r="C46" i="13"/>
  <c r="B46" i="13"/>
  <c r="D45" i="13"/>
  <c r="C45" i="13"/>
  <c r="B45" i="13"/>
  <c r="D44" i="13"/>
  <c r="C44" i="13"/>
  <c r="B44" i="13"/>
  <c r="D43" i="13"/>
  <c r="C43" i="13"/>
  <c r="B43" i="13"/>
  <c r="D42" i="13"/>
  <c r="C42" i="13"/>
  <c r="B42" i="13"/>
  <c r="D41" i="13"/>
  <c r="C41" i="13"/>
  <c r="B41" i="13"/>
  <c r="D40" i="13"/>
  <c r="C40" i="13"/>
  <c r="B40" i="13"/>
  <c r="D39" i="13"/>
  <c r="C39" i="13"/>
  <c r="B39" i="13"/>
  <c r="D38" i="13"/>
  <c r="C38" i="13"/>
  <c r="B38" i="13"/>
  <c r="D37" i="13"/>
  <c r="C37" i="13"/>
  <c r="B37" i="13"/>
  <c r="D36" i="13"/>
  <c r="C36" i="13"/>
  <c r="B36" i="13"/>
  <c r="D35" i="13"/>
  <c r="C35" i="13"/>
  <c r="B35" i="13"/>
  <c r="AE5" i="13"/>
  <c r="AE4" i="13"/>
  <c r="AE3" i="13"/>
  <c r="AD4" i="13"/>
  <c r="AD3" i="13"/>
  <c r="AC4" i="13"/>
  <c r="AC3" i="13"/>
  <c r="AB3" i="13"/>
  <c r="AA3" i="13"/>
  <c r="AA4" i="13" s="1" a="1"/>
  <c r="C7" i="13"/>
  <c r="H12" i="11"/>
  <c r="I21" i="11"/>
  <c r="H21" i="11"/>
  <c r="I16" i="2"/>
  <c r="I15" i="2"/>
  <c r="I14" i="2"/>
  <c r="I13" i="2"/>
  <c r="I12" i="2"/>
  <c r="I11" i="2"/>
  <c r="I10" i="2"/>
  <c r="H9" i="2"/>
  <c r="G9" i="2"/>
  <c r="F9" i="2"/>
  <c r="I8" i="2"/>
  <c r="I7" i="2"/>
  <c r="I6" i="2"/>
  <c r="I5" i="2"/>
  <c r="I4" i="2"/>
  <c r="I3" i="2"/>
  <c r="I2" i="2"/>
  <c r="F34" i="17" l="1"/>
  <c r="D34" i="17"/>
  <c r="M114" i="14"/>
  <c r="M31" i="14"/>
  <c r="M82" i="14"/>
  <c r="M112" i="14"/>
  <c r="M105" i="14"/>
  <c r="M67" i="14"/>
  <c r="M87" i="14"/>
  <c r="M89" i="14"/>
  <c r="M59" i="14"/>
  <c r="M106" i="14"/>
  <c r="M100" i="14"/>
  <c r="M84" i="14"/>
  <c r="M83" i="14"/>
  <c r="M68" i="14"/>
  <c r="M17" i="14"/>
  <c r="M72" i="14"/>
  <c r="M107" i="14"/>
  <c r="M99" i="14"/>
  <c r="M39" i="14"/>
  <c r="M22" i="14"/>
  <c r="M108" i="14"/>
  <c r="M90" i="14"/>
  <c r="M65" i="14"/>
  <c r="M49" i="14"/>
  <c r="M15" i="14"/>
  <c r="M12" i="14"/>
  <c r="M11" i="14"/>
  <c r="M81" i="14"/>
  <c r="M46" i="14"/>
  <c r="M27" i="14"/>
  <c r="M60" i="14"/>
  <c r="M52" i="14"/>
  <c r="M9" i="14"/>
  <c r="M7" i="14"/>
  <c r="M57" i="14"/>
  <c r="M54" i="14"/>
  <c r="M40" i="14"/>
  <c r="M30" i="14"/>
  <c r="M23" i="14"/>
  <c r="M18" i="14"/>
  <c r="M71" i="14"/>
  <c r="M116" i="14"/>
  <c r="M113" i="14"/>
  <c r="E103" i="14"/>
  <c r="H103" i="14" s="1" a="1"/>
  <c r="C6" i="19"/>
  <c r="E121" i="14"/>
  <c r="H121" i="14" s="1" a="1"/>
  <c r="E117" i="14"/>
  <c r="H117" i="14" s="1" a="1"/>
  <c r="E114" i="14"/>
  <c r="H114" i="14" s="1" a="1"/>
  <c r="E110" i="14"/>
  <c r="H110" i="14" s="1" a="1"/>
  <c r="E107" i="14"/>
  <c r="H107" i="14" s="1" a="1"/>
  <c r="E106" i="14"/>
  <c r="H106" i="14" s="1" a="1"/>
  <c r="E105" i="14"/>
  <c r="H105" i="14" s="1" a="1"/>
  <c r="E99" i="14"/>
  <c r="H99" i="14" s="1" a="1"/>
  <c r="E98" i="14"/>
  <c r="H98" i="14" s="1" a="1"/>
  <c r="E97" i="14"/>
  <c r="H97" i="14" s="1" a="1"/>
  <c r="E90" i="14"/>
  <c r="H90" i="14" s="1" a="1"/>
  <c r="E83" i="14"/>
  <c r="H83" i="14" s="1" a="1"/>
  <c r="E73" i="14"/>
  <c r="H73" i="14" s="1" a="1"/>
  <c r="E70" i="14"/>
  <c r="H70" i="14" s="1" a="1"/>
  <c r="E61" i="14"/>
  <c r="H61" i="14" s="1" a="1"/>
  <c r="E58" i="14"/>
  <c r="H58" i="14" s="1" a="1"/>
  <c r="E55" i="14"/>
  <c r="H55" i="14" s="1" a="1"/>
  <c r="E54" i="14"/>
  <c r="H54" i="14" s="1" a="1"/>
  <c r="E51" i="14"/>
  <c r="H51" i="14" s="1" a="1"/>
  <c r="E40" i="14"/>
  <c r="H40" i="14" s="1" a="1"/>
  <c r="E34" i="14"/>
  <c r="H34" i="14" s="1" a="1"/>
  <c r="E33" i="14"/>
  <c r="H33" i="14" s="1" a="1"/>
  <c r="E29" i="14"/>
  <c r="H29" i="14" s="1" a="1"/>
  <c r="E28" i="14"/>
  <c r="H28" i="14" s="1" a="1"/>
  <c r="E25" i="14"/>
  <c r="H25" i="14" s="1" a="1"/>
  <c r="E20" i="14"/>
  <c r="H20" i="14" s="1" a="1"/>
  <c r="E14" i="14"/>
  <c r="H14" i="14" s="1" a="1"/>
  <c r="E5" i="14"/>
  <c r="H5" i="14" s="1" a="1"/>
  <c r="E123" i="14"/>
  <c r="H123" i="14" s="1" a="1"/>
  <c r="E120" i="14"/>
  <c r="H120" i="14" s="1" a="1"/>
  <c r="E119" i="14"/>
  <c r="H119" i="14" s="1" a="1"/>
  <c r="E112" i="14"/>
  <c r="H112" i="14" s="1" a="1"/>
  <c r="E108" i="14"/>
  <c r="H108" i="14" s="1" a="1"/>
  <c r="E95" i="14"/>
  <c r="H95" i="14" s="1" a="1"/>
  <c r="E94" i="14"/>
  <c r="H94" i="14" s="1" a="1"/>
  <c r="E92" i="14"/>
  <c r="H92" i="14" s="1" a="1"/>
  <c r="E91" i="14"/>
  <c r="H91" i="14" s="1" a="1"/>
  <c r="E87" i="14"/>
  <c r="H87" i="14" s="1" a="1"/>
  <c r="E84" i="14"/>
  <c r="H84" i="14" s="1" a="1"/>
  <c r="E82" i="14"/>
  <c r="H82" i="14" s="1" a="1"/>
  <c r="E78" i="14"/>
  <c r="H78" i="14" s="1" a="1"/>
  <c r="E75" i="14"/>
  <c r="H75" i="14" s="1" a="1"/>
  <c r="E71" i="14"/>
  <c r="H71" i="14" s="1" a="1"/>
  <c r="E68" i="14"/>
  <c r="H68" i="14" s="1" a="1"/>
  <c r="E67" i="14"/>
  <c r="H67" i="14" s="1" a="1"/>
  <c r="E64" i="14"/>
  <c r="H64" i="14" s="1" a="1"/>
  <c r="E59" i="14"/>
  <c r="H59" i="14" s="1" a="1"/>
  <c r="E53" i="14"/>
  <c r="H53" i="14" s="1" a="1"/>
  <c r="E39" i="14"/>
  <c r="H39" i="14" s="1" a="1"/>
  <c r="E31" i="14"/>
  <c r="H31" i="14" s="1" a="1"/>
  <c r="E27" i="14"/>
  <c r="H27" i="14" s="1" a="1"/>
  <c r="E26" i="14"/>
  <c r="H26" i="14" s="1" a="1"/>
  <c r="E22" i="14"/>
  <c r="H22" i="14" s="1" a="1"/>
  <c r="E17" i="14"/>
  <c r="H17" i="14" s="1" a="1"/>
  <c r="E13" i="14"/>
  <c r="H13" i="14" s="1" a="1"/>
  <c r="E10" i="14"/>
  <c r="H10" i="14" s="1" a="1"/>
  <c r="E9" i="14"/>
  <c r="H9" i="14" s="1" a="1"/>
  <c r="E6" i="14"/>
  <c r="H6" i="14" s="1" a="1"/>
  <c r="E124" i="14"/>
  <c r="H124" i="14" s="1" a="1"/>
  <c r="E118" i="14"/>
  <c r="H118" i="14" s="1" a="1"/>
  <c r="E113" i="14"/>
  <c r="H113" i="14" s="1" a="1"/>
  <c r="E104" i="14"/>
  <c r="H104" i="14" s="1" a="1"/>
  <c r="E96" i="14"/>
  <c r="H96" i="14" s="1" a="1"/>
  <c r="E93" i="14"/>
  <c r="H93" i="14" s="1" a="1"/>
  <c r="E85" i="14"/>
  <c r="H85" i="14" s="1" a="1"/>
  <c r="E81" i="14"/>
  <c r="H81" i="14" s="1" a="1"/>
  <c r="E76" i="14"/>
  <c r="H76" i="14" s="1" a="1"/>
  <c r="E74" i="14"/>
  <c r="H74" i="14" s="1" a="1"/>
  <c r="E65" i="14"/>
  <c r="H65" i="14" s="1" a="1"/>
  <c r="E62" i="14"/>
  <c r="H62" i="14" s="1" a="1"/>
  <c r="E56" i="14"/>
  <c r="H56" i="14" s="1" a="1"/>
  <c r="E52" i="14"/>
  <c r="H52" i="14" s="1" a="1"/>
  <c r="E49" i="14"/>
  <c r="H49" i="14" s="1" a="1"/>
  <c r="E45" i="14"/>
  <c r="H45" i="14" s="1" a="1"/>
  <c r="E43" i="14"/>
  <c r="H43" i="14" s="1" a="1"/>
  <c r="E42" i="14"/>
  <c r="H42" i="14" s="1" a="1"/>
  <c r="E41" i="14"/>
  <c r="H41" i="14" s="1" a="1"/>
  <c r="E35" i="14"/>
  <c r="H35" i="14" s="1" a="1"/>
  <c r="E32" i="14"/>
  <c r="H32" i="14" s="1" a="1"/>
  <c r="E30" i="14"/>
  <c r="H30" i="14" s="1" a="1"/>
  <c r="E21" i="14"/>
  <c r="H21" i="14" s="1" a="1"/>
  <c r="E19" i="14"/>
  <c r="H19" i="14" s="1" a="1"/>
  <c r="E16" i="14"/>
  <c r="H16" i="14" s="1" a="1"/>
  <c r="E12" i="14"/>
  <c r="H12" i="14" s="1" a="1"/>
  <c r="E7" i="14"/>
  <c r="H7" i="14" s="1" a="1"/>
  <c r="E122" i="14"/>
  <c r="H122" i="14" s="1" a="1"/>
  <c r="E116" i="14"/>
  <c r="H116" i="14" s="1" a="1"/>
  <c r="E115" i="14"/>
  <c r="H115" i="14" s="1" a="1"/>
  <c r="E111" i="14"/>
  <c r="H111" i="14" s="1" a="1"/>
  <c r="E109" i="14"/>
  <c r="H109" i="14" s="1" a="1"/>
  <c r="E89" i="14"/>
  <c r="H89" i="14" s="1" a="1"/>
  <c r="E88" i="14"/>
  <c r="H88" i="14" s="1" a="1"/>
  <c r="E86" i="14"/>
  <c r="H86" i="14" s="1" a="1"/>
  <c r="E80" i="14"/>
  <c r="H80" i="14" s="1" a="1"/>
  <c r="E79" i="14"/>
  <c r="H79" i="14" s="1" a="1"/>
  <c r="E77" i="14"/>
  <c r="H77" i="14" s="1" a="1"/>
  <c r="E72" i="14"/>
  <c r="H72" i="14" s="1" a="1"/>
  <c r="E69" i="14"/>
  <c r="H69" i="14" s="1" a="1"/>
  <c r="E66" i="14"/>
  <c r="H66" i="14" s="1" a="1"/>
  <c r="E63" i="14"/>
  <c r="H63" i="14" s="1" a="1"/>
  <c r="E60" i="14"/>
  <c r="H60" i="14" s="1" a="1"/>
  <c r="E57" i="14"/>
  <c r="H57" i="14" s="1" a="1"/>
  <c r="E50" i="14"/>
  <c r="H50" i="14" s="1" a="1"/>
  <c r="E48" i="14"/>
  <c r="H48" i="14" s="1" a="1"/>
  <c r="E44" i="14"/>
  <c r="H44" i="14" s="1" a="1"/>
  <c r="E38" i="14"/>
  <c r="H38" i="14" s="1" a="1"/>
  <c r="E37" i="14"/>
  <c r="H37" i="14" s="1" a="1"/>
  <c r="E36" i="14"/>
  <c r="H36" i="14" s="1" a="1"/>
  <c r="E24" i="14"/>
  <c r="H24" i="14" s="1" a="1"/>
  <c r="E23" i="14"/>
  <c r="H23" i="14" s="1" a="1"/>
  <c r="E18" i="14"/>
  <c r="H18" i="14" s="1" a="1"/>
  <c r="E15" i="14"/>
  <c r="H15" i="14" s="1" a="1"/>
  <c r="E11" i="14"/>
  <c r="H11" i="14" s="1" a="1"/>
  <c r="E8" i="14"/>
  <c r="H8" i="14" s="1" a="1"/>
  <c r="M34" i="14"/>
  <c r="M48" i="14"/>
  <c r="E47" i="14"/>
  <c r="H47" i="14" s="1" a="1"/>
  <c r="E102" i="14"/>
  <c r="H102" i="14" s="1" a="1"/>
  <c r="E101" i="14"/>
  <c r="H101" i="14" s="1" a="1"/>
  <c r="E100" i="14"/>
  <c r="H100" i="14" s="1" a="1"/>
  <c r="E46" i="14"/>
  <c r="H46" i="14" s="1" a="1"/>
  <c r="M16" i="14"/>
  <c r="M28" i="14"/>
  <c r="M47" i="14"/>
  <c r="M56" i="14"/>
  <c r="M86" i="14"/>
  <c r="M33" i="14"/>
  <c r="M32" i="14"/>
  <c r="M36" i="14"/>
  <c r="M75" i="14"/>
  <c r="M10" i="14"/>
  <c r="M62" i="14"/>
  <c r="M76" i="14"/>
  <c r="M73" i="14"/>
  <c r="M104" i="14"/>
  <c r="M98" i="14"/>
  <c r="M50" i="14"/>
  <c r="M91" i="14"/>
  <c r="M44" i="14"/>
  <c r="M8" i="14"/>
  <c r="M70" i="14"/>
  <c r="M55" i="14"/>
  <c r="M38" i="14"/>
  <c r="M64" i="14"/>
  <c r="M26" i="14"/>
  <c r="M14" i="14"/>
  <c r="M96" i="14"/>
  <c r="M25" i="14"/>
  <c r="M118" i="14"/>
  <c r="M103" i="14"/>
  <c r="M110" i="14"/>
  <c r="M115" i="14"/>
  <c r="M119" i="14"/>
  <c r="M111" i="14"/>
  <c r="M102" i="14"/>
  <c r="D189"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M43" i="14"/>
  <c r="M95" i="14"/>
  <c r="B3" i="17"/>
  <c r="D6" i="19"/>
  <c r="C16" i="18"/>
  <c r="C13" i="18"/>
  <c r="C12" i="18"/>
  <c r="C10" i="18"/>
  <c r="C7" i="18"/>
  <c r="C15" i="18"/>
  <c r="C14" i="18"/>
  <c r="C11" i="18"/>
  <c r="C9" i="18"/>
  <c r="C8" i="18"/>
  <c r="K37" i="18"/>
  <c r="M6" i="14"/>
  <c r="C27" i="17"/>
  <c r="D6" i="17"/>
  <c r="M66" i="14"/>
  <c r="M124" i="14"/>
  <c r="M94" i="14"/>
  <c r="M20" i="14"/>
  <c r="I3" i="14"/>
  <c r="M80" i="14"/>
  <c r="M123" i="14"/>
  <c r="M19" i="14"/>
  <c r="M42" i="14"/>
  <c r="I21" i="16"/>
  <c r="F21" i="16"/>
  <c r="G21" i="16"/>
  <c r="E21" i="16"/>
  <c r="I20" i="16"/>
  <c r="F20" i="16"/>
  <c r="G20" i="16"/>
  <c r="E20" i="16"/>
  <c r="E19" i="16"/>
  <c r="G19" i="16"/>
  <c r="F19" i="16"/>
  <c r="I19" i="16"/>
  <c r="E18" i="16"/>
  <c r="F18" i="16"/>
  <c r="I18" i="16"/>
  <c r="G18" i="16"/>
  <c r="F17" i="16"/>
  <c r="E17" i="16"/>
  <c r="I17" i="16"/>
  <c r="G17" i="16"/>
  <c r="E16" i="16"/>
  <c r="G16" i="16"/>
  <c r="I16" i="16"/>
  <c r="F16" i="16"/>
  <c r="E15" i="16"/>
  <c r="G15" i="16"/>
  <c r="I15" i="16"/>
  <c r="F15" i="16"/>
  <c r="G14" i="16"/>
  <c r="F14" i="16"/>
  <c r="F13" i="16"/>
  <c r="E13" i="16"/>
  <c r="I13" i="16"/>
  <c r="G13" i="16"/>
  <c r="F12" i="16"/>
  <c r="I12" i="16"/>
  <c r="G12" i="16"/>
  <c r="E12" i="16"/>
  <c r="E11" i="16"/>
  <c r="G11" i="16"/>
  <c r="I11" i="16"/>
  <c r="F11" i="16"/>
  <c r="E10" i="16"/>
  <c r="G10" i="16"/>
  <c r="F10" i="16"/>
  <c r="I10" i="16"/>
  <c r="F9" i="16"/>
  <c r="I9" i="16"/>
  <c r="G9" i="16"/>
  <c r="E9" i="16"/>
  <c r="G8" i="16"/>
  <c r="E8" i="16"/>
  <c r="F8" i="16"/>
  <c r="F7" i="16"/>
  <c r="G7" i="16"/>
  <c r="I7" i="16"/>
  <c r="F11" i="18" s="1"/>
  <c r="E7" i="16"/>
  <c r="M78" i="14"/>
  <c r="M120" i="14"/>
  <c r="M63" i="14"/>
  <c r="M35" i="14"/>
  <c r="M92" i="14"/>
  <c r="M41" i="14"/>
  <c r="M122" i="14"/>
  <c r="M121" i="14"/>
  <c r="M74" i="14"/>
  <c r="M51" i="14"/>
  <c r="M24" i="14"/>
  <c r="M97" i="14"/>
  <c r="M117" i="14"/>
  <c r="M109" i="14"/>
  <c r="M101" i="14"/>
  <c r="M93" i="14"/>
  <c r="F88" i="14" a="1"/>
  <c r="M88" i="14" s="1"/>
  <c r="M85" i="14"/>
  <c r="M77" i="14"/>
  <c r="M69" i="14"/>
  <c r="M61" i="14"/>
  <c r="M53" i="14"/>
  <c r="M45" i="14"/>
  <c r="M37" i="14"/>
  <c r="M29" i="14"/>
  <c r="M21" i="14"/>
  <c r="M13" i="14"/>
  <c r="M5" i="14"/>
  <c r="P19" i="14"/>
  <c r="Q19" i="14"/>
  <c r="R19" i="14" s="1"/>
  <c r="Q18" i="14"/>
  <c r="R18" i="14" s="1"/>
  <c r="P18" i="14"/>
  <c r="P17" i="14"/>
  <c r="Q17" i="14"/>
  <c r="R17" i="14" s="1"/>
  <c r="P16" i="14"/>
  <c r="Q16" i="14"/>
  <c r="R16" i="14" s="1"/>
  <c r="Q15" i="14"/>
  <c r="R15" i="14" s="1"/>
  <c r="P15" i="14"/>
  <c r="P14" i="14"/>
  <c r="Q14" i="14"/>
  <c r="R14" i="14" s="1"/>
  <c r="P13" i="14"/>
  <c r="Q13" i="14"/>
  <c r="R13" i="14" s="1"/>
  <c r="Q12" i="14"/>
  <c r="R12" i="14" s="1"/>
  <c r="P12" i="14"/>
  <c r="Q11" i="14"/>
  <c r="R11" i="14" s="1"/>
  <c r="P11" i="14"/>
  <c r="Q10" i="14"/>
  <c r="R10" i="14" s="1"/>
  <c r="P10" i="14"/>
  <c r="P9" i="14"/>
  <c r="Q9" i="14"/>
  <c r="R9" i="14" s="1"/>
  <c r="Q8" i="14"/>
  <c r="R8" i="14" s="1"/>
  <c r="P8" i="14"/>
  <c r="P7" i="14"/>
  <c r="Q7" i="14"/>
  <c r="R7" i="14" s="1"/>
  <c r="Q6" i="14"/>
  <c r="R6" i="14" s="1"/>
  <c r="P6" i="14"/>
  <c r="S5" i="14"/>
  <c r="P5" i="14"/>
  <c r="Q5" i="14"/>
  <c r="R5" i="14" s="1"/>
  <c r="M79" i="14"/>
  <c r="B17" i="13"/>
  <c r="AB4" i="13" a="1"/>
  <c r="I22" i="11"/>
  <c r="I14" i="11" s="1"/>
  <c r="I12" i="11" s="1"/>
  <c r="I9" i="2"/>
  <c r="E14" i="16" s="1"/>
  <c r="H7" i="16" l="1"/>
  <c r="F10" i="18" s="1"/>
  <c r="F12" i="18" s="1"/>
  <c r="B20" i="18"/>
  <c r="D23" i="15"/>
  <c r="B6" i="15"/>
  <c r="F8" i="18"/>
  <c r="F7" i="18"/>
  <c r="G41" i="18" a="1"/>
  <c r="G44" i="18" a="1"/>
  <c r="G45" i="18" a="1"/>
  <c r="E38" i="18" a="1"/>
  <c r="G39" i="18" a="1"/>
  <c r="E42" i="18" a="1"/>
  <c r="G42" i="18" a="1"/>
  <c r="E44" i="18" a="1"/>
  <c r="E45" i="18" a="1"/>
  <c r="E41" i="18" a="1"/>
  <c r="G38" i="18" a="1"/>
  <c r="E39" i="18" a="1"/>
  <c r="E40" i="18" a="1"/>
  <c r="G40" i="18" a="1"/>
  <c r="E43" i="18" a="1"/>
  <c r="G43" i="18" a="1"/>
  <c r="B26" i="16"/>
  <c r="D26" i="16" s="1"/>
  <c r="D26" i="17"/>
  <c r="D25" i="17"/>
  <c r="D24" i="17"/>
  <c r="D23" i="17"/>
  <c r="D22" i="17"/>
  <c r="D21" i="17"/>
  <c r="D20" i="17"/>
  <c r="D19" i="17"/>
  <c r="D18" i="17"/>
  <c r="D17" i="17"/>
  <c r="D16" i="17"/>
  <c r="D15" i="17"/>
  <c r="D14" i="17"/>
  <c r="D13" i="17"/>
  <c r="C12" i="17"/>
  <c r="E12" i="17"/>
  <c r="D12" i="17"/>
  <c r="H9" i="16"/>
  <c r="H12" i="16"/>
  <c r="H10" i="16"/>
  <c r="H8" i="16"/>
  <c r="I22" i="16"/>
  <c r="C46" i="16" s="1"/>
  <c r="H13" i="16"/>
  <c r="H21" i="16"/>
  <c r="H17" i="16"/>
  <c r="H20" i="16"/>
  <c r="H15" i="16"/>
  <c r="H14" i="16"/>
  <c r="H11" i="16"/>
  <c r="H19" i="16"/>
  <c r="H18" i="16"/>
  <c r="H16" i="16"/>
  <c r="T5" i="14"/>
  <c r="I5" i="14"/>
  <c r="H38" i="18" s="1" a="1"/>
  <c r="F38" i="18" s="1"/>
  <c r="C17" i="13"/>
  <c r="E17" i="13" s="1"/>
  <c r="B18" i="13"/>
  <c r="AB5" i="13" a="1"/>
  <c r="AB6" i="13" s="1" a="1"/>
  <c r="F9" i="18" l="1"/>
  <c r="S6" i="14"/>
  <c r="B207" i="15"/>
  <c r="C26" i="16"/>
  <c r="C6" i="15"/>
  <c r="B21" i="18"/>
  <c r="C21" i="18" s="1"/>
  <c r="B7" i="15"/>
  <c r="E23" i="15"/>
  <c r="N6" i="17"/>
  <c r="G6" i="19"/>
  <c r="F12" i="17"/>
  <c r="B27" i="16"/>
  <c r="D27" i="16" s="1"/>
  <c r="H22" i="16"/>
  <c r="K5" i="14"/>
  <c r="J5" i="14"/>
  <c r="I38" i="18" s="1" a="1"/>
  <c r="C18" i="13"/>
  <c r="E18" i="13" s="1"/>
  <c r="B19" i="13"/>
  <c r="AB7" i="13" a="1"/>
  <c r="AB8" i="13" s="1" a="1"/>
  <c r="B20" i="13"/>
  <c r="I13" i="14" l="1"/>
  <c r="T6" i="14"/>
  <c r="C13" i="17"/>
  <c r="E13" i="17"/>
  <c r="E35" i="15"/>
  <c r="E36" i="15"/>
  <c r="E37" i="15"/>
  <c r="E38" i="15"/>
  <c r="E39" i="15"/>
  <c r="E40" i="15"/>
  <c r="E41" i="15"/>
  <c r="E42" i="15"/>
  <c r="E43" i="15"/>
  <c r="E44" i="15"/>
  <c r="E45" i="15"/>
  <c r="E46" i="15"/>
  <c r="E47" i="15"/>
  <c r="E48" i="15"/>
  <c r="E15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7" i="15"/>
  <c r="E148" i="15"/>
  <c r="E149" i="15"/>
  <c r="E145" i="15"/>
  <c r="E150" i="15"/>
  <c r="E151" i="15"/>
  <c r="E152" i="15"/>
  <c r="E153" i="15"/>
  <c r="E154" i="15"/>
  <c r="E98" i="15"/>
  <c r="E155" i="15"/>
  <c r="E156" i="15"/>
  <c r="E157" i="15"/>
  <c r="E159" i="15"/>
  <c r="B208" i="15"/>
  <c r="E146" i="15"/>
  <c r="E173" i="15"/>
  <c r="E172" i="15"/>
  <c r="E171" i="15"/>
  <c r="E170" i="15"/>
  <c r="E169" i="15"/>
  <c r="E168" i="15"/>
  <c r="E167" i="15"/>
  <c r="E166" i="15"/>
  <c r="E165" i="15"/>
  <c r="E164" i="15"/>
  <c r="E163" i="15"/>
  <c r="E162" i="15"/>
  <c r="E161" i="15"/>
  <c r="E160" i="15"/>
  <c r="E34" i="15"/>
  <c r="E33" i="15"/>
  <c r="E32" i="15"/>
  <c r="E31" i="15"/>
  <c r="E30" i="15"/>
  <c r="E29" i="15"/>
  <c r="E28" i="15"/>
  <c r="E27" i="15"/>
  <c r="E26" i="15"/>
  <c r="E25" i="15"/>
  <c r="E24" i="15"/>
  <c r="AE3" i="15"/>
  <c r="AE4" i="15"/>
  <c r="C27" i="16"/>
  <c r="C7" i="15"/>
  <c r="B22" i="18"/>
  <c r="C22" i="18" s="1"/>
  <c r="B8" i="15"/>
  <c r="F23" i="15"/>
  <c r="B23" i="18"/>
  <c r="C23" i="18" s="1"/>
  <c r="G23" i="15"/>
  <c r="B9" i="15"/>
  <c r="B28" i="16"/>
  <c r="D28" i="16" s="1"/>
  <c r="B29" i="16"/>
  <c r="D29" i="16" s="1"/>
  <c r="C48" i="16"/>
  <c r="C44" i="16"/>
  <c r="C47" i="16"/>
  <c r="I6" i="14"/>
  <c r="H39" i="18" s="1" a="1"/>
  <c r="F39" i="18" s="1"/>
  <c r="L5" i="14"/>
  <c r="C19" i="13"/>
  <c r="E19" i="13" s="1"/>
  <c r="C20" i="13"/>
  <c r="E20" i="13" s="1"/>
  <c r="C9" i="15" s="1"/>
  <c r="AB9" i="13" a="1"/>
  <c r="AB10" i="13" s="1" a="1"/>
  <c r="B21" i="13"/>
  <c r="B22" i="13"/>
  <c r="J13" i="14" l="1"/>
  <c r="K13" i="14"/>
  <c r="S7" i="14"/>
  <c r="F13" i="17"/>
  <c r="F29" i="15"/>
  <c r="B209" i="15"/>
  <c r="F173" i="15"/>
  <c r="F172" i="15"/>
  <c r="F171" i="15"/>
  <c r="F170" i="15"/>
  <c r="F169" i="15"/>
  <c r="F168" i="15"/>
  <c r="F167" i="15"/>
  <c r="F166" i="15"/>
  <c r="F165" i="15"/>
  <c r="F164" i="15"/>
  <c r="F163" i="15"/>
  <c r="F162" i="15"/>
  <c r="F161" i="15"/>
  <c r="F160" i="15"/>
  <c r="F159" i="15"/>
  <c r="F158" i="15"/>
  <c r="F157" i="15"/>
  <c r="F156" i="15"/>
  <c r="F155" i="15"/>
  <c r="F154" i="15"/>
  <c r="F153" i="15"/>
  <c r="F152" i="15"/>
  <c r="F151" i="15"/>
  <c r="F150" i="15"/>
  <c r="F149" i="15"/>
  <c r="F148" i="15"/>
  <c r="F147" i="15"/>
  <c r="F146" i="15"/>
  <c r="F145" i="15"/>
  <c r="F144" i="15"/>
  <c r="F143" i="15"/>
  <c r="F142" i="15"/>
  <c r="F141" i="15"/>
  <c r="F140" i="15"/>
  <c r="F139" i="15"/>
  <c r="F138" i="15"/>
  <c r="F137" i="15"/>
  <c r="F136" i="15"/>
  <c r="F135" i="15"/>
  <c r="F134" i="15"/>
  <c r="F133" i="15"/>
  <c r="F132" i="15"/>
  <c r="F131" i="15"/>
  <c r="F130" i="15"/>
  <c r="F129" i="15"/>
  <c r="F128" i="15"/>
  <c r="F127" i="15"/>
  <c r="F126" i="15"/>
  <c r="F125" i="15"/>
  <c r="F124" i="15"/>
  <c r="F123" i="15"/>
  <c r="F122" i="15"/>
  <c r="F121" i="15"/>
  <c r="F120" i="15"/>
  <c r="F119" i="15"/>
  <c r="F118" i="15"/>
  <c r="F117" i="15"/>
  <c r="F116" i="15"/>
  <c r="F115" i="15"/>
  <c r="F114" i="15"/>
  <c r="F113" i="15"/>
  <c r="F112" i="15"/>
  <c r="F111" i="15"/>
  <c r="F110" i="15"/>
  <c r="F109" i="15"/>
  <c r="F108" i="15"/>
  <c r="F107" i="15"/>
  <c r="F106" i="15"/>
  <c r="F105" i="15"/>
  <c r="F104" i="15"/>
  <c r="F103" i="15"/>
  <c r="F102" i="15"/>
  <c r="F101" i="15"/>
  <c r="F100" i="15"/>
  <c r="F99" i="15"/>
  <c r="F98" i="15"/>
  <c r="F97" i="15"/>
  <c r="F96" i="15"/>
  <c r="F95" i="15"/>
  <c r="F94" i="15"/>
  <c r="F93" i="15"/>
  <c r="F92" i="15"/>
  <c r="F91" i="15"/>
  <c r="F90" i="15"/>
  <c r="F89" i="15"/>
  <c r="F88" i="15"/>
  <c r="F87" i="15"/>
  <c r="F86" i="15"/>
  <c r="F85" i="15"/>
  <c r="F84" i="15"/>
  <c r="F83" i="15"/>
  <c r="F82" i="15"/>
  <c r="F81" i="15"/>
  <c r="F80" i="15"/>
  <c r="F79" i="15"/>
  <c r="F78" i="15"/>
  <c r="F77" i="15"/>
  <c r="F76" i="15"/>
  <c r="F75" i="15"/>
  <c r="F74" i="15"/>
  <c r="F73" i="15"/>
  <c r="F72" i="15"/>
  <c r="F71" i="15"/>
  <c r="F70" i="15"/>
  <c r="F69" i="15"/>
  <c r="F68" i="15"/>
  <c r="F67" i="15"/>
  <c r="F66" i="15"/>
  <c r="F65" i="15"/>
  <c r="F64"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F38" i="15"/>
  <c r="F37" i="15"/>
  <c r="F36" i="15"/>
  <c r="F35" i="15"/>
  <c r="F34" i="15"/>
  <c r="F33" i="15"/>
  <c r="F32" i="15"/>
  <c r="F31" i="15"/>
  <c r="F30" i="15"/>
  <c r="F28" i="15"/>
  <c r="F27" i="15"/>
  <c r="F26" i="15"/>
  <c r="F25" i="15"/>
  <c r="F24" i="15"/>
  <c r="G51"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66" i="15"/>
  <c r="G111" i="15"/>
  <c r="G110" i="15"/>
  <c r="G109" i="15"/>
  <c r="G108" i="15"/>
  <c r="G107" i="15"/>
  <c r="G106" i="15"/>
  <c r="G105" i="15"/>
  <c r="G33" i="15"/>
  <c r="G34" i="15"/>
  <c r="G35" i="15"/>
  <c r="G36" i="15"/>
  <c r="G37" i="15"/>
  <c r="G38" i="15"/>
  <c r="G39" i="15"/>
  <c r="G40" i="15"/>
  <c r="G41" i="15"/>
  <c r="G42" i="15"/>
  <c r="G43" i="15"/>
  <c r="G44" i="15"/>
  <c r="G45" i="15"/>
  <c r="G46" i="15"/>
  <c r="G47" i="15"/>
  <c r="G48" i="15"/>
  <c r="G49" i="15"/>
  <c r="G50" i="15"/>
  <c r="G104" i="15"/>
  <c r="G52" i="15"/>
  <c r="G53" i="15"/>
  <c r="G54" i="15"/>
  <c r="G55" i="15"/>
  <c r="G56" i="15"/>
  <c r="G57" i="15"/>
  <c r="G58" i="15"/>
  <c r="G59" i="15"/>
  <c r="G60" i="15"/>
  <c r="G61" i="15"/>
  <c r="G62" i="15"/>
  <c r="G63" i="15"/>
  <c r="G64" i="15"/>
  <c r="G65" i="15"/>
  <c r="G66" i="15"/>
  <c r="G67" i="15"/>
  <c r="G68" i="15"/>
  <c r="G69" i="15"/>
  <c r="G70" i="15"/>
  <c r="G72" i="15"/>
  <c r="G73" i="15"/>
  <c r="G74" i="15"/>
  <c r="G75" i="15"/>
  <c r="G76" i="15"/>
  <c r="G77" i="15"/>
  <c r="G78" i="15"/>
  <c r="G79" i="15"/>
  <c r="G80" i="15"/>
  <c r="G81" i="15"/>
  <c r="G82" i="15"/>
  <c r="G83" i="15"/>
  <c r="G84" i="15"/>
  <c r="G85" i="15"/>
  <c r="B210" i="15"/>
  <c r="G103" i="15"/>
  <c r="G102" i="15"/>
  <c r="G101" i="15"/>
  <c r="G100" i="15"/>
  <c r="G99" i="15"/>
  <c r="G98" i="15"/>
  <c r="G97" i="15"/>
  <c r="G96" i="15"/>
  <c r="G95" i="15"/>
  <c r="G94" i="15"/>
  <c r="G93" i="15"/>
  <c r="G92" i="15"/>
  <c r="G91" i="15"/>
  <c r="G90" i="15"/>
  <c r="G89" i="15"/>
  <c r="G88" i="15"/>
  <c r="G87" i="15"/>
  <c r="G86" i="15"/>
  <c r="G112" i="15"/>
  <c r="G71" i="15"/>
  <c r="G173" i="15"/>
  <c r="G172" i="15"/>
  <c r="G171" i="15"/>
  <c r="G170" i="15"/>
  <c r="G169" i="15"/>
  <c r="G168" i="15"/>
  <c r="G167" i="15"/>
  <c r="G165" i="15"/>
  <c r="G164" i="15"/>
  <c r="G163" i="15"/>
  <c r="G162" i="15"/>
  <c r="G161" i="15"/>
  <c r="G160" i="15"/>
  <c r="G159" i="15"/>
  <c r="G158" i="15"/>
  <c r="G157" i="15"/>
  <c r="G156" i="15"/>
  <c r="G155" i="15"/>
  <c r="G154" i="15"/>
  <c r="G153" i="15"/>
  <c r="G152" i="15"/>
  <c r="G151" i="15"/>
  <c r="G150" i="15"/>
  <c r="G149" i="15"/>
  <c r="G148" i="15"/>
  <c r="G147" i="15"/>
  <c r="G146" i="15"/>
  <c r="G145" i="15"/>
  <c r="G144" i="15"/>
  <c r="G143" i="15"/>
  <c r="G142" i="15"/>
  <c r="G141" i="15"/>
  <c r="G140" i="15"/>
  <c r="G139" i="15"/>
  <c r="G138" i="15"/>
  <c r="G32" i="15"/>
  <c r="G31" i="15"/>
  <c r="G30" i="15"/>
  <c r="G29" i="15"/>
  <c r="G28" i="15"/>
  <c r="G27" i="15"/>
  <c r="G26" i="15"/>
  <c r="G25" i="15"/>
  <c r="G24" i="15"/>
  <c r="C208" i="15"/>
  <c r="D208" i="15" s="1"/>
  <c r="AF4" i="15"/>
  <c r="AG4" i="15" s="1"/>
  <c r="AF3" i="15"/>
  <c r="C28" i="16"/>
  <c r="C8" i="15"/>
  <c r="B24" i="18"/>
  <c r="H23" i="15"/>
  <c r="B10" i="15"/>
  <c r="B25" i="18"/>
  <c r="I23" i="15"/>
  <c r="B11" i="15"/>
  <c r="J6" i="17"/>
  <c r="F6" i="19"/>
  <c r="B37" i="17" s="1"/>
  <c r="P6" i="17"/>
  <c r="H6" i="19"/>
  <c r="B30" i="16"/>
  <c r="D30" i="16" s="1"/>
  <c r="B31" i="16"/>
  <c r="D31" i="16" s="1"/>
  <c r="C29" i="16"/>
  <c r="J6" i="14"/>
  <c r="I39" i="18" s="1" a="1"/>
  <c r="K6" i="14"/>
  <c r="C21" i="13"/>
  <c r="E21" i="13" s="1"/>
  <c r="C22" i="13"/>
  <c r="E22" i="13" s="1"/>
  <c r="C11" i="15" s="1"/>
  <c r="B23" i="13"/>
  <c r="B24" i="13"/>
  <c r="AB11" i="13" a="1"/>
  <c r="L13" i="14" l="1"/>
  <c r="I14" i="14"/>
  <c r="AE65" i="15"/>
  <c r="AE66" i="15"/>
  <c r="I21" i="14"/>
  <c r="T7" i="14"/>
  <c r="E14" i="17"/>
  <c r="C14" i="17"/>
  <c r="B211" i="15"/>
  <c r="B212" i="15"/>
  <c r="C210" i="15"/>
  <c r="D210" i="15" s="1"/>
  <c r="C209" i="15"/>
  <c r="D209" i="15" s="1"/>
  <c r="AG3" i="15"/>
  <c r="AE5" i="15"/>
  <c r="AE6" i="15"/>
  <c r="AE7" i="15"/>
  <c r="AE8" i="15"/>
  <c r="AE14" i="15"/>
  <c r="AE11" i="15"/>
  <c r="AE12" i="15"/>
  <c r="AE13" i="15"/>
  <c r="AE9" i="15"/>
  <c r="AE10" i="15"/>
  <c r="C30" i="16"/>
  <c r="C10" i="15"/>
  <c r="B26" i="18"/>
  <c r="J23" i="15"/>
  <c r="B12" i="15"/>
  <c r="B27" i="18"/>
  <c r="K23" i="15"/>
  <c r="B13" i="15"/>
  <c r="B32" i="16"/>
  <c r="D32" i="16" s="1"/>
  <c r="B33" i="16"/>
  <c r="D33" i="16" s="1"/>
  <c r="C31" i="16"/>
  <c r="I7" i="14"/>
  <c r="H40" i="18" s="1" a="1"/>
  <c r="F40" i="18" s="1"/>
  <c r="L6" i="14"/>
  <c r="C23" i="13"/>
  <c r="E23" i="13" s="1"/>
  <c r="C24" i="13"/>
  <c r="E24" i="13" s="1"/>
  <c r="C13" i="15" s="1"/>
  <c r="AB12" i="13" a="1"/>
  <c r="B25" i="13"/>
  <c r="AF66" i="15" l="1"/>
  <c r="AG66" i="15" s="1"/>
  <c r="AF65" i="15"/>
  <c r="AG65" i="15" s="1"/>
  <c r="K14" i="14"/>
  <c r="J14" i="14"/>
  <c r="J21" i="14"/>
  <c r="K21" i="14"/>
  <c r="S8" i="14"/>
  <c r="F14" i="17"/>
  <c r="B213" i="15"/>
  <c r="B214" i="15"/>
  <c r="AF6" i="15"/>
  <c r="AF5" i="15"/>
  <c r="AF8" i="15"/>
  <c r="AG8" i="15" s="1"/>
  <c r="AF7" i="15"/>
  <c r="AG7" i="15" s="1"/>
  <c r="AF9" i="15"/>
  <c r="AG9" i="15" s="1"/>
  <c r="AF10" i="15"/>
  <c r="AG10" i="15" s="1"/>
  <c r="AF11" i="15"/>
  <c r="AF12" i="15"/>
  <c r="AG12" i="15" s="1"/>
  <c r="AF13" i="15"/>
  <c r="AF14" i="15"/>
  <c r="AG14" i="15" s="1"/>
  <c r="C32" i="16"/>
  <c r="C12" i="15"/>
  <c r="B28" i="18"/>
  <c r="L23" i="15"/>
  <c r="B14" i="15"/>
  <c r="B34" i="16"/>
  <c r="D34" i="16" s="1"/>
  <c r="C33" i="16"/>
  <c r="J7" i="14"/>
  <c r="I40" i="18" s="1" a="1"/>
  <c r="K7" i="14"/>
  <c r="C25" i="13"/>
  <c r="E25" i="13" s="1"/>
  <c r="AB13" i="13" a="1"/>
  <c r="B26" i="13"/>
  <c r="AE74" i="15" l="1"/>
  <c r="AE72" i="15"/>
  <c r="AE69" i="15"/>
  <c r="AE68" i="15"/>
  <c r="AE73" i="15"/>
  <c r="AE76" i="15"/>
  <c r="AE70" i="15"/>
  <c r="AE71" i="15"/>
  <c r="AE67" i="15"/>
  <c r="AE75" i="15"/>
  <c r="L14" i="14"/>
  <c r="I15" i="14"/>
  <c r="L21" i="14"/>
  <c r="I22" i="14"/>
  <c r="AE128" i="15"/>
  <c r="AE127" i="15"/>
  <c r="C15" i="17"/>
  <c r="E15" i="17"/>
  <c r="I29" i="14"/>
  <c r="T8" i="14"/>
  <c r="AG5" i="15"/>
  <c r="AG13" i="15"/>
  <c r="B215" i="15"/>
  <c r="AG6" i="15"/>
  <c r="AG11" i="15"/>
  <c r="AE17" i="15"/>
  <c r="AE20" i="15"/>
  <c r="AE22" i="15"/>
  <c r="AE15" i="15"/>
  <c r="AE16" i="15"/>
  <c r="AE18" i="15"/>
  <c r="AE21" i="15"/>
  <c r="AE23" i="15"/>
  <c r="AE19" i="15"/>
  <c r="C34" i="16"/>
  <c r="C14" i="15"/>
  <c r="B29" i="18"/>
  <c r="M23" i="15"/>
  <c r="B15" i="15"/>
  <c r="B35" i="16"/>
  <c r="D35" i="16" s="1"/>
  <c r="I8" i="14"/>
  <c r="H41" i="18" s="1" a="1"/>
  <c r="F41" i="18" s="1"/>
  <c r="L7" i="14"/>
  <c r="C26" i="13"/>
  <c r="E26" i="13" s="1"/>
  <c r="C15" i="15" s="1"/>
  <c r="AB14" i="13" a="1"/>
  <c r="B27" i="13"/>
  <c r="AF70" i="15" l="1"/>
  <c r="AG70" i="15" s="1"/>
  <c r="AF76" i="15"/>
  <c r="AG76" i="15" s="1"/>
  <c r="AF73" i="15"/>
  <c r="AG73" i="15" s="1"/>
  <c r="AF75" i="15"/>
  <c r="AG75" i="15" s="1"/>
  <c r="AF67" i="15"/>
  <c r="AG67" i="15" s="1"/>
  <c r="AF69" i="15"/>
  <c r="AG69" i="15" s="1"/>
  <c r="AF68" i="15"/>
  <c r="AG68" i="15" s="1"/>
  <c r="AF72" i="15"/>
  <c r="AG72" i="15" s="1"/>
  <c r="AF74" i="15"/>
  <c r="AG74" i="15" s="1"/>
  <c r="AF71" i="15"/>
  <c r="AG71" i="15" s="1"/>
  <c r="K15" i="14"/>
  <c r="J15" i="14"/>
  <c r="AF127" i="15"/>
  <c r="AG127" i="15" s="1"/>
  <c r="AF128" i="15"/>
  <c r="AG128" i="15" s="1"/>
  <c r="K22" i="14"/>
  <c r="J22" i="14"/>
  <c r="J29" i="14"/>
  <c r="K29" i="14"/>
  <c r="F15" i="17"/>
  <c r="S9" i="14"/>
  <c r="B216" i="15"/>
  <c r="AF18" i="15"/>
  <c r="AF23" i="15"/>
  <c r="AG23" i="15" s="1"/>
  <c r="AF15" i="15"/>
  <c r="AF16" i="15"/>
  <c r="AF17" i="15"/>
  <c r="AF19" i="15"/>
  <c r="AF20" i="15"/>
  <c r="AG20" i="15" s="1"/>
  <c r="AF22" i="15"/>
  <c r="AF21" i="15"/>
  <c r="AG21" i="15" s="1"/>
  <c r="B30" i="18"/>
  <c r="N23" i="15"/>
  <c r="B16" i="15"/>
  <c r="B36" i="16"/>
  <c r="D36" i="16" s="1"/>
  <c r="C35" i="16"/>
  <c r="J8" i="14"/>
  <c r="I41" i="18" s="1" a="1"/>
  <c r="K8" i="14"/>
  <c r="C27" i="13"/>
  <c r="E27" i="13" s="1"/>
  <c r="C16" i="15" s="1"/>
  <c r="AB15" i="13" a="1"/>
  <c r="B28" i="13"/>
  <c r="AE83" i="15" l="1"/>
  <c r="AE84" i="15"/>
  <c r="AE81" i="15"/>
  <c r="AE78" i="15"/>
  <c r="AE85" i="15"/>
  <c r="AE82" i="15"/>
  <c r="AE80" i="15"/>
  <c r="AE79" i="15"/>
  <c r="AE77" i="15"/>
  <c r="L15" i="14"/>
  <c r="I16" i="14"/>
  <c r="AE130" i="15"/>
  <c r="AE135" i="15"/>
  <c r="AE137" i="15"/>
  <c r="AE131" i="15"/>
  <c r="AE136" i="15"/>
  <c r="AE132" i="15"/>
  <c r="AE129" i="15"/>
  <c r="AE138" i="15"/>
  <c r="AE133" i="15"/>
  <c r="AE134" i="15"/>
  <c r="L22" i="14"/>
  <c r="I23" i="14"/>
  <c r="L29" i="14"/>
  <c r="I30" i="14"/>
  <c r="AE190" i="15"/>
  <c r="AE189" i="15"/>
  <c r="C16" i="17"/>
  <c r="E16" i="17"/>
  <c r="I37" i="14"/>
  <c r="T9" i="14"/>
  <c r="AG18" i="15"/>
  <c r="AG15" i="15"/>
  <c r="AG17" i="15"/>
  <c r="AG22" i="15"/>
  <c r="B217" i="15"/>
  <c r="AG16" i="15"/>
  <c r="AG19" i="15"/>
  <c r="AE26" i="15"/>
  <c r="AE27" i="15"/>
  <c r="AE29" i="15"/>
  <c r="AE31" i="15"/>
  <c r="AE25" i="15"/>
  <c r="AE28" i="15"/>
  <c r="AE30" i="15"/>
  <c r="AE32" i="15"/>
  <c r="AE24" i="15"/>
  <c r="B31" i="18"/>
  <c r="O23" i="15"/>
  <c r="B17" i="15"/>
  <c r="B37" i="16"/>
  <c r="D37" i="16" s="1"/>
  <c r="C36" i="16"/>
  <c r="I9" i="14"/>
  <c r="H42" i="18" s="1" a="1"/>
  <c r="F42" i="18" s="1"/>
  <c r="L8" i="14"/>
  <c r="C28" i="13"/>
  <c r="E28" i="13" s="1"/>
  <c r="C17" i="15" s="1"/>
  <c r="B29" i="13"/>
  <c r="AB16" i="13" a="1"/>
  <c r="AF80" i="15" l="1"/>
  <c r="AG80" i="15" s="1"/>
  <c r="AF78" i="15"/>
  <c r="AG78" i="15" s="1"/>
  <c r="AF85" i="15"/>
  <c r="AG85" i="15" s="1"/>
  <c r="AF79" i="15"/>
  <c r="AG79" i="15" s="1"/>
  <c r="AF83" i="15"/>
  <c r="AG83" i="15" s="1"/>
  <c r="AF84" i="15"/>
  <c r="AG84" i="15" s="1"/>
  <c r="AF81" i="15"/>
  <c r="AG81" i="15" s="1"/>
  <c r="AF77" i="15"/>
  <c r="AG77" i="15" s="1"/>
  <c r="AF82" i="15"/>
  <c r="AG82" i="15" s="1"/>
  <c r="K16" i="14"/>
  <c r="J16" i="14"/>
  <c r="AF137" i="15"/>
  <c r="AG137" i="15" s="1"/>
  <c r="AF134" i="15"/>
  <c r="AG134" i="15" s="1"/>
  <c r="AF133" i="15"/>
  <c r="AG133" i="15" s="1"/>
  <c r="AF138" i="15"/>
  <c r="AG138" i="15" s="1"/>
  <c r="AF132" i="15"/>
  <c r="AG132" i="15" s="1"/>
  <c r="AF131" i="15"/>
  <c r="AG131" i="15" s="1"/>
  <c r="AF129" i="15"/>
  <c r="AG129" i="15" s="1"/>
  <c r="AF136" i="15"/>
  <c r="AG136" i="15" s="1"/>
  <c r="AF135" i="15"/>
  <c r="AG135" i="15" s="1"/>
  <c r="AF130" i="15"/>
  <c r="AG130" i="15" s="1"/>
  <c r="K23" i="14"/>
  <c r="J23" i="14"/>
  <c r="AF189" i="15"/>
  <c r="AG189" i="15" s="1"/>
  <c r="AF190" i="15"/>
  <c r="AG190" i="15" s="1"/>
  <c r="K30" i="14"/>
  <c r="J30" i="14"/>
  <c r="J37" i="14"/>
  <c r="K37" i="14"/>
  <c r="F16" i="17"/>
  <c r="S10" i="14"/>
  <c r="B218" i="15"/>
  <c r="AF24" i="15"/>
  <c r="AG24" i="15" s="1"/>
  <c r="AF26" i="15"/>
  <c r="AF27" i="15"/>
  <c r="AF29" i="15"/>
  <c r="AF32" i="15"/>
  <c r="AG32" i="15" s="1"/>
  <c r="AF25" i="15"/>
  <c r="AF28" i="15"/>
  <c r="AF30" i="15"/>
  <c r="AF31" i="15"/>
  <c r="B32" i="18"/>
  <c r="P23" i="15"/>
  <c r="B18" i="15"/>
  <c r="B38" i="16"/>
  <c r="D38" i="16" s="1"/>
  <c r="C37" i="16"/>
  <c r="J9" i="14"/>
  <c r="I42" i="18" s="1" a="1"/>
  <c r="K9" i="14"/>
  <c r="C29" i="13"/>
  <c r="E29" i="13" s="1"/>
  <c r="C18" i="15" s="1"/>
  <c r="AB17" i="13" a="1"/>
  <c r="B31" i="13" s="1"/>
  <c r="B30" i="13"/>
  <c r="AE90" i="15" l="1"/>
  <c r="AE93" i="15"/>
  <c r="AE87" i="15"/>
  <c r="AE89" i="15"/>
  <c r="AE92" i="15"/>
  <c r="AE88" i="15"/>
  <c r="AE86" i="15"/>
  <c r="AE91" i="15"/>
  <c r="AE94" i="15"/>
  <c r="L16" i="14"/>
  <c r="I17" i="14"/>
  <c r="AE145" i="15"/>
  <c r="AE141" i="15"/>
  <c r="AE139" i="15"/>
  <c r="AE144" i="15"/>
  <c r="AE143" i="15"/>
  <c r="AE142" i="15"/>
  <c r="AE140" i="15"/>
  <c r="AE146" i="15"/>
  <c r="AE147" i="15"/>
  <c r="L23" i="14"/>
  <c r="I24" i="14"/>
  <c r="AE200" i="15"/>
  <c r="AE199" i="15"/>
  <c r="AE198" i="15"/>
  <c r="AE197" i="15"/>
  <c r="AE196" i="15"/>
  <c r="AE195" i="15"/>
  <c r="AE194" i="15"/>
  <c r="AE193" i="15"/>
  <c r="AE192" i="15"/>
  <c r="AE191" i="15"/>
  <c r="I31" i="14"/>
  <c r="L30" i="14"/>
  <c r="L37" i="14"/>
  <c r="I38" i="14"/>
  <c r="AE252" i="15"/>
  <c r="AE251" i="15"/>
  <c r="C17" i="17"/>
  <c r="E17" i="17"/>
  <c r="I45" i="14"/>
  <c r="T10" i="14"/>
  <c r="AG26" i="15"/>
  <c r="AG27" i="15"/>
  <c r="AG29" i="15"/>
  <c r="AG25" i="15"/>
  <c r="AG28" i="15"/>
  <c r="AG31" i="15"/>
  <c r="B219" i="15"/>
  <c r="AG30" i="15"/>
  <c r="C31" i="18" s="1"/>
  <c r="AE33" i="15"/>
  <c r="AE34" i="15"/>
  <c r="B34" i="18"/>
  <c r="C34" i="18" s="1"/>
  <c r="R23" i="15"/>
  <c r="B33" i="18"/>
  <c r="B19" i="15"/>
  <c r="Q23" i="15"/>
  <c r="B39" i="16"/>
  <c r="D39" i="16" s="1"/>
  <c r="C38" i="16"/>
  <c r="B40" i="16"/>
  <c r="D40" i="16" s="1"/>
  <c r="I10" i="14"/>
  <c r="H43" i="18" s="1" a="1"/>
  <c r="F43" i="18" s="1"/>
  <c r="L9" i="14"/>
  <c r="C31" i="13"/>
  <c r="E31" i="13" s="1"/>
  <c r="C30" i="13"/>
  <c r="E30" i="13" s="1"/>
  <c r="AF93" i="15" l="1"/>
  <c r="AG93" i="15" s="1"/>
  <c r="AF92" i="15"/>
  <c r="AG92" i="15" s="1"/>
  <c r="AF87" i="15"/>
  <c r="AG87" i="15" s="1"/>
  <c r="AF91" i="15"/>
  <c r="AG91" i="15" s="1"/>
  <c r="AF89" i="15"/>
  <c r="AG89" i="15" s="1"/>
  <c r="AF90" i="15"/>
  <c r="AG90" i="15" s="1"/>
  <c r="AF88" i="15"/>
  <c r="AG88" i="15" s="1"/>
  <c r="AF94" i="15"/>
  <c r="AG94" i="15" s="1"/>
  <c r="AF86" i="15"/>
  <c r="AG86" i="15" s="1"/>
  <c r="K17" i="14"/>
  <c r="J17" i="14"/>
  <c r="AF143" i="15"/>
  <c r="AG143" i="15" s="1"/>
  <c r="AF147" i="15"/>
  <c r="AG147" i="15" s="1"/>
  <c r="AF145" i="15"/>
  <c r="AG145" i="15" s="1"/>
  <c r="AF144" i="15"/>
  <c r="AG144" i="15" s="1"/>
  <c r="AF139" i="15"/>
  <c r="AG139" i="15" s="1"/>
  <c r="AF140" i="15"/>
  <c r="AG140" i="15" s="1"/>
  <c r="AF146" i="15"/>
  <c r="AG146" i="15" s="1"/>
  <c r="AF142" i="15"/>
  <c r="AG142" i="15" s="1"/>
  <c r="AF141" i="15"/>
  <c r="AG141" i="15" s="1"/>
  <c r="K24" i="14"/>
  <c r="J24" i="14"/>
  <c r="K31" i="14"/>
  <c r="J31" i="14"/>
  <c r="AF192" i="15"/>
  <c r="AG192" i="15" s="1"/>
  <c r="AF199" i="15"/>
  <c r="AG199" i="15" s="1"/>
  <c r="AF191" i="15"/>
  <c r="AG191" i="15" s="1"/>
  <c r="AF194" i="15"/>
  <c r="AG194" i="15" s="1"/>
  <c r="AF200" i="15"/>
  <c r="AG200" i="15" s="1"/>
  <c r="AF198" i="15"/>
  <c r="AG198" i="15" s="1"/>
  <c r="AF197" i="15"/>
  <c r="AG197" i="15" s="1"/>
  <c r="AF196" i="15"/>
  <c r="AG196" i="15" s="1"/>
  <c r="AF195" i="15"/>
  <c r="AG195" i="15" s="1"/>
  <c r="AF193" i="15"/>
  <c r="AG193" i="15" s="1"/>
  <c r="AF251" i="15"/>
  <c r="AG251" i="15" s="1"/>
  <c r="AF252" i="15"/>
  <c r="AG252" i="15" s="1"/>
  <c r="K38" i="14"/>
  <c r="J38" i="14"/>
  <c r="J45" i="14"/>
  <c r="K45" i="14"/>
  <c r="S11" i="14"/>
  <c r="F17" i="17"/>
  <c r="R168" i="15"/>
  <c r="R167" i="15"/>
  <c r="R166" i="15"/>
  <c r="R165" i="15"/>
  <c r="R164" i="15"/>
  <c r="R163" i="15"/>
  <c r="R162" i="15"/>
  <c r="R161" i="15"/>
  <c r="R160" i="15"/>
  <c r="R159" i="15"/>
  <c r="R158" i="15"/>
  <c r="R157" i="15"/>
  <c r="R156" i="15"/>
  <c r="R155" i="15"/>
  <c r="R154" i="15"/>
  <c r="R153" i="15"/>
  <c r="R152" i="15"/>
  <c r="R151" i="15"/>
  <c r="R150" i="15"/>
  <c r="R149" i="15"/>
  <c r="R148" i="15"/>
  <c r="R147" i="15"/>
  <c r="R146" i="15"/>
  <c r="R145" i="15"/>
  <c r="R144" i="15"/>
  <c r="R143" i="15"/>
  <c r="R142" i="15"/>
  <c r="R141" i="15"/>
  <c r="R140" i="15"/>
  <c r="R139" i="15"/>
  <c r="R138" i="15"/>
  <c r="R137" i="15"/>
  <c r="R136" i="15"/>
  <c r="R135" i="15"/>
  <c r="R134" i="15"/>
  <c r="R133" i="15"/>
  <c r="R132" i="15"/>
  <c r="R131" i="15"/>
  <c r="R130" i="15"/>
  <c r="R129" i="15"/>
  <c r="R128" i="15"/>
  <c r="R127" i="15"/>
  <c r="R126" i="15"/>
  <c r="R125" i="15"/>
  <c r="R124" i="15"/>
  <c r="R123" i="15"/>
  <c r="R122" i="15"/>
  <c r="R121" i="15"/>
  <c r="R120" i="15"/>
  <c r="R119" i="15"/>
  <c r="R118" i="15"/>
  <c r="R117" i="15"/>
  <c r="R116" i="15"/>
  <c r="R115" i="15"/>
  <c r="R114" i="15"/>
  <c r="R113" i="15"/>
  <c r="R112" i="15"/>
  <c r="R111" i="15"/>
  <c r="R110" i="15"/>
  <c r="R109" i="15"/>
  <c r="R108" i="15"/>
  <c r="R107" i="15"/>
  <c r="R106" i="15"/>
  <c r="R105" i="15"/>
  <c r="R104" i="15"/>
  <c r="R103" i="15"/>
  <c r="R102" i="15"/>
  <c r="R101" i="15"/>
  <c r="R100" i="15"/>
  <c r="R99" i="15"/>
  <c r="R98" i="15"/>
  <c r="R97" i="15"/>
  <c r="R96" i="15"/>
  <c r="R95" i="15"/>
  <c r="R94" i="15"/>
  <c r="R92" i="15"/>
  <c r="R91" i="15"/>
  <c r="R90" i="15"/>
  <c r="R89" i="15"/>
  <c r="R88" i="15"/>
  <c r="R87" i="15"/>
  <c r="R86" i="15"/>
  <c r="R85" i="15"/>
  <c r="R84" i="15"/>
  <c r="R83" i="15"/>
  <c r="R82" i="15"/>
  <c r="R81" i="15"/>
  <c r="R80" i="15"/>
  <c r="R79" i="15"/>
  <c r="R78" i="15"/>
  <c r="R77" i="15"/>
  <c r="R76" i="15"/>
  <c r="R75" i="15"/>
  <c r="R74" i="15"/>
  <c r="R73" i="15"/>
  <c r="R72" i="15"/>
  <c r="R71" i="15"/>
  <c r="R70" i="15"/>
  <c r="R69" i="15"/>
  <c r="R68" i="15"/>
  <c r="R67" i="15"/>
  <c r="R66" i="15"/>
  <c r="R65" i="15"/>
  <c r="R64" i="15"/>
  <c r="R63" i="15"/>
  <c r="R62" i="15"/>
  <c r="R61" i="15"/>
  <c r="R60" i="15"/>
  <c r="R59" i="15"/>
  <c r="R58" i="15"/>
  <c r="R57" i="15"/>
  <c r="R56" i="15"/>
  <c r="R55" i="15"/>
  <c r="R54" i="15"/>
  <c r="R53" i="15"/>
  <c r="R52" i="15"/>
  <c r="R51" i="15"/>
  <c r="R50" i="15"/>
  <c r="R49" i="15"/>
  <c r="R48" i="15"/>
  <c r="R47" i="15"/>
  <c r="R46" i="15"/>
  <c r="R45" i="15"/>
  <c r="R44" i="15"/>
  <c r="R43" i="15"/>
  <c r="R42" i="15"/>
  <c r="R41" i="15"/>
  <c r="R40" i="15"/>
  <c r="R39" i="15"/>
  <c r="R38" i="15"/>
  <c r="R37" i="15"/>
  <c r="R36" i="15"/>
  <c r="R35" i="15"/>
  <c r="R34" i="15"/>
  <c r="R33" i="15"/>
  <c r="R32" i="15"/>
  <c r="R31" i="15"/>
  <c r="R30" i="15"/>
  <c r="R29" i="15"/>
  <c r="R28" i="15"/>
  <c r="R27" i="15"/>
  <c r="R26" i="15"/>
  <c r="R25" i="15"/>
  <c r="R24" i="15"/>
  <c r="R93" i="15"/>
  <c r="R173" i="15"/>
  <c r="R172" i="15"/>
  <c r="R171" i="15"/>
  <c r="R170" i="15"/>
  <c r="R169" i="15"/>
  <c r="B221" i="15"/>
  <c r="B220" i="15"/>
  <c r="AF34" i="15"/>
  <c r="AF33" i="15"/>
  <c r="AG33" i="15" s="1"/>
  <c r="T25" i="15"/>
  <c r="T148" i="15"/>
  <c r="T149" i="15"/>
  <c r="T150" i="15"/>
  <c r="T151" i="15"/>
  <c r="T152" i="15"/>
  <c r="T153" i="15"/>
  <c r="T154" i="15"/>
  <c r="T155" i="15"/>
  <c r="T156" i="15"/>
  <c r="T157" i="15"/>
  <c r="T158" i="15"/>
  <c r="T159" i="15"/>
  <c r="T160" i="15"/>
  <c r="T161" i="15"/>
  <c r="T92" i="15"/>
  <c r="T163" i="15"/>
  <c r="T164" i="15"/>
  <c r="T165" i="15"/>
  <c r="T166" i="15"/>
  <c r="T167" i="15"/>
  <c r="T168" i="15"/>
  <c r="T169" i="15"/>
  <c r="T170" i="15"/>
  <c r="T171" i="15"/>
  <c r="T172" i="15"/>
  <c r="T162" i="15"/>
  <c r="T93" i="15"/>
  <c r="T94" i="15"/>
  <c r="T95" i="15"/>
  <c r="T96" i="15"/>
  <c r="T97" i="15"/>
  <c r="T173"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77" i="15"/>
  <c r="T80" i="15"/>
  <c r="T83" i="15"/>
  <c r="T70" i="15"/>
  <c r="T73" i="15"/>
  <c r="T79" i="15"/>
  <c r="T82" i="15"/>
  <c r="T85" i="15"/>
  <c r="T88" i="15"/>
  <c r="T91" i="15"/>
  <c r="T54" i="15"/>
  <c r="T61" i="15"/>
  <c r="T63" i="15"/>
  <c r="T66" i="15"/>
  <c r="T69" i="15"/>
  <c r="T72" i="15"/>
  <c r="T75" i="15"/>
  <c r="T78" i="15"/>
  <c r="T81" i="15"/>
  <c r="T84" i="15"/>
  <c r="T87" i="15"/>
  <c r="T98" i="15"/>
  <c r="T101" i="15"/>
  <c r="T104" i="15"/>
  <c r="T106" i="15"/>
  <c r="T99" i="15"/>
  <c r="T100" i="15"/>
  <c r="T102" i="15"/>
  <c r="T103" i="15"/>
  <c r="T105" i="15"/>
  <c r="T107" i="15"/>
  <c r="T51" i="15"/>
  <c r="T50" i="15"/>
  <c r="T49" i="15"/>
  <c r="T48" i="15"/>
  <c r="T76" i="15"/>
  <c r="T46" i="15"/>
  <c r="T45" i="15"/>
  <c r="T44" i="15"/>
  <c r="T43" i="15"/>
  <c r="T42" i="15"/>
  <c r="T41" i="15"/>
  <c r="T40" i="15"/>
  <c r="T39" i="15"/>
  <c r="T38" i="15"/>
  <c r="T37" i="15"/>
  <c r="T36" i="15"/>
  <c r="T35" i="15"/>
  <c r="T34" i="15"/>
  <c r="T33" i="15"/>
  <c r="T32" i="15"/>
  <c r="T53" i="15"/>
  <c r="T55" i="15"/>
  <c r="T56" i="15"/>
  <c r="T52" i="15"/>
  <c r="T24" i="15"/>
  <c r="T58" i="15"/>
  <c r="T65" i="15"/>
  <c r="T68" i="15"/>
  <c r="T71" i="15"/>
  <c r="T30" i="15"/>
  <c r="T29" i="15"/>
  <c r="T28" i="15"/>
  <c r="T27" i="15"/>
  <c r="T26" i="15"/>
  <c r="T47" i="15"/>
  <c r="T89" i="15"/>
  <c r="T57" i="15"/>
  <c r="T59" i="15"/>
  <c r="T60" i="15"/>
  <c r="T62" i="15"/>
  <c r="T74" i="15"/>
  <c r="T90" i="15"/>
  <c r="T86" i="15"/>
  <c r="T64" i="15"/>
  <c r="T67" i="15"/>
  <c r="C39" i="16"/>
  <c r="C19" i="15"/>
  <c r="T31" i="15"/>
  <c r="C40" i="16"/>
  <c r="J10" i="14"/>
  <c r="I43" i="18" s="1" a="1"/>
  <c r="K10" i="14"/>
  <c r="AE95" i="15" l="1"/>
  <c r="AE96" i="15"/>
  <c r="L17" i="14"/>
  <c r="I18" i="14"/>
  <c r="AE156" i="15"/>
  <c r="AE153" i="15"/>
  <c r="AE150" i="15"/>
  <c r="AE148" i="15"/>
  <c r="AE154" i="15"/>
  <c r="AE151" i="15"/>
  <c r="AE149" i="15"/>
  <c r="AE152" i="15"/>
  <c r="AE155" i="15"/>
  <c r="L24" i="14"/>
  <c r="I25" i="14"/>
  <c r="AE203" i="15"/>
  <c r="AE207" i="15"/>
  <c r="AE201" i="15"/>
  <c r="AE208" i="15"/>
  <c r="AE202" i="15"/>
  <c r="AE204" i="15"/>
  <c r="AE206" i="15"/>
  <c r="AE205" i="15"/>
  <c r="AE209" i="15"/>
  <c r="L31" i="14"/>
  <c r="I32" i="14"/>
  <c r="AE262" i="15"/>
  <c r="AE261" i="15"/>
  <c r="AE260" i="15"/>
  <c r="AE259" i="15"/>
  <c r="AE257" i="15"/>
  <c r="AE255" i="15"/>
  <c r="AE254" i="15"/>
  <c r="AE253" i="15"/>
  <c r="AE258" i="15"/>
  <c r="AE256" i="15"/>
  <c r="L38" i="14"/>
  <c r="I39" i="14"/>
  <c r="L45" i="14"/>
  <c r="I46" i="14"/>
  <c r="AE313" i="15"/>
  <c r="AE314" i="15"/>
  <c r="E18" i="17"/>
  <c r="C18" i="17"/>
  <c r="T11" i="14"/>
  <c r="I53" i="14"/>
  <c r="AG34" i="15"/>
  <c r="C221" i="15"/>
  <c r="D221" i="15" s="1"/>
  <c r="AE35" i="15"/>
  <c r="AE38" i="15"/>
  <c r="AE40" i="15"/>
  <c r="AE41" i="15"/>
  <c r="AE36" i="15"/>
  <c r="AE37" i="15"/>
  <c r="AE39" i="15"/>
  <c r="I11" i="14"/>
  <c r="H44" i="18" s="1" a="1"/>
  <c r="F44" i="18" s="1"/>
  <c r="L10" i="14"/>
  <c r="AF96" i="15" l="1"/>
  <c r="AG96" i="15" s="1"/>
  <c r="AF95" i="15"/>
  <c r="AG95" i="15" s="1"/>
  <c r="K18" i="14"/>
  <c r="J18" i="14"/>
  <c r="AF149" i="15"/>
  <c r="AG149" i="15" s="1"/>
  <c r="AF148" i="15"/>
  <c r="AG148" i="15" s="1"/>
  <c r="AF150" i="15"/>
  <c r="AG150" i="15" s="1"/>
  <c r="AF154" i="15"/>
  <c r="AG154" i="15" s="1"/>
  <c r="AF151" i="15"/>
  <c r="AG151" i="15" s="1"/>
  <c r="AF155" i="15"/>
  <c r="AG155" i="15" s="1"/>
  <c r="AF156" i="15"/>
  <c r="AG156" i="15" s="1"/>
  <c r="AF153" i="15"/>
  <c r="AG153" i="15" s="1"/>
  <c r="AF152" i="15"/>
  <c r="AG152" i="15" s="1"/>
  <c r="K25" i="14"/>
  <c r="J25" i="14"/>
  <c r="AF201" i="15"/>
  <c r="AG201" i="15" s="1"/>
  <c r="AF207" i="15"/>
  <c r="AG207" i="15" s="1"/>
  <c r="AF205" i="15"/>
  <c r="AG205" i="15" s="1"/>
  <c r="AF208" i="15"/>
  <c r="AG208" i="15" s="1"/>
  <c r="AF203" i="15"/>
  <c r="AG203" i="15" s="1"/>
  <c r="AF209" i="15"/>
  <c r="AG209" i="15" s="1"/>
  <c r="AF202" i="15"/>
  <c r="AG202" i="15" s="1"/>
  <c r="AF204" i="15"/>
  <c r="AG204" i="15" s="1"/>
  <c r="AF206" i="15"/>
  <c r="AG206" i="15" s="1"/>
  <c r="K32" i="14"/>
  <c r="J32" i="14"/>
  <c r="AF261" i="15"/>
  <c r="AG261" i="15" s="1"/>
  <c r="AF258" i="15"/>
  <c r="AG258" i="15" s="1"/>
  <c r="AF262" i="15"/>
  <c r="AG262" i="15" s="1"/>
  <c r="AF256" i="15"/>
  <c r="AG256" i="15" s="1"/>
  <c r="AF259" i="15"/>
  <c r="AG259" i="15" s="1"/>
  <c r="AF255" i="15"/>
  <c r="AG255" i="15" s="1"/>
  <c r="AF254" i="15"/>
  <c r="AG254" i="15" s="1"/>
  <c r="AF260" i="15"/>
  <c r="AG260" i="15" s="1"/>
  <c r="AF253" i="15"/>
  <c r="AG253" i="15" s="1"/>
  <c r="AF257" i="15"/>
  <c r="AG257" i="15" s="1"/>
  <c r="K39" i="14"/>
  <c r="J39" i="14"/>
  <c r="AF314" i="15"/>
  <c r="AG314" i="15" s="1"/>
  <c r="AF313" i="15"/>
  <c r="AG313" i="15" s="1"/>
  <c r="K46" i="14"/>
  <c r="J46" i="14"/>
  <c r="F18" i="17"/>
  <c r="S12" i="14"/>
  <c r="K53" i="14"/>
  <c r="J53" i="14"/>
  <c r="AF36" i="15"/>
  <c r="AG36" i="15" s="1"/>
  <c r="AF37" i="15"/>
  <c r="AG37" i="15" s="1"/>
  <c r="AF39" i="15"/>
  <c r="AG39" i="15" s="1"/>
  <c r="AF40" i="15"/>
  <c r="AF41" i="15"/>
  <c r="AF38" i="15"/>
  <c r="AF35" i="15"/>
  <c r="AG35" i="15" s="1"/>
  <c r="J11" i="14"/>
  <c r="I44" i="18" s="1" a="1"/>
  <c r="K11" i="14"/>
  <c r="AE103" i="15" l="1"/>
  <c r="AE101" i="15"/>
  <c r="AE99" i="15"/>
  <c r="AE97" i="15"/>
  <c r="AE102" i="15"/>
  <c r="AE100" i="15"/>
  <c r="AE98" i="15"/>
  <c r="L18" i="14"/>
  <c r="I19" i="14"/>
  <c r="AE158" i="15"/>
  <c r="AE157" i="15"/>
  <c r="L25" i="14"/>
  <c r="I26" i="14"/>
  <c r="AE216" i="15"/>
  <c r="AE215" i="15"/>
  <c r="AE210" i="15"/>
  <c r="AE212" i="15"/>
  <c r="AE214" i="15"/>
  <c r="AE217" i="15"/>
  <c r="AE213" i="15"/>
  <c r="AE211" i="15"/>
  <c r="AE218" i="15"/>
  <c r="L32" i="14"/>
  <c r="I33" i="14"/>
  <c r="AE270" i="15"/>
  <c r="AE263" i="15"/>
  <c r="AE264" i="15"/>
  <c r="AE271" i="15"/>
  <c r="AE269" i="15"/>
  <c r="AE265" i="15"/>
  <c r="AE268" i="15"/>
  <c r="AE267" i="15"/>
  <c r="AE266" i="15"/>
  <c r="I40" i="14"/>
  <c r="L39" i="14"/>
  <c r="AE322" i="15"/>
  <c r="AE323" i="15"/>
  <c r="AE316" i="15"/>
  <c r="AE319" i="15"/>
  <c r="AE320" i="15"/>
  <c r="AE324" i="15"/>
  <c r="AE315" i="15"/>
  <c r="AE317" i="15"/>
  <c r="AE321" i="15"/>
  <c r="AE318" i="15"/>
  <c r="I47" i="14"/>
  <c r="L46" i="14"/>
  <c r="E19" i="17"/>
  <c r="T12" i="14"/>
  <c r="I61" i="14"/>
  <c r="C19" i="17"/>
  <c r="AE375" i="15"/>
  <c r="AE376" i="15"/>
  <c r="I54" i="14"/>
  <c r="L53" i="14"/>
  <c r="AG40" i="15"/>
  <c r="AG41" i="15"/>
  <c r="AG38" i="15"/>
  <c r="AE42" i="15"/>
  <c r="AE43" i="15"/>
  <c r="AE44" i="15"/>
  <c r="AE47" i="15"/>
  <c r="AE45" i="15"/>
  <c r="AE46" i="15"/>
  <c r="AE48" i="15"/>
  <c r="AE49" i="15"/>
  <c r="AE50" i="15"/>
  <c r="AE51" i="15"/>
  <c r="I12" i="14"/>
  <c r="H45" i="18" s="1" a="1"/>
  <c r="F45" i="18" s="1"/>
  <c r="L11" i="14"/>
  <c r="AF99" i="15" l="1"/>
  <c r="AG99" i="15" s="1"/>
  <c r="AF101" i="15"/>
  <c r="AG101" i="15" s="1"/>
  <c r="AF102" i="15"/>
  <c r="AG102" i="15" s="1"/>
  <c r="AF98" i="15"/>
  <c r="AG98" i="15" s="1"/>
  <c r="AF103" i="15"/>
  <c r="AG103" i="15" s="1"/>
  <c r="AF100" i="15"/>
  <c r="AG100" i="15" s="1"/>
  <c r="AF97" i="15"/>
  <c r="AG97" i="15" s="1"/>
  <c r="K19" i="14"/>
  <c r="J19" i="14"/>
  <c r="AF158" i="15"/>
  <c r="AG158" i="15" s="1"/>
  <c r="AF157" i="15"/>
  <c r="AG157" i="15" s="1"/>
  <c r="K26" i="14"/>
  <c r="J26" i="14"/>
  <c r="AF213" i="15"/>
  <c r="AG213" i="15" s="1"/>
  <c r="AF211" i="15"/>
  <c r="AG211" i="15" s="1"/>
  <c r="AF215" i="15"/>
  <c r="AG215" i="15" s="1"/>
  <c r="AF210" i="15"/>
  <c r="AG210" i="15" s="1"/>
  <c r="AF214" i="15"/>
  <c r="AG214" i="15" s="1"/>
  <c r="AF217" i="15"/>
  <c r="AG217" i="15" s="1"/>
  <c r="AF212" i="15"/>
  <c r="AG212" i="15" s="1"/>
  <c r="AF216" i="15"/>
  <c r="AG216" i="15" s="1"/>
  <c r="AF218" i="15"/>
  <c r="AG218" i="15" s="1"/>
  <c r="K33" i="14"/>
  <c r="J33" i="14"/>
  <c r="K40" i="14"/>
  <c r="J40" i="14"/>
  <c r="AF271" i="15"/>
  <c r="AG271" i="15" s="1"/>
  <c r="AF267" i="15"/>
  <c r="AG267" i="15" s="1"/>
  <c r="AF263" i="15"/>
  <c r="AG263" i="15" s="1"/>
  <c r="AF268" i="15"/>
  <c r="AG268" i="15" s="1"/>
  <c r="AF264" i="15"/>
  <c r="AG264" i="15" s="1"/>
  <c r="AF270" i="15"/>
  <c r="AG270" i="15" s="1"/>
  <c r="AF265" i="15"/>
  <c r="AG265" i="15" s="1"/>
  <c r="AF266" i="15"/>
  <c r="AG266" i="15" s="1"/>
  <c r="AF269" i="15"/>
  <c r="AG269" i="15" s="1"/>
  <c r="J47" i="14"/>
  <c r="K47" i="14"/>
  <c r="AF320" i="15"/>
  <c r="AG320" i="15" s="1"/>
  <c r="AF315" i="15"/>
  <c r="AG315" i="15" s="1"/>
  <c r="AF319" i="15"/>
  <c r="AG319" i="15" s="1"/>
  <c r="AF323" i="15"/>
  <c r="AG323" i="15" s="1"/>
  <c r="AF317" i="15"/>
  <c r="AG317" i="15" s="1"/>
  <c r="AF318" i="15"/>
  <c r="AG318" i="15" s="1"/>
  <c r="AF324" i="15"/>
  <c r="AG324" i="15" s="1"/>
  <c r="AF316" i="15"/>
  <c r="AG316" i="15" s="1"/>
  <c r="AF321" i="15"/>
  <c r="AG321" i="15" s="1"/>
  <c r="AF322" i="15"/>
  <c r="AG322" i="15" s="1"/>
  <c r="F19" i="17"/>
  <c r="S13" i="14"/>
  <c r="K61" i="14"/>
  <c r="J61" i="14"/>
  <c r="J54" i="14"/>
  <c r="K54" i="14"/>
  <c r="AF375" i="15"/>
  <c r="AG375" i="15" s="1"/>
  <c r="AF376" i="15"/>
  <c r="AG376" i="15" s="1"/>
  <c r="AF44" i="15"/>
  <c r="AG44" i="15" s="1"/>
  <c r="AF45" i="15"/>
  <c r="AG45" i="15" s="1"/>
  <c r="AF46" i="15"/>
  <c r="AG46" i="15" s="1"/>
  <c r="AF48" i="15"/>
  <c r="AG48" i="15" s="1"/>
  <c r="AF49" i="15"/>
  <c r="AF51" i="15"/>
  <c r="AF50" i="15"/>
  <c r="AG50" i="15" s="1"/>
  <c r="AF47" i="15"/>
  <c r="AG47" i="15" s="1"/>
  <c r="AF43" i="15"/>
  <c r="AG43" i="15" s="1"/>
  <c r="AF42" i="15"/>
  <c r="AG42" i="15" s="1"/>
  <c r="J12" i="14"/>
  <c r="K12" i="14"/>
  <c r="AE106" i="15" l="1"/>
  <c r="AE105" i="15"/>
  <c r="AE111" i="15"/>
  <c r="AE108" i="15"/>
  <c r="AE107" i="15"/>
  <c r="AE104" i="15"/>
  <c r="AE112" i="15"/>
  <c r="AE110" i="15"/>
  <c r="AE109" i="15"/>
  <c r="AE113" i="15"/>
  <c r="L19" i="14"/>
  <c r="I20" i="14"/>
  <c r="AE162" i="15"/>
  <c r="AE159" i="15"/>
  <c r="AE165" i="15"/>
  <c r="AE163" i="15"/>
  <c r="AE160" i="15"/>
  <c r="AE164" i="15"/>
  <c r="AE161" i="15"/>
  <c r="L26" i="14"/>
  <c r="I27" i="14"/>
  <c r="AE220" i="15"/>
  <c r="AE219" i="15"/>
  <c r="L33" i="14"/>
  <c r="I34" i="14"/>
  <c r="AE279" i="15"/>
  <c r="AE276" i="15"/>
  <c r="AE273" i="15"/>
  <c r="AE280" i="15"/>
  <c r="AE275" i="15"/>
  <c r="AE278" i="15"/>
  <c r="AE274" i="15"/>
  <c r="AE272" i="15"/>
  <c r="AE277" i="15"/>
  <c r="I41" i="14"/>
  <c r="L40" i="14"/>
  <c r="I48" i="14"/>
  <c r="L47" i="14"/>
  <c r="AE325" i="15"/>
  <c r="AE329" i="15"/>
  <c r="AE326" i="15"/>
  <c r="AE332" i="15"/>
  <c r="AE328" i="15"/>
  <c r="AE327" i="15"/>
  <c r="AE333" i="15"/>
  <c r="AE331" i="15"/>
  <c r="AE330" i="15"/>
  <c r="E20" i="17"/>
  <c r="C20" i="17"/>
  <c r="T13" i="14"/>
  <c r="I69" i="14"/>
  <c r="AE437" i="15"/>
  <c r="AE438" i="15"/>
  <c r="I62" i="14"/>
  <c r="L61" i="14"/>
  <c r="I55" i="14"/>
  <c r="L54" i="14"/>
  <c r="AE383" i="15"/>
  <c r="AE378" i="15"/>
  <c r="AE377" i="15"/>
  <c r="AE384" i="15"/>
  <c r="AE385" i="15"/>
  <c r="AE380" i="15"/>
  <c r="AE382" i="15"/>
  <c r="AE386" i="15"/>
  <c r="AE379" i="15"/>
  <c r="AE381" i="15"/>
  <c r="AG49" i="15"/>
  <c r="AG51" i="15"/>
  <c r="AE53" i="15"/>
  <c r="AE56" i="15"/>
  <c r="AE52" i="15"/>
  <c r="AE58" i="15"/>
  <c r="AE62" i="15"/>
  <c r="AE59" i="15"/>
  <c r="AE60" i="15"/>
  <c r="AE61" i="15"/>
  <c r="AE54" i="15"/>
  <c r="AE63" i="15"/>
  <c r="AE64" i="15"/>
  <c r="AE55" i="15"/>
  <c r="AE57" i="15"/>
  <c r="L12" i="14"/>
  <c r="I45" i="18" a="1"/>
  <c r="AF106" i="15" l="1"/>
  <c r="AG106" i="15" s="1"/>
  <c r="AF108" i="15"/>
  <c r="AG108" i="15" s="1"/>
  <c r="AF107" i="15"/>
  <c r="AG107" i="15" s="1"/>
  <c r="AF104" i="15"/>
  <c r="AG104" i="15" s="1"/>
  <c r="AF113" i="15"/>
  <c r="AG113" i="15" s="1"/>
  <c r="AF110" i="15"/>
  <c r="AG110" i="15" s="1"/>
  <c r="AF105" i="15"/>
  <c r="AG105" i="15" s="1"/>
  <c r="AF109" i="15"/>
  <c r="AG109" i="15" s="1"/>
  <c r="AF112" i="15"/>
  <c r="AG112" i="15" s="1"/>
  <c r="AF111" i="15"/>
  <c r="AG111" i="15" s="1"/>
  <c r="K20" i="14"/>
  <c r="J20" i="14"/>
  <c r="L20" i="14" s="1"/>
  <c r="AF164" i="15"/>
  <c r="AG164" i="15" s="1"/>
  <c r="AF163" i="15"/>
  <c r="AG163" i="15" s="1"/>
  <c r="AF160" i="15"/>
  <c r="AG160" i="15" s="1"/>
  <c r="AF161" i="15"/>
  <c r="AG161" i="15" s="1"/>
  <c r="AF165" i="15"/>
  <c r="AG165" i="15" s="1"/>
  <c r="AF162" i="15"/>
  <c r="AG162" i="15" s="1"/>
  <c r="AF159" i="15"/>
  <c r="AG159" i="15" s="1"/>
  <c r="K27" i="14"/>
  <c r="J27" i="14"/>
  <c r="AF220" i="15"/>
  <c r="AG220" i="15" s="1"/>
  <c r="AF219" i="15"/>
  <c r="AG219" i="15" s="1"/>
  <c r="J34" i="14"/>
  <c r="K34" i="14"/>
  <c r="J41" i="14"/>
  <c r="K41" i="14"/>
  <c r="AF273" i="15"/>
  <c r="AG273" i="15" s="1"/>
  <c r="AF276" i="15"/>
  <c r="AG276" i="15" s="1"/>
  <c r="AF274" i="15"/>
  <c r="AG274" i="15" s="1"/>
  <c r="AF277" i="15"/>
  <c r="AG277" i="15" s="1"/>
  <c r="AF279" i="15"/>
  <c r="AG279" i="15" s="1"/>
  <c r="AF278" i="15"/>
  <c r="AG278" i="15" s="1"/>
  <c r="AF272" i="15"/>
  <c r="AG272" i="15" s="1"/>
  <c r="AF280" i="15"/>
  <c r="AG280" i="15" s="1"/>
  <c r="AF275" i="15"/>
  <c r="AG275" i="15" s="1"/>
  <c r="K48" i="14"/>
  <c r="J48" i="14"/>
  <c r="AF333" i="15"/>
  <c r="AG333" i="15" s="1"/>
  <c r="AF330" i="15"/>
  <c r="AG330" i="15" s="1"/>
  <c r="AF331" i="15"/>
  <c r="AG331" i="15" s="1"/>
  <c r="AF325" i="15"/>
  <c r="AG325" i="15" s="1"/>
  <c r="AF332" i="15"/>
  <c r="AG332" i="15" s="1"/>
  <c r="AF327" i="15"/>
  <c r="AG327" i="15" s="1"/>
  <c r="AF329" i="15"/>
  <c r="AG329" i="15" s="1"/>
  <c r="AF328" i="15"/>
  <c r="AG328" i="15" s="1"/>
  <c r="AF326" i="15"/>
  <c r="AG326" i="15" s="1"/>
  <c r="S14" i="14"/>
  <c r="F20" i="17"/>
  <c r="K69" i="14"/>
  <c r="J69" i="14"/>
  <c r="J62" i="14"/>
  <c r="K62" i="14"/>
  <c r="AF437" i="15"/>
  <c r="AG437" i="15" s="1"/>
  <c r="AF438" i="15"/>
  <c r="AG438" i="15" s="1"/>
  <c r="J55" i="14"/>
  <c r="K55" i="14"/>
  <c r="AF378" i="15"/>
  <c r="AG378" i="15" s="1"/>
  <c r="AF382" i="15"/>
  <c r="AG382" i="15" s="1"/>
  <c r="AF384" i="15"/>
  <c r="AG384" i="15" s="1"/>
  <c r="AF385" i="15"/>
  <c r="AG385" i="15" s="1"/>
  <c r="AF386" i="15"/>
  <c r="AG386" i="15" s="1"/>
  <c r="AF383" i="15"/>
  <c r="AG383" i="15" s="1"/>
  <c r="AF377" i="15"/>
  <c r="AG377" i="15" s="1"/>
  <c r="AF380" i="15"/>
  <c r="AG380" i="15" s="1"/>
  <c r="AF379" i="15"/>
  <c r="AG379" i="15" s="1"/>
  <c r="AF381" i="15"/>
  <c r="AG381" i="15" s="1"/>
  <c r="AF57" i="15"/>
  <c r="AG57" i="15" s="1"/>
  <c r="AF58" i="15"/>
  <c r="AG58" i="15" s="1"/>
  <c r="AF59" i="15"/>
  <c r="AG59" i="15" s="1"/>
  <c r="AF60" i="15"/>
  <c r="AG60" i="15" s="1"/>
  <c r="AF61" i="15"/>
  <c r="AG61" i="15" s="1"/>
  <c r="AF62" i="15"/>
  <c r="AG62" i="15" s="1"/>
  <c r="AF63" i="15"/>
  <c r="AG63" i="15" s="1"/>
  <c r="AF52" i="15"/>
  <c r="AG52" i="15" s="1"/>
  <c r="AF54" i="15"/>
  <c r="AG54" i="15" s="1"/>
  <c r="AF55" i="15"/>
  <c r="AG55" i="15" s="1"/>
  <c r="AF64" i="15"/>
  <c r="AG64" i="15" s="1"/>
  <c r="C33" i="18" s="1"/>
  <c r="AF53" i="15"/>
  <c r="AG53" i="15" s="1"/>
  <c r="AF56" i="15"/>
  <c r="AG56" i="15" s="1"/>
  <c r="AE126" i="15" l="1"/>
  <c r="AE123" i="15"/>
  <c r="AE121" i="15"/>
  <c r="AE120" i="15"/>
  <c r="AE117" i="15"/>
  <c r="AE116" i="15"/>
  <c r="AE122" i="15"/>
  <c r="AE124" i="15"/>
  <c r="AE119" i="15"/>
  <c r="AE118" i="15"/>
  <c r="AE115" i="15"/>
  <c r="AE114" i="15"/>
  <c r="AE125" i="15"/>
  <c r="AF114" i="15"/>
  <c r="AG114" i="15" s="1"/>
  <c r="AF123" i="15"/>
  <c r="AF116" i="15"/>
  <c r="AF115" i="15"/>
  <c r="AF126" i="15"/>
  <c r="AF120" i="15"/>
  <c r="AF124" i="15"/>
  <c r="AF118" i="15"/>
  <c r="AF117" i="15"/>
  <c r="AF122" i="15"/>
  <c r="AF119" i="15"/>
  <c r="AF121" i="15"/>
  <c r="AF125" i="15"/>
  <c r="AE174" i="15"/>
  <c r="AE175" i="15"/>
  <c r="AE172" i="15"/>
  <c r="AE170" i="15"/>
  <c r="AE166" i="15"/>
  <c r="AE173" i="15"/>
  <c r="AE171" i="15"/>
  <c r="AE169" i="15"/>
  <c r="AE168" i="15"/>
  <c r="AE167" i="15"/>
  <c r="L27" i="14"/>
  <c r="I28" i="14"/>
  <c r="L34" i="14"/>
  <c r="I35" i="14"/>
  <c r="AE224" i="15"/>
  <c r="AE225" i="15"/>
  <c r="AE223" i="15"/>
  <c r="AE221" i="15"/>
  <c r="AE222" i="15"/>
  <c r="AE227" i="15"/>
  <c r="AE226" i="15"/>
  <c r="I42" i="14"/>
  <c r="L41" i="14"/>
  <c r="AE282" i="15"/>
  <c r="AE281" i="15"/>
  <c r="AE338" i="15"/>
  <c r="AE336" i="15"/>
  <c r="AE341" i="15"/>
  <c r="AE335" i="15"/>
  <c r="AE340" i="15"/>
  <c r="AE339" i="15"/>
  <c r="AE337" i="15"/>
  <c r="AE334" i="15"/>
  <c r="AE342" i="15"/>
  <c r="I49" i="14"/>
  <c r="L48" i="14"/>
  <c r="E21" i="17"/>
  <c r="C21" i="17"/>
  <c r="T14" i="14"/>
  <c r="I77" i="14"/>
  <c r="AE500" i="15"/>
  <c r="AE499" i="15"/>
  <c r="L69" i="14"/>
  <c r="I70" i="14"/>
  <c r="L62" i="14"/>
  <c r="I63" i="14"/>
  <c r="AE444" i="15"/>
  <c r="AE448" i="15"/>
  <c r="AE446" i="15"/>
  <c r="AE439" i="15"/>
  <c r="AE443" i="15"/>
  <c r="AE447" i="15"/>
  <c r="AE441" i="15"/>
  <c r="AE440" i="15"/>
  <c r="AE445" i="15"/>
  <c r="AE442" i="15"/>
  <c r="I56" i="14"/>
  <c r="L55" i="14"/>
  <c r="AE395" i="15"/>
  <c r="AE394" i="15"/>
  <c r="AE389" i="15"/>
  <c r="AE393" i="15"/>
  <c r="AE390" i="15"/>
  <c r="AE391" i="15"/>
  <c r="AE387" i="15"/>
  <c r="AE392" i="15"/>
  <c r="AE388" i="15"/>
  <c r="AG118" i="15" l="1"/>
  <c r="AG119" i="15"/>
  <c r="AG125" i="15"/>
  <c r="AG115" i="15"/>
  <c r="AG123" i="15"/>
  <c r="AG116" i="15"/>
  <c r="AG126" i="15"/>
  <c r="AG120" i="15"/>
  <c r="AG124" i="15"/>
  <c r="AG117" i="15"/>
  <c r="AG122" i="15"/>
  <c r="AG121" i="15"/>
  <c r="AF174" i="15"/>
  <c r="AG174" i="15" s="1"/>
  <c r="AF171" i="15"/>
  <c r="AG171" i="15" s="1"/>
  <c r="AF169" i="15"/>
  <c r="AG169" i="15" s="1"/>
  <c r="AF167" i="15"/>
  <c r="AG167" i="15" s="1"/>
  <c r="AF175" i="15"/>
  <c r="AG175" i="15" s="1"/>
  <c r="AF172" i="15"/>
  <c r="AG172" i="15" s="1"/>
  <c r="AF168" i="15"/>
  <c r="AG168" i="15" s="1"/>
  <c r="AF173" i="15"/>
  <c r="AG173" i="15" s="1"/>
  <c r="AF166" i="15"/>
  <c r="AG166" i="15" s="1"/>
  <c r="AF170" i="15"/>
  <c r="AG170" i="15" s="1"/>
  <c r="K28" i="14"/>
  <c r="J28" i="14"/>
  <c r="L28" i="14" s="1"/>
  <c r="AF222" i="15"/>
  <c r="AG222" i="15" s="1"/>
  <c r="AF227" i="15"/>
  <c r="AG227" i="15" s="1"/>
  <c r="AF225" i="15"/>
  <c r="AG225" i="15" s="1"/>
  <c r="AF223" i="15"/>
  <c r="AG223" i="15" s="1"/>
  <c r="AF226" i="15"/>
  <c r="AG226" i="15" s="1"/>
  <c r="AF221" i="15"/>
  <c r="AG221" i="15" s="1"/>
  <c r="AF224" i="15"/>
  <c r="AG224" i="15" s="1"/>
  <c r="J35" i="14"/>
  <c r="K35" i="14"/>
  <c r="K42" i="14"/>
  <c r="J42" i="14"/>
  <c r="AF282" i="15"/>
  <c r="AG282" i="15" s="1"/>
  <c r="AF281" i="15"/>
  <c r="AG281" i="15" s="1"/>
  <c r="K49" i="14"/>
  <c r="J49" i="14"/>
  <c r="AF337" i="15"/>
  <c r="AG337" i="15" s="1"/>
  <c r="AF339" i="15"/>
  <c r="AG339" i="15" s="1"/>
  <c r="AF334" i="15"/>
  <c r="AG334" i="15" s="1"/>
  <c r="AF341" i="15"/>
  <c r="AG341" i="15" s="1"/>
  <c r="AF336" i="15"/>
  <c r="AG336" i="15" s="1"/>
  <c r="AF335" i="15"/>
  <c r="AG335" i="15" s="1"/>
  <c r="AF340" i="15"/>
  <c r="AG340" i="15" s="1"/>
  <c r="AF342" i="15"/>
  <c r="AG342" i="15" s="1"/>
  <c r="AF338" i="15"/>
  <c r="AG338" i="15" s="1"/>
  <c r="F21" i="17"/>
  <c r="S15" i="14"/>
  <c r="J77" i="14"/>
  <c r="K77" i="14"/>
  <c r="AF499" i="15"/>
  <c r="AG499" i="15" s="1"/>
  <c r="AF500" i="15"/>
  <c r="AG500" i="15" s="1"/>
  <c r="K70" i="14"/>
  <c r="J70" i="14"/>
  <c r="AF443" i="15"/>
  <c r="AG443" i="15" s="1"/>
  <c r="AF446" i="15"/>
  <c r="AG446" i="15" s="1"/>
  <c r="AF447" i="15"/>
  <c r="AG447" i="15" s="1"/>
  <c r="AF444" i="15"/>
  <c r="AG444" i="15" s="1"/>
  <c r="AF439" i="15"/>
  <c r="AG439" i="15" s="1"/>
  <c r="AF445" i="15"/>
  <c r="AG445" i="15" s="1"/>
  <c r="AF448" i="15"/>
  <c r="AG448" i="15" s="1"/>
  <c r="AF442" i="15"/>
  <c r="AG442" i="15" s="1"/>
  <c r="AF441" i="15"/>
  <c r="AG441" i="15" s="1"/>
  <c r="AF440" i="15"/>
  <c r="AG440" i="15" s="1"/>
  <c r="J63" i="14"/>
  <c r="K63" i="14"/>
  <c r="J56" i="14"/>
  <c r="K56" i="14"/>
  <c r="AF388" i="15"/>
  <c r="AG388" i="15" s="1"/>
  <c r="AF387" i="15"/>
  <c r="AG387" i="15" s="1"/>
  <c r="AF395" i="15"/>
  <c r="AG395" i="15" s="1"/>
  <c r="AF394" i="15"/>
  <c r="AG394" i="15" s="1"/>
  <c r="AF389" i="15"/>
  <c r="AG389" i="15" s="1"/>
  <c r="AF391" i="15"/>
  <c r="AG391" i="15" s="1"/>
  <c r="AF390" i="15"/>
  <c r="AG390" i="15" s="1"/>
  <c r="AF393" i="15"/>
  <c r="AG393" i="15" s="1"/>
  <c r="AF392" i="15"/>
  <c r="AG392" i="15" s="1"/>
  <c r="AE185" i="15" l="1"/>
  <c r="AE181" i="15"/>
  <c r="AE186" i="15"/>
  <c r="AE187" i="15"/>
  <c r="AE188" i="15"/>
  <c r="AE179" i="15"/>
  <c r="AE184" i="15"/>
  <c r="AE180" i="15"/>
  <c r="AE178" i="15"/>
  <c r="AE182" i="15"/>
  <c r="AE177" i="15"/>
  <c r="AE183" i="15"/>
  <c r="AE176" i="15"/>
  <c r="AF188" i="15"/>
  <c r="AF179" i="15"/>
  <c r="AF176" i="15"/>
  <c r="AF183" i="15"/>
  <c r="AF182" i="15"/>
  <c r="AF181" i="15"/>
  <c r="AF178" i="15"/>
  <c r="AF177" i="15"/>
  <c r="AF180" i="15"/>
  <c r="AF184" i="15"/>
  <c r="AF185" i="15"/>
  <c r="AF186" i="15"/>
  <c r="AF187" i="15"/>
  <c r="L35" i="14"/>
  <c r="I36" i="14"/>
  <c r="AE231" i="15"/>
  <c r="AE234" i="15"/>
  <c r="AE229" i="15"/>
  <c r="AE232" i="15"/>
  <c r="AE230" i="15"/>
  <c r="AE233" i="15"/>
  <c r="AE237" i="15"/>
  <c r="AE236" i="15"/>
  <c r="AE228" i="15"/>
  <c r="AE235" i="15"/>
  <c r="AE288" i="15"/>
  <c r="AE283" i="15"/>
  <c r="AE286" i="15"/>
  <c r="AE285" i="15"/>
  <c r="AE287" i="15"/>
  <c r="AE289" i="15"/>
  <c r="AE284" i="15"/>
  <c r="L42" i="14"/>
  <c r="I43" i="14"/>
  <c r="AE343" i="15"/>
  <c r="AE344" i="15"/>
  <c r="L49" i="14"/>
  <c r="I50" i="14"/>
  <c r="C22" i="17"/>
  <c r="E22" i="17"/>
  <c r="T15" i="14"/>
  <c r="I85" i="14"/>
  <c r="L77" i="14"/>
  <c r="I78" i="14"/>
  <c r="AE562" i="15"/>
  <c r="AE561" i="15"/>
  <c r="AE507" i="15"/>
  <c r="AE501" i="15"/>
  <c r="AE503" i="15"/>
  <c r="AE502" i="15"/>
  <c r="AE508" i="15"/>
  <c r="AE509" i="15"/>
  <c r="AE504" i="15"/>
  <c r="AE506" i="15"/>
  <c r="AE510" i="15"/>
  <c r="AE505" i="15"/>
  <c r="L70" i="14"/>
  <c r="I71" i="14"/>
  <c r="I64" i="14"/>
  <c r="L63" i="14"/>
  <c r="AE455" i="15"/>
  <c r="AE457" i="15"/>
  <c r="AE449" i="15"/>
  <c r="AE450" i="15"/>
  <c r="AE456" i="15"/>
  <c r="AE454" i="15"/>
  <c r="AE453" i="15"/>
  <c r="AE452" i="15"/>
  <c r="AE451" i="15"/>
  <c r="I57" i="14"/>
  <c r="L56" i="14"/>
  <c r="AE400" i="15"/>
  <c r="AE403" i="15"/>
  <c r="AE402" i="15"/>
  <c r="AE396" i="15"/>
  <c r="AE404" i="15"/>
  <c r="AE398" i="15"/>
  <c r="AE399" i="15"/>
  <c r="AE401" i="15"/>
  <c r="AE397" i="15"/>
  <c r="AG178" i="15" l="1"/>
  <c r="AG182" i="15"/>
  <c r="AG188" i="15"/>
  <c r="AG179" i="15"/>
  <c r="AG176" i="15"/>
  <c r="AG183" i="15"/>
  <c r="AG181" i="15"/>
  <c r="AG177" i="15"/>
  <c r="AG180" i="15"/>
  <c r="AG184" i="15"/>
  <c r="AG185" i="15"/>
  <c r="AG186" i="15"/>
  <c r="AF232" i="15"/>
  <c r="AG232" i="15" s="1"/>
  <c r="AF231" i="15"/>
  <c r="AG231" i="15" s="1"/>
  <c r="AF234" i="15"/>
  <c r="AG234" i="15" s="1"/>
  <c r="AF237" i="15"/>
  <c r="AG237" i="15" s="1"/>
  <c r="AF229" i="15"/>
  <c r="AG229" i="15" s="1"/>
  <c r="AF230" i="15"/>
  <c r="AG230" i="15" s="1"/>
  <c r="AF236" i="15"/>
  <c r="AG236" i="15" s="1"/>
  <c r="AF233" i="15"/>
  <c r="AG233" i="15" s="1"/>
  <c r="AF235" i="15"/>
  <c r="AG235" i="15" s="1"/>
  <c r="AF228" i="15"/>
  <c r="AG228" i="15" s="1"/>
  <c r="J36" i="14"/>
  <c r="L36" i="14" s="1"/>
  <c r="K36" i="14"/>
  <c r="AF286" i="15"/>
  <c r="AG286" i="15" s="1"/>
  <c r="AF285" i="15"/>
  <c r="AG285" i="15" s="1"/>
  <c r="AF283" i="15"/>
  <c r="AG283" i="15" s="1"/>
  <c r="AF284" i="15"/>
  <c r="AG284" i="15" s="1"/>
  <c r="AF288" i="15"/>
  <c r="AG288" i="15" s="1"/>
  <c r="AF287" i="15"/>
  <c r="AG287" i="15" s="1"/>
  <c r="AF289" i="15"/>
  <c r="AG289" i="15" s="1"/>
  <c r="K43" i="14"/>
  <c r="J43" i="14"/>
  <c r="AF344" i="15"/>
  <c r="AG344" i="15" s="1"/>
  <c r="AF343" i="15"/>
  <c r="AG343" i="15" s="1"/>
  <c r="K50" i="14"/>
  <c r="J50" i="14"/>
  <c r="F22" i="17"/>
  <c r="S16" i="14"/>
  <c r="J85" i="14"/>
  <c r="K85" i="14"/>
  <c r="AF562" i="15"/>
  <c r="AG562" i="15" s="1"/>
  <c r="AF561" i="15"/>
  <c r="AG561" i="15" s="1"/>
  <c r="K78" i="14"/>
  <c r="J78" i="14"/>
  <c r="AF502" i="15"/>
  <c r="AG502" i="15" s="1"/>
  <c r="AF504" i="15"/>
  <c r="AG504" i="15" s="1"/>
  <c r="AF501" i="15"/>
  <c r="AG501" i="15" s="1"/>
  <c r="AF508" i="15"/>
  <c r="AG508" i="15" s="1"/>
  <c r="AF503" i="15"/>
  <c r="AG503" i="15" s="1"/>
  <c r="AF505" i="15"/>
  <c r="AG505" i="15" s="1"/>
  <c r="AF507" i="15"/>
  <c r="AG507" i="15" s="1"/>
  <c r="AF509" i="15"/>
  <c r="AG509" i="15" s="1"/>
  <c r="AF506" i="15"/>
  <c r="AG506" i="15" s="1"/>
  <c r="AF510" i="15"/>
  <c r="AG510" i="15" s="1"/>
  <c r="J71" i="14"/>
  <c r="K71" i="14"/>
  <c r="J64" i="14"/>
  <c r="K64" i="14"/>
  <c r="AF457" i="15"/>
  <c r="AG457" i="15" s="1"/>
  <c r="AF452" i="15"/>
  <c r="AG452" i="15" s="1"/>
  <c r="AF450" i="15"/>
  <c r="AG450" i="15" s="1"/>
  <c r="AF456" i="15"/>
  <c r="AG456" i="15" s="1"/>
  <c r="AF455" i="15"/>
  <c r="AG455" i="15" s="1"/>
  <c r="AF454" i="15"/>
  <c r="AG454" i="15" s="1"/>
  <c r="AF453" i="15"/>
  <c r="AG453" i="15" s="1"/>
  <c r="AF451" i="15"/>
  <c r="AG451" i="15" s="1"/>
  <c r="AF449" i="15"/>
  <c r="AG449" i="15" s="1"/>
  <c r="J57" i="14"/>
  <c r="K57" i="14"/>
  <c r="AF398" i="15"/>
  <c r="AG398" i="15" s="1"/>
  <c r="AF400" i="15"/>
  <c r="AG400" i="15" s="1"/>
  <c r="AF401" i="15"/>
  <c r="AG401" i="15" s="1"/>
  <c r="AF404" i="15"/>
  <c r="AG404" i="15" s="1"/>
  <c r="AF397" i="15"/>
  <c r="AG397" i="15" s="1"/>
  <c r="AF399" i="15"/>
  <c r="AG399" i="15" s="1"/>
  <c r="AF403" i="15"/>
  <c r="AG403" i="15" s="1"/>
  <c r="AF402" i="15"/>
  <c r="AG402" i="15" s="1"/>
  <c r="AF396" i="15"/>
  <c r="AG396" i="15" s="1"/>
  <c r="AG187" i="15"/>
  <c r="AF248" i="15" l="1"/>
  <c r="AF243" i="15"/>
  <c r="AF240" i="15"/>
  <c r="AF239" i="15"/>
  <c r="AF244" i="15"/>
  <c r="AF249" i="15"/>
  <c r="AF241" i="15"/>
  <c r="AF245" i="15"/>
  <c r="AF250" i="15"/>
  <c r="AF246" i="15"/>
  <c r="AF247" i="15"/>
  <c r="AF242" i="15"/>
  <c r="AF238" i="15"/>
  <c r="AE246" i="15"/>
  <c r="AE241" i="15"/>
  <c r="AE249" i="15"/>
  <c r="AE238" i="15"/>
  <c r="AE243" i="15"/>
  <c r="AE247" i="15"/>
  <c r="AE239" i="15"/>
  <c r="AE248" i="15"/>
  <c r="AE240" i="15"/>
  <c r="AE242" i="15"/>
  <c r="AE250" i="15"/>
  <c r="AE245" i="15"/>
  <c r="AE244" i="15"/>
  <c r="AE292" i="15"/>
  <c r="AE293" i="15"/>
  <c r="AE294" i="15"/>
  <c r="AE291" i="15"/>
  <c r="AE290" i="15"/>
  <c r="AE299" i="15"/>
  <c r="AE298" i="15"/>
  <c r="AE297" i="15"/>
  <c r="AE296" i="15"/>
  <c r="AE295" i="15"/>
  <c r="L43" i="14"/>
  <c r="I44" i="14"/>
  <c r="AE348" i="15"/>
  <c r="AE351" i="15"/>
  <c r="AE350" i="15"/>
  <c r="AE349" i="15"/>
  <c r="AE347" i="15"/>
  <c r="AE345" i="15"/>
  <c r="AE346" i="15"/>
  <c r="L50" i="14"/>
  <c r="I51" i="14"/>
  <c r="I93" i="14"/>
  <c r="C23" i="17"/>
  <c r="E23" i="17"/>
  <c r="T16" i="14"/>
  <c r="L85" i="14"/>
  <c r="I86" i="14"/>
  <c r="AE623" i="15"/>
  <c r="AE624" i="15"/>
  <c r="AE567" i="15"/>
  <c r="AE572" i="15"/>
  <c r="AE571" i="15"/>
  <c r="AE566" i="15"/>
  <c r="AE568" i="15"/>
  <c r="AE565" i="15"/>
  <c r="AE564" i="15"/>
  <c r="AE563" i="15"/>
  <c r="AE570" i="15"/>
  <c r="AE569" i="15"/>
  <c r="L78" i="14"/>
  <c r="I79" i="14"/>
  <c r="I72" i="14"/>
  <c r="L71" i="14"/>
  <c r="AE511" i="15"/>
  <c r="AE513" i="15"/>
  <c r="AE516" i="15"/>
  <c r="AE518" i="15"/>
  <c r="AE512" i="15"/>
  <c r="AE514" i="15"/>
  <c r="AE515" i="15"/>
  <c r="AE517" i="15"/>
  <c r="AE519" i="15"/>
  <c r="I65" i="14"/>
  <c r="L64" i="14"/>
  <c r="AE464" i="15"/>
  <c r="AE465" i="15"/>
  <c r="AE461" i="15"/>
  <c r="AE462" i="15"/>
  <c r="AE460" i="15"/>
  <c r="AE463" i="15"/>
  <c r="AE459" i="15"/>
  <c r="AE458" i="15"/>
  <c r="AE466" i="15"/>
  <c r="I58" i="14"/>
  <c r="L57" i="14"/>
  <c r="AE406" i="15"/>
  <c r="AE405" i="15"/>
  <c r="C27" i="18"/>
  <c r="C20" i="18"/>
  <c r="C26" i="18"/>
  <c r="C28" i="18"/>
  <c r="C24" i="18"/>
  <c r="C29" i="18"/>
  <c r="C30" i="18"/>
  <c r="C32" i="18"/>
  <c r="C25" i="18"/>
  <c r="AF298" i="15" l="1"/>
  <c r="AG298" i="15" s="1"/>
  <c r="AF297" i="15"/>
  <c r="AG297" i="15" s="1"/>
  <c r="AF296" i="15"/>
  <c r="AG296" i="15" s="1"/>
  <c r="AF295" i="15"/>
  <c r="AG295" i="15" s="1"/>
  <c r="AF294" i="15"/>
  <c r="AG294" i="15" s="1"/>
  <c r="AF293" i="15"/>
  <c r="AG293" i="15" s="1"/>
  <c r="AF292" i="15"/>
  <c r="AG292" i="15" s="1"/>
  <c r="AF291" i="15"/>
  <c r="AG291" i="15" s="1"/>
  <c r="AF290" i="15"/>
  <c r="AG290" i="15" s="1"/>
  <c r="AF299" i="15"/>
  <c r="AG299" i="15" s="1"/>
  <c r="K44" i="14"/>
  <c r="J44" i="14"/>
  <c r="L44" i="14" s="1"/>
  <c r="AF348" i="15"/>
  <c r="AG348" i="15" s="1"/>
  <c r="AF351" i="15"/>
  <c r="AG351" i="15" s="1"/>
  <c r="AF350" i="15"/>
  <c r="AG350" i="15" s="1"/>
  <c r="AF349" i="15"/>
  <c r="AG349" i="15" s="1"/>
  <c r="AF346" i="15"/>
  <c r="AG346" i="15" s="1"/>
  <c r="AF347" i="15"/>
  <c r="AG347" i="15" s="1"/>
  <c r="AF345" i="15"/>
  <c r="AG345" i="15" s="1"/>
  <c r="K51" i="14"/>
  <c r="J51" i="14"/>
  <c r="K93" i="14"/>
  <c r="J93" i="14"/>
  <c r="S17" i="14"/>
  <c r="F23" i="17"/>
  <c r="AF624" i="15"/>
  <c r="AG624" i="15" s="1"/>
  <c r="AF623" i="15"/>
  <c r="AG623" i="15" s="1"/>
  <c r="J86" i="14"/>
  <c r="K86" i="14"/>
  <c r="AF566" i="15"/>
  <c r="AG566" i="15" s="1"/>
  <c r="AF568" i="15"/>
  <c r="AG568" i="15" s="1"/>
  <c r="AF567" i="15"/>
  <c r="AG567" i="15" s="1"/>
  <c r="AF571" i="15"/>
  <c r="AG571" i="15" s="1"/>
  <c r="AF569" i="15"/>
  <c r="AG569" i="15" s="1"/>
  <c r="AF565" i="15"/>
  <c r="AG565" i="15" s="1"/>
  <c r="AF563" i="15"/>
  <c r="AG563" i="15" s="1"/>
  <c r="AF564" i="15"/>
  <c r="AG564" i="15" s="1"/>
  <c r="AF570" i="15"/>
  <c r="AG570" i="15" s="1"/>
  <c r="AF572" i="15"/>
  <c r="AG572" i="15" s="1"/>
  <c r="K79" i="14"/>
  <c r="J79" i="14"/>
  <c r="J72" i="14"/>
  <c r="K72" i="14"/>
  <c r="AF515" i="15"/>
  <c r="AG515" i="15" s="1"/>
  <c r="AF517" i="15"/>
  <c r="AG517" i="15" s="1"/>
  <c r="AF519" i="15"/>
  <c r="AG519" i="15" s="1"/>
  <c r="AF511" i="15"/>
  <c r="AG511" i="15" s="1"/>
  <c r="AF512" i="15"/>
  <c r="AG512" i="15" s="1"/>
  <c r="AF514" i="15"/>
  <c r="AG514" i="15" s="1"/>
  <c r="AF516" i="15"/>
  <c r="AG516" i="15" s="1"/>
  <c r="AF518" i="15"/>
  <c r="AG518" i="15" s="1"/>
  <c r="AF513" i="15"/>
  <c r="AG513" i="15" s="1"/>
  <c r="J65" i="14"/>
  <c r="K65" i="14"/>
  <c r="AF463" i="15"/>
  <c r="AG463" i="15" s="1"/>
  <c r="AF461" i="15"/>
  <c r="AG461" i="15" s="1"/>
  <c r="AF458" i="15"/>
  <c r="AG458" i="15" s="1"/>
  <c r="AF459" i="15"/>
  <c r="AG459" i="15" s="1"/>
  <c r="AF460" i="15"/>
  <c r="AG460" i="15" s="1"/>
  <c r="AF462" i="15"/>
  <c r="AG462" i="15" s="1"/>
  <c r="AF464" i="15"/>
  <c r="AG464" i="15" s="1"/>
  <c r="AF466" i="15"/>
  <c r="AG466" i="15" s="1"/>
  <c r="AF465" i="15"/>
  <c r="AG465" i="15" s="1"/>
  <c r="J58" i="14"/>
  <c r="K58" i="14"/>
  <c r="AF405" i="15"/>
  <c r="AG405" i="15" s="1"/>
  <c r="AF406" i="15"/>
  <c r="AG406" i="15" s="1"/>
  <c r="AG248" i="15"/>
  <c r="AG243" i="15"/>
  <c r="AG240" i="15"/>
  <c r="AG239" i="15"/>
  <c r="AG244" i="15"/>
  <c r="AG249" i="15"/>
  <c r="AG241" i="15"/>
  <c r="AG245" i="15"/>
  <c r="AG250" i="15"/>
  <c r="AG246" i="15"/>
  <c r="AG247" i="15"/>
  <c r="AG242" i="15"/>
  <c r="AG238" i="15"/>
  <c r="AE302" i="15" l="1"/>
  <c r="AE301" i="15"/>
  <c r="AE309" i="15"/>
  <c r="AE306" i="15"/>
  <c r="AE312" i="15"/>
  <c r="AE310" i="15"/>
  <c r="AE304" i="15"/>
  <c r="AE300" i="15"/>
  <c r="AE305" i="15"/>
  <c r="AE307" i="15"/>
  <c r="AE303" i="15"/>
  <c r="AE311" i="15"/>
  <c r="AE308" i="15"/>
  <c r="AF310" i="15"/>
  <c r="AF307" i="15"/>
  <c r="AG307" i="15" s="1"/>
  <c r="AF300" i="15"/>
  <c r="AF306" i="15"/>
  <c r="AF303" i="15"/>
  <c r="AF309" i="15"/>
  <c r="AF305" i="15"/>
  <c r="AF304" i="15"/>
  <c r="AF312" i="15"/>
  <c r="AF301" i="15"/>
  <c r="AF302" i="15"/>
  <c r="AF308" i="15"/>
  <c r="AF311" i="15"/>
  <c r="AE361" i="15"/>
  <c r="AE355" i="15"/>
  <c r="AE357" i="15"/>
  <c r="AE354" i="15"/>
  <c r="AE353" i="15"/>
  <c r="AE358" i="15"/>
  <c r="AE360" i="15"/>
  <c r="AE352" i="15"/>
  <c r="AE356" i="15"/>
  <c r="AE359" i="15"/>
  <c r="L51" i="14"/>
  <c r="I52" i="14"/>
  <c r="I94" i="14"/>
  <c r="L93" i="14"/>
  <c r="E24" i="17"/>
  <c r="C24" i="17"/>
  <c r="I101" i="14"/>
  <c r="T17" i="14"/>
  <c r="L86" i="14"/>
  <c r="I87" i="14"/>
  <c r="AE633" i="15"/>
  <c r="AE631" i="15"/>
  <c r="AE628" i="15"/>
  <c r="AE627" i="15"/>
  <c r="AE629" i="15"/>
  <c r="AE632" i="15"/>
  <c r="AE625" i="15"/>
  <c r="AE626" i="15"/>
  <c r="AE634" i="15"/>
  <c r="AE630" i="15"/>
  <c r="AE578" i="15"/>
  <c r="AE576" i="15"/>
  <c r="AE577" i="15"/>
  <c r="AE574" i="15"/>
  <c r="AE581" i="15"/>
  <c r="AE579" i="15"/>
  <c r="AE573" i="15"/>
  <c r="AE580" i="15"/>
  <c r="AE575" i="15"/>
  <c r="L79" i="14"/>
  <c r="I80" i="14"/>
  <c r="I73" i="14"/>
  <c r="L72" i="14"/>
  <c r="AE522" i="15"/>
  <c r="AE523" i="15"/>
  <c r="AE526" i="15"/>
  <c r="AE524" i="15"/>
  <c r="AE528" i="15"/>
  <c r="AE521" i="15"/>
  <c r="AE520" i="15"/>
  <c r="AE525" i="15"/>
  <c r="AE527" i="15"/>
  <c r="I66" i="14"/>
  <c r="L65" i="14"/>
  <c r="AE468" i="15"/>
  <c r="AE467" i="15"/>
  <c r="L58" i="14"/>
  <c r="I59" i="14"/>
  <c r="AE409" i="15"/>
  <c r="AE413" i="15"/>
  <c r="AE407" i="15"/>
  <c r="AE411" i="15"/>
  <c r="AE408" i="15"/>
  <c r="AE410" i="15"/>
  <c r="AE412" i="15"/>
  <c r="AG306" i="15" l="1"/>
  <c r="AG303" i="15"/>
  <c r="AG309" i="15"/>
  <c r="AG305" i="15"/>
  <c r="AG310" i="15"/>
  <c r="AG300" i="15"/>
  <c r="AF358" i="15"/>
  <c r="AG358" i="15" s="1"/>
  <c r="AF359" i="15"/>
  <c r="AG359" i="15" s="1"/>
  <c r="AF352" i="15"/>
  <c r="AG352" i="15" s="1"/>
  <c r="AF361" i="15"/>
  <c r="AG361" i="15" s="1"/>
  <c r="AF354" i="15"/>
  <c r="AG354" i="15" s="1"/>
  <c r="AF356" i="15"/>
  <c r="AG356" i="15" s="1"/>
  <c r="AF353" i="15"/>
  <c r="AG353" i="15" s="1"/>
  <c r="AF360" i="15"/>
  <c r="AG360" i="15" s="1"/>
  <c r="AF357" i="15"/>
  <c r="AG357" i="15" s="1"/>
  <c r="AF355" i="15"/>
  <c r="AG355" i="15" s="1"/>
  <c r="K52" i="14"/>
  <c r="J52" i="14"/>
  <c r="J94" i="14"/>
  <c r="K94" i="14"/>
  <c r="K101" i="14"/>
  <c r="J101" i="14"/>
  <c r="S18" i="14"/>
  <c r="F24" i="17"/>
  <c r="AF634" i="15"/>
  <c r="AG634" i="15" s="1"/>
  <c r="AF627" i="15"/>
  <c r="AG627" i="15" s="1"/>
  <c r="AF625" i="15"/>
  <c r="AG625" i="15" s="1"/>
  <c r="AF633" i="15"/>
  <c r="AG633" i="15" s="1"/>
  <c r="AF628" i="15"/>
  <c r="AG628" i="15" s="1"/>
  <c r="AF629" i="15"/>
  <c r="AG629" i="15" s="1"/>
  <c r="AF630" i="15"/>
  <c r="AG630" i="15" s="1"/>
  <c r="AF631" i="15"/>
  <c r="AG631" i="15" s="1"/>
  <c r="AF632" i="15"/>
  <c r="AG632" i="15" s="1"/>
  <c r="AF626" i="15"/>
  <c r="AG626" i="15" s="1"/>
  <c r="K87" i="14"/>
  <c r="J87" i="14"/>
  <c r="AF573" i="15"/>
  <c r="AG573" i="15" s="1"/>
  <c r="AF574" i="15"/>
  <c r="AG574" i="15" s="1"/>
  <c r="AF579" i="15"/>
  <c r="AG579" i="15" s="1"/>
  <c r="AF577" i="15"/>
  <c r="AG577" i="15" s="1"/>
  <c r="AF575" i="15"/>
  <c r="AG575" i="15" s="1"/>
  <c r="AF581" i="15"/>
  <c r="AG581" i="15" s="1"/>
  <c r="AF578" i="15"/>
  <c r="AG578" i="15" s="1"/>
  <c r="AF580" i="15"/>
  <c r="AG580" i="15" s="1"/>
  <c r="AF576" i="15"/>
  <c r="AG576" i="15" s="1"/>
  <c r="K80" i="14"/>
  <c r="J80" i="14"/>
  <c r="J73" i="14"/>
  <c r="K73" i="14"/>
  <c r="AF527" i="15"/>
  <c r="AG527" i="15" s="1"/>
  <c r="AF522" i="15"/>
  <c r="AG522" i="15" s="1"/>
  <c r="AF520" i="15"/>
  <c r="AG520" i="15" s="1"/>
  <c r="AF528" i="15"/>
  <c r="AG528" i="15" s="1"/>
  <c r="AF521" i="15"/>
  <c r="AG521" i="15" s="1"/>
  <c r="AF524" i="15"/>
  <c r="AG524" i="15" s="1"/>
  <c r="AF525" i="15"/>
  <c r="AG525" i="15" s="1"/>
  <c r="AF523" i="15"/>
  <c r="AG523" i="15" s="1"/>
  <c r="AF526" i="15"/>
  <c r="J66" i="14"/>
  <c r="K66" i="14"/>
  <c r="AF467" i="15"/>
  <c r="AG467" i="15" s="1"/>
  <c r="AF468" i="15"/>
  <c r="AG468" i="15" s="1"/>
  <c r="AF409" i="15"/>
  <c r="AG409" i="15" s="1"/>
  <c r="AF410" i="15"/>
  <c r="AG410" i="15" s="1"/>
  <c r="AF413" i="15"/>
  <c r="AG413" i="15" s="1"/>
  <c r="AF407" i="15"/>
  <c r="AG407" i="15" s="1"/>
  <c r="AF412" i="15"/>
  <c r="AG412" i="15" s="1"/>
  <c r="AF411" i="15"/>
  <c r="AG411" i="15" s="1"/>
  <c r="AF408" i="15"/>
  <c r="AG408" i="15" s="1"/>
  <c r="J59" i="14"/>
  <c r="K59" i="14"/>
  <c r="AG304" i="15"/>
  <c r="AG312" i="15"/>
  <c r="AG301" i="15"/>
  <c r="AG302" i="15"/>
  <c r="AG308" i="15"/>
  <c r="AG311" i="15"/>
  <c r="D181" i="15"/>
  <c r="D178" i="15"/>
  <c r="F13" i="18" s="1"/>
  <c r="D179" i="15"/>
  <c r="D180" i="15"/>
  <c r="D182" i="15" l="1"/>
  <c r="AE373" i="15"/>
  <c r="AE371" i="15"/>
  <c r="AE370" i="15"/>
  <c r="AE367" i="15"/>
  <c r="AE374" i="15"/>
  <c r="AE366" i="15"/>
  <c r="AE364" i="15"/>
  <c r="AE369" i="15"/>
  <c r="AE372" i="15"/>
  <c r="AE368" i="15"/>
  <c r="AE365" i="15"/>
  <c r="AE363" i="15"/>
  <c r="AE362" i="15"/>
  <c r="L52" i="14"/>
  <c r="I95" i="14"/>
  <c r="L94" i="14"/>
  <c r="AE686" i="15"/>
  <c r="AE685" i="15"/>
  <c r="L101" i="14"/>
  <c r="I102" i="14"/>
  <c r="C25" i="17"/>
  <c r="I109" i="14"/>
  <c r="T18" i="14"/>
  <c r="E25" i="17"/>
  <c r="AE637" i="15"/>
  <c r="AE641" i="15"/>
  <c r="AE635" i="15"/>
  <c r="AE643" i="15"/>
  <c r="AE639" i="15"/>
  <c r="AE638" i="15"/>
  <c r="AE642" i="15"/>
  <c r="AE636" i="15"/>
  <c r="AE640" i="15"/>
  <c r="L87" i="14"/>
  <c r="I88" i="14"/>
  <c r="AE587" i="15"/>
  <c r="AE586" i="15"/>
  <c r="AE584" i="15"/>
  <c r="AE585" i="15"/>
  <c r="AE590" i="15"/>
  <c r="AE589" i="15"/>
  <c r="AE588" i="15"/>
  <c r="AE583" i="15"/>
  <c r="AE582" i="15"/>
  <c r="L80" i="14"/>
  <c r="I81" i="14"/>
  <c r="I74" i="14"/>
  <c r="L73" i="14"/>
  <c r="AE529" i="15"/>
  <c r="AE530" i="15"/>
  <c r="AG526" i="15"/>
  <c r="I67" i="14"/>
  <c r="L66" i="14"/>
  <c r="AE469" i="15"/>
  <c r="AE471" i="15"/>
  <c r="AE472" i="15"/>
  <c r="AE475" i="15"/>
  <c r="AE473" i="15"/>
  <c r="AE470" i="15"/>
  <c r="AE474" i="15"/>
  <c r="I60" i="14"/>
  <c r="L59" i="14"/>
  <c r="AE414" i="15"/>
  <c r="AE419" i="15"/>
  <c r="AE421" i="15"/>
  <c r="AE420" i="15"/>
  <c r="AE416" i="15"/>
  <c r="AE418" i="15"/>
  <c r="AE422" i="15"/>
  <c r="AE415" i="15"/>
  <c r="AE423" i="15"/>
  <c r="AE417" i="15"/>
  <c r="AF367" i="15" l="1"/>
  <c r="AF374" i="15"/>
  <c r="AF368" i="15"/>
  <c r="AF362" i="15"/>
  <c r="AF366" i="15"/>
  <c r="AF372" i="15"/>
  <c r="AG372" i="15" s="1"/>
  <c r="AF373" i="15"/>
  <c r="AF370" i="15"/>
  <c r="AF369" i="15"/>
  <c r="AG369" i="15" s="1"/>
  <c r="AF371" i="15"/>
  <c r="AG371" i="15" s="1"/>
  <c r="AF365" i="15"/>
  <c r="AF364" i="15"/>
  <c r="AF363" i="15"/>
  <c r="AG363" i="15" s="1"/>
  <c r="J95" i="14"/>
  <c r="K95" i="14"/>
  <c r="AF685" i="15"/>
  <c r="AG685" i="15" s="1"/>
  <c r="AF686" i="15"/>
  <c r="AG686" i="15" s="1"/>
  <c r="K102" i="14"/>
  <c r="J102" i="14"/>
  <c r="J109" i="14"/>
  <c r="K109" i="14"/>
  <c r="S19" i="14"/>
  <c r="F25" i="17"/>
  <c r="AF637" i="15"/>
  <c r="AG637" i="15" s="1"/>
  <c r="AF636" i="15"/>
  <c r="AG636" i="15" s="1"/>
  <c r="AF639" i="15"/>
  <c r="AG639" i="15" s="1"/>
  <c r="AF635" i="15"/>
  <c r="AG635" i="15" s="1"/>
  <c r="AF643" i="15"/>
  <c r="AG643" i="15" s="1"/>
  <c r="AF641" i="15"/>
  <c r="AG641" i="15" s="1"/>
  <c r="AF640" i="15"/>
  <c r="AG640" i="15" s="1"/>
  <c r="AF642" i="15"/>
  <c r="AG642" i="15" s="1"/>
  <c r="AF638" i="15"/>
  <c r="AG638" i="15" s="1"/>
  <c r="J88" i="14"/>
  <c r="K88" i="14"/>
  <c r="AF582" i="15"/>
  <c r="AG582" i="15" s="1"/>
  <c r="AF588" i="15"/>
  <c r="AG588" i="15" s="1"/>
  <c r="AF586" i="15"/>
  <c r="AG586" i="15" s="1"/>
  <c r="AF584" i="15"/>
  <c r="AG584" i="15" s="1"/>
  <c r="AF590" i="15"/>
  <c r="AG590" i="15" s="1"/>
  <c r="AF587" i="15"/>
  <c r="AG587" i="15" s="1"/>
  <c r="AF585" i="15"/>
  <c r="AG585" i="15" s="1"/>
  <c r="AF583" i="15"/>
  <c r="AG583" i="15" s="1"/>
  <c r="AF589" i="15"/>
  <c r="AG589" i="15" s="1"/>
  <c r="K81" i="14"/>
  <c r="J81" i="14"/>
  <c r="J74" i="14"/>
  <c r="K74" i="14"/>
  <c r="AF529" i="15"/>
  <c r="AG529" i="15" s="1"/>
  <c r="AF530" i="15"/>
  <c r="AG530" i="15" s="1"/>
  <c r="J67" i="14"/>
  <c r="K67" i="14"/>
  <c r="AF473" i="15"/>
  <c r="AG473" i="15" s="1"/>
  <c r="AF475" i="15"/>
  <c r="AG475" i="15" s="1"/>
  <c r="AF469" i="15"/>
  <c r="AG469" i="15" s="1"/>
  <c r="AF471" i="15"/>
  <c r="AG471" i="15" s="1"/>
  <c r="AF474" i="15"/>
  <c r="AG474" i="15" s="1"/>
  <c r="AF470" i="15"/>
  <c r="AG470" i="15" s="1"/>
  <c r="AF472" i="15"/>
  <c r="AG472" i="15" s="1"/>
  <c r="K60" i="14"/>
  <c r="J60" i="14"/>
  <c r="AF415" i="15"/>
  <c r="AG415" i="15" s="1"/>
  <c r="AF422" i="15"/>
  <c r="AG422" i="15" s="1"/>
  <c r="AF420" i="15"/>
  <c r="AG420" i="15" s="1"/>
  <c r="AF419" i="15"/>
  <c r="AG419" i="15" s="1"/>
  <c r="AF417" i="15"/>
  <c r="AG417" i="15" s="1"/>
  <c r="AF416" i="15"/>
  <c r="AG416" i="15" s="1"/>
  <c r="AF414" i="15"/>
  <c r="AG414" i="15" s="1"/>
  <c r="AF418" i="15"/>
  <c r="AG418" i="15" s="1"/>
  <c r="AF423" i="15"/>
  <c r="AG423" i="15" s="1"/>
  <c r="AF421" i="15"/>
  <c r="AG421" i="15" s="1"/>
  <c r="AG367" i="15" l="1"/>
  <c r="AG374" i="15"/>
  <c r="AG368" i="15"/>
  <c r="AG362" i="15"/>
  <c r="AG366" i="15"/>
  <c r="AG373" i="15"/>
  <c r="AG370" i="15"/>
  <c r="AG365" i="15"/>
  <c r="AG364" i="15"/>
  <c r="L95" i="14"/>
  <c r="I96" i="14"/>
  <c r="AE694" i="15"/>
  <c r="AE691" i="15"/>
  <c r="AE696" i="15"/>
  <c r="AE690" i="15"/>
  <c r="AE687" i="15"/>
  <c r="AE688" i="15"/>
  <c r="AE692" i="15"/>
  <c r="AE693" i="15"/>
  <c r="AE689" i="15"/>
  <c r="AE695" i="15"/>
  <c r="I103" i="14"/>
  <c r="L102" i="14"/>
  <c r="L109" i="14"/>
  <c r="I110" i="14"/>
  <c r="AE748" i="15"/>
  <c r="AE747" i="15"/>
  <c r="I117" i="14"/>
  <c r="C26" i="17"/>
  <c r="E26" i="17"/>
  <c r="T19" i="14"/>
  <c r="F26" i="17" s="1"/>
  <c r="L88" i="14"/>
  <c r="I89" i="14"/>
  <c r="AE647" i="15"/>
  <c r="AE650" i="15"/>
  <c r="AE651" i="15"/>
  <c r="AE645" i="15"/>
  <c r="AE652" i="15"/>
  <c r="AE648" i="15"/>
  <c r="AE646" i="15"/>
  <c r="AE644" i="15"/>
  <c r="AE649" i="15"/>
  <c r="AE591" i="15"/>
  <c r="AE592" i="15"/>
  <c r="L81" i="14"/>
  <c r="I82" i="14"/>
  <c r="L74" i="14"/>
  <c r="I75" i="14"/>
  <c r="AE532" i="15"/>
  <c r="AE534" i="15"/>
  <c r="AE537" i="15"/>
  <c r="AE536" i="15"/>
  <c r="AE533" i="15"/>
  <c r="AE531" i="15"/>
  <c r="AE535" i="15"/>
  <c r="I68" i="14"/>
  <c r="L67" i="14"/>
  <c r="AE481" i="15"/>
  <c r="AE479" i="15"/>
  <c r="AE485" i="15"/>
  <c r="AE478" i="15"/>
  <c r="AE482" i="15"/>
  <c r="AE484" i="15"/>
  <c r="AE480" i="15"/>
  <c r="AE483" i="15"/>
  <c r="AE476" i="15"/>
  <c r="AE477" i="15"/>
  <c r="AE428" i="15"/>
  <c r="AE424" i="15"/>
  <c r="AE429" i="15"/>
  <c r="AE430" i="15"/>
  <c r="AE425" i="15"/>
  <c r="AE432" i="15"/>
  <c r="AE436" i="15"/>
  <c r="AE427" i="15"/>
  <c r="AE426" i="15"/>
  <c r="AE433" i="15"/>
  <c r="AE435" i="15"/>
  <c r="AE431" i="15"/>
  <c r="AE434" i="15"/>
  <c r="L60" i="14"/>
  <c r="D183" i="15" l="1"/>
  <c r="K96" i="14"/>
  <c r="J96" i="14"/>
  <c r="K103" i="14"/>
  <c r="J103" i="14"/>
  <c r="AF696" i="15"/>
  <c r="AG696" i="15" s="1"/>
  <c r="AF691" i="15"/>
  <c r="AG691" i="15" s="1"/>
  <c r="AF694" i="15"/>
  <c r="AG694" i="15" s="1"/>
  <c r="AF688" i="15"/>
  <c r="AG688" i="15" s="1"/>
  <c r="AF690" i="15"/>
  <c r="AG690" i="15" s="1"/>
  <c r="AF695" i="15"/>
  <c r="AG695" i="15" s="1"/>
  <c r="AF687" i="15"/>
  <c r="AG687" i="15" s="1"/>
  <c r="AF692" i="15"/>
  <c r="AG692" i="15" s="1"/>
  <c r="AF693" i="15"/>
  <c r="AG693" i="15" s="1"/>
  <c r="AF689" i="15"/>
  <c r="AG689" i="15" s="1"/>
  <c r="AF747" i="15"/>
  <c r="AG747" i="15" s="1"/>
  <c r="AF748" i="15"/>
  <c r="AG748" i="15" s="1"/>
  <c r="K110" i="14"/>
  <c r="J110" i="14"/>
  <c r="J117" i="14"/>
  <c r="K117" i="14"/>
  <c r="AF652" i="15"/>
  <c r="AG652" i="15" s="1"/>
  <c r="AF646" i="15"/>
  <c r="AG646" i="15" s="1"/>
  <c r="AF645" i="15"/>
  <c r="AG645" i="15" s="1"/>
  <c r="AF649" i="15"/>
  <c r="AG649" i="15" s="1"/>
  <c r="AF650" i="15"/>
  <c r="AG650" i="15" s="1"/>
  <c r="AF644" i="15"/>
  <c r="AG644" i="15" s="1"/>
  <c r="AF647" i="15"/>
  <c r="AG647" i="15" s="1"/>
  <c r="AF648" i="15"/>
  <c r="AG648" i="15" s="1"/>
  <c r="AF651" i="15"/>
  <c r="AG651" i="15" s="1"/>
  <c r="J89" i="14"/>
  <c r="K89" i="14"/>
  <c r="AF591" i="15"/>
  <c r="AG591" i="15" s="1"/>
  <c r="AF592" i="15"/>
  <c r="AG592" i="15" s="1"/>
  <c r="K82" i="14"/>
  <c r="J82" i="14"/>
  <c r="AF533" i="15"/>
  <c r="AG533" i="15" s="1"/>
  <c r="AF531" i="15"/>
  <c r="AG531" i="15" s="1"/>
  <c r="AF536" i="15"/>
  <c r="AG536" i="15" s="1"/>
  <c r="AF532" i="15"/>
  <c r="AG532" i="15" s="1"/>
  <c r="AF534" i="15"/>
  <c r="AG534" i="15" s="1"/>
  <c r="AF535" i="15"/>
  <c r="AG535" i="15" s="1"/>
  <c r="AF537" i="15"/>
  <c r="AG537" i="15" s="1"/>
  <c r="J75" i="14"/>
  <c r="K75" i="14"/>
  <c r="K68" i="14"/>
  <c r="J68" i="14"/>
  <c r="AF478" i="15"/>
  <c r="AG478" i="15" s="1"/>
  <c r="AF479" i="15"/>
  <c r="AG479" i="15" s="1"/>
  <c r="AF481" i="15"/>
  <c r="AG481" i="15" s="1"/>
  <c r="AF476" i="15"/>
  <c r="AG476" i="15" s="1"/>
  <c r="AF485" i="15"/>
  <c r="AG485" i="15" s="1"/>
  <c r="AF484" i="15"/>
  <c r="AG484" i="15" s="1"/>
  <c r="AF483" i="15"/>
  <c r="AG483" i="15" s="1"/>
  <c r="AF480" i="15"/>
  <c r="AG480" i="15" s="1"/>
  <c r="AF482" i="15"/>
  <c r="AG482" i="15" s="1"/>
  <c r="AF477" i="15"/>
  <c r="AG477" i="15" s="1"/>
  <c r="AF427" i="15"/>
  <c r="AF428" i="15"/>
  <c r="AF430" i="15"/>
  <c r="AF433" i="15"/>
  <c r="AG433" i="15" s="1"/>
  <c r="AF432" i="15"/>
  <c r="AF424" i="15"/>
  <c r="AF425" i="15"/>
  <c r="AF429" i="15"/>
  <c r="AF426" i="15"/>
  <c r="AF434" i="15"/>
  <c r="AG434" i="15" s="1"/>
  <c r="AF431" i="15"/>
  <c r="AG431" i="15" s="1"/>
  <c r="AF435" i="15"/>
  <c r="AF436" i="15"/>
  <c r="L96" i="14" l="1"/>
  <c r="I97" i="14"/>
  <c r="AE697" i="15"/>
  <c r="AE705" i="15"/>
  <c r="AE704" i="15"/>
  <c r="AE703" i="15"/>
  <c r="AE702" i="15"/>
  <c r="AE701" i="15"/>
  <c r="AE699" i="15"/>
  <c r="AE698" i="15"/>
  <c r="AE700" i="15"/>
  <c r="L103" i="14"/>
  <c r="I104" i="14"/>
  <c r="AE756" i="15"/>
  <c r="AE751" i="15"/>
  <c r="AE757" i="15"/>
  <c r="AE750" i="15"/>
  <c r="AE749" i="15"/>
  <c r="AE752" i="15"/>
  <c r="AE754" i="15"/>
  <c r="AE753" i="15"/>
  <c r="AE755" i="15"/>
  <c r="AE758" i="15"/>
  <c r="I111" i="14"/>
  <c r="L110" i="14"/>
  <c r="I118" i="14"/>
  <c r="L117" i="14"/>
  <c r="AE809" i="15"/>
  <c r="AE810" i="15"/>
  <c r="I90" i="14"/>
  <c r="L89" i="14"/>
  <c r="AE653" i="15"/>
  <c r="AE654" i="15"/>
  <c r="AE595" i="15"/>
  <c r="AE594" i="15"/>
  <c r="AE598" i="15"/>
  <c r="AE599" i="15"/>
  <c r="AE596" i="15"/>
  <c r="AE597" i="15"/>
  <c r="AE593" i="15"/>
  <c r="L82" i="14"/>
  <c r="I83" i="14"/>
  <c r="I76" i="14"/>
  <c r="L75" i="14"/>
  <c r="AE546" i="15"/>
  <c r="AE541" i="15"/>
  <c r="AE543" i="15"/>
  <c r="AE540" i="15"/>
  <c r="AE547" i="15"/>
  <c r="AE538" i="15"/>
  <c r="AE539" i="15"/>
  <c r="AE544" i="15"/>
  <c r="AE545" i="15"/>
  <c r="AE542" i="15"/>
  <c r="AE495" i="15"/>
  <c r="AE489" i="15"/>
  <c r="AE497" i="15"/>
  <c r="AE488" i="15"/>
  <c r="AE490" i="15"/>
  <c r="AE494" i="15"/>
  <c r="AE492" i="15"/>
  <c r="AE491" i="15"/>
  <c r="AE486" i="15"/>
  <c r="AE496" i="15"/>
  <c r="AE493" i="15"/>
  <c r="AE498" i="15"/>
  <c r="AE487" i="15"/>
  <c r="L68" i="14"/>
  <c r="AG427" i="15"/>
  <c r="AG428" i="15"/>
  <c r="AG430" i="15"/>
  <c r="AG432" i="15"/>
  <c r="AG424" i="15"/>
  <c r="AG425" i="15"/>
  <c r="AG429" i="15"/>
  <c r="AG426" i="15"/>
  <c r="AG435" i="15"/>
  <c r="AG436" i="15"/>
  <c r="K97" i="14" l="1"/>
  <c r="J97" i="14"/>
  <c r="AF702" i="15"/>
  <c r="AG702" i="15" s="1"/>
  <c r="AF704" i="15"/>
  <c r="AG704" i="15" s="1"/>
  <c r="AF700" i="15"/>
  <c r="AG700" i="15" s="1"/>
  <c r="AF703" i="15"/>
  <c r="AG703" i="15" s="1"/>
  <c r="AF698" i="15"/>
  <c r="AG698" i="15" s="1"/>
  <c r="AF705" i="15"/>
  <c r="AG705" i="15" s="1"/>
  <c r="AF697" i="15"/>
  <c r="AG697" i="15" s="1"/>
  <c r="AF701" i="15"/>
  <c r="AG701" i="15" s="1"/>
  <c r="AF699" i="15"/>
  <c r="AG699" i="15" s="1"/>
  <c r="K104" i="14"/>
  <c r="J104" i="14"/>
  <c r="J111" i="14"/>
  <c r="K111" i="14"/>
  <c r="AF751" i="15"/>
  <c r="AG751" i="15" s="1"/>
  <c r="AF754" i="15"/>
  <c r="AG754" i="15" s="1"/>
  <c r="AF749" i="15"/>
  <c r="AG749" i="15" s="1"/>
  <c r="AF750" i="15"/>
  <c r="AG750" i="15" s="1"/>
  <c r="AF755" i="15"/>
  <c r="AG755" i="15" s="1"/>
  <c r="AF756" i="15"/>
  <c r="AG756" i="15" s="1"/>
  <c r="AF758" i="15"/>
  <c r="AG758" i="15" s="1"/>
  <c r="AF752" i="15"/>
  <c r="AG752" i="15" s="1"/>
  <c r="AF753" i="15"/>
  <c r="AG753" i="15" s="1"/>
  <c r="AF757" i="15"/>
  <c r="AG757" i="15" s="1"/>
  <c r="K118" i="14"/>
  <c r="J118" i="14"/>
  <c r="AF810" i="15"/>
  <c r="AG810" i="15" s="1"/>
  <c r="AF809" i="15"/>
  <c r="AG809" i="15" s="1"/>
  <c r="K90" i="14"/>
  <c r="J90" i="14"/>
  <c r="AF654" i="15"/>
  <c r="AG654" i="15" s="1"/>
  <c r="AF653" i="15"/>
  <c r="AG653" i="15" s="1"/>
  <c r="AF596" i="15"/>
  <c r="AG596" i="15" s="1"/>
  <c r="AF597" i="15"/>
  <c r="AG597" i="15" s="1"/>
  <c r="AF595" i="15"/>
  <c r="AG595" i="15" s="1"/>
  <c r="AF599" i="15"/>
  <c r="AG599" i="15" s="1"/>
  <c r="AF593" i="15"/>
  <c r="AG593" i="15" s="1"/>
  <c r="AF594" i="15"/>
  <c r="AG594" i="15" s="1"/>
  <c r="AF598" i="15"/>
  <c r="AG598" i="15" s="1"/>
  <c r="K83" i="14"/>
  <c r="J83" i="14"/>
  <c r="J76" i="14"/>
  <c r="K76" i="14"/>
  <c r="AF545" i="15"/>
  <c r="AG545" i="15" s="1"/>
  <c r="AF539" i="15"/>
  <c r="AG539" i="15" s="1"/>
  <c r="AF538" i="15"/>
  <c r="AG538" i="15" s="1"/>
  <c r="AF540" i="15"/>
  <c r="AG540" i="15" s="1"/>
  <c r="AF543" i="15"/>
  <c r="AG543" i="15" s="1"/>
  <c r="AF546" i="15"/>
  <c r="AG546" i="15" s="1"/>
  <c r="AF547" i="15"/>
  <c r="AG547" i="15" s="1"/>
  <c r="AF542" i="15"/>
  <c r="AG542" i="15" s="1"/>
  <c r="AF541" i="15"/>
  <c r="AG541" i="15" s="1"/>
  <c r="AF544" i="15"/>
  <c r="AG544" i="15" s="1"/>
  <c r="AF487" i="15"/>
  <c r="AF489" i="15"/>
  <c r="AF490" i="15"/>
  <c r="AF497" i="15"/>
  <c r="AF488" i="15"/>
  <c r="AF486" i="15"/>
  <c r="AF494" i="15"/>
  <c r="AF495" i="15"/>
  <c r="AG495" i="15" s="1"/>
  <c r="AF493" i="15"/>
  <c r="AG493" i="15" s="1"/>
  <c r="AF492" i="15"/>
  <c r="AF496" i="15"/>
  <c r="AG496" i="15" s="1"/>
  <c r="AF498" i="15"/>
  <c r="AF491" i="15"/>
  <c r="D184" i="15"/>
  <c r="L97" i="14" l="1"/>
  <c r="I98" i="14"/>
  <c r="AE711" i="15"/>
  <c r="AE707" i="15"/>
  <c r="AE714" i="15"/>
  <c r="AE709" i="15"/>
  <c r="AE712" i="15"/>
  <c r="AE708" i="15"/>
  <c r="AE710" i="15"/>
  <c r="AE706" i="15"/>
  <c r="AE713" i="15"/>
  <c r="L104" i="14"/>
  <c r="I105" i="14"/>
  <c r="L111" i="14"/>
  <c r="I112" i="14"/>
  <c r="AE764" i="15"/>
  <c r="AE761" i="15"/>
  <c r="AE760" i="15"/>
  <c r="AE767" i="15"/>
  <c r="AE763" i="15"/>
  <c r="AE762" i="15"/>
  <c r="AE766" i="15"/>
  <c r="AE765" i="15"/>
  <c r="AE759" i="15"/>
  <c r="AE815" i="15"/>
  <c r="AE812" i="15"/>
  <c r="AE813" i="15"/>
  <c r="AE816" i="15"/>
  <c r="AE811" i="15"/>
  <c r="AE818" i="15"/>
  <c r="AE814" i="15"/>
  <c r="AE817" i="15"/>
  <c r="AE819" i="15"/>
  <c r="AE820" i="15"/>
  <c r="L118" i="14"/>
  <c r="I119" i="14"/>
  <c r="G196" i="15"/>
  <c r="AE655" i="15"/>
  <c r="AE661" i="15"/>
  <c r="AE658" i="15"/>
  <c r="AE660" i="15"/>
  <c r="AE656" i="15"/>
  <c r="AE657" i="15"/>
  <c r="AE659" i="15"/>
  <c r="L90" i="14"/>
  <c r="I91" i="14"/>
  <c r="AE600" i="15"/>
  <c r="AE607" i="15"/>
  <c r="AE605" i="15"/>
  <c r="AE604" i="15"/>
  <c r="AE609" i="15"/>
  <c r="AE608" i="15"/>
  <c r="AE606" i="15"/>
  <c r="AE603" i="15"/>
  <c r="AE602" i="15"/>
  <c r="AE601" i="15"/>
  <c r="L83" i="14"/>
  <c r="I84" i="14"/>
  <c r="L76" i="14"/>
  <c r="AE550" i="15"/>
  <c r="AE548" i="15"/>
  <c r="AE555" i="15"/>
  <c r="AE554" i="15"/>
  <c r="AE556" i="15"/>
  <c r="AE559" i="15"/>
  <c r="AE558" i="15"/>
  <c r="AE552" i="15"/>
  <c r="AE557" i="15"/>
  <c r="AE549" i="15"/>
  <c r="AE560" i="15"/>
  <c r="AE551" i="15"/>
  <c r="AE553" i="15"/>
  <c r="AG487" i="15"/>
  <c r="AG489" i="15"/>
  <c r="AG490" i="15"/>
  <c r="AG497" i="15"/>
  <c r="AG488" i="15"/>
  <c r="AG486" i="15"/>
  <c r="AG494" i="15"/>
  <c r="AG492" i="15"/>
  <c r="AG498" i="15"/>
  <c r="AG491" i="15"/>
  <c r="J98" i="14" l="1"/>
  <c r="K98" i="14"/>
  <c r="AF712" i="15"/>
  <c r="AG712" i="15" s="1"/>
  <c r="AF714" i="15"/>
  <c r="AG714" i="15" s="1"/>
  <c r="AF713" i="15"/>
  <c r="AG713" i="15" s="1"/>
  <c r="AF706" i="15"/>
  <c r="AG706" i="15" s="1"/>
  <c r="AF707" i="15"/>
  <c r="AG707" i="15" s="1"/>
  <c r="AF708" i="15"/>
  <c r="AG708" i="15" s="1"/>
  <c r="AF709" i="15"/>
  <c r="AG709" i="15" s="1"/>
  <c r="AF710" i="15"/>
  <c r="AG710" i="15" s="1"/>
  <c r="AF711" i="15"/>
  <c r="AG711" i="15" s="1"/>
  <c r="K105" i="14"/>
  <c r="J105" i="14"/>
  <c r="AF762" i="15"/>
  <c r="AG762" i="15" s="1"/>
  <c r="AF760" i="15"/>
  <c r="AG760" i="15" s="1"/>
  <c r="AF766" i="15"/>
  <c r="AG766" i="15" s="1"/>
  <c r="AF761" i="15"/>
  <c r="AG761" i="15" s="1"/>
  <c r="AF763" i="15"/>
  <c r="AG763" i="15" s="1"/>
  <c r="AF767" i="15"/>
  <c r="AG767" i="15" s="1"/>
  <c r="AF764" i="15"/>
  <c r="AG764" i="15" s="1"/>
  <c r="AF759" i="15"/>
  <c r="AG759" i="15" s="1"/>
  <c r="AF765" i="15"/>
  <c r="AG765" i="15" s="1"/>
  <c r="J112" i="14"/>
  <c r="K112" i="14"/>
  <c r="AF818" i="15"/>
  <c r="AG818" i="15" s="1"/>
  <c r="AF816" i="15"/>
  <c r="AG816" i="15" s="1"/>
  <c r="AF817" i="15"/>
  <c r="AG817" i="15" s="1"/>
  <c r="AF811" i="15"/>
  <c r="AG811" i="15" s="1"/>
  <c r="AF812" i="15"/>
  <c r="AG812" i="15" s="1"/>
  <c r="AF815" i="15"/>
  <c r="AG815" i="15" s="1"/>
  <c r="AF819" i="15"/>
  <c r="AG819" i="15" s="1"/>
  <c r="AF813" i="15"/>
  <c r="AG813" i="15" s="1"/>
  <c r="AF820" i="15"/>
  <c r="AG820" i="15" s="1"/>
  <c r="AF814" i="15"/>
  <c r="AG814" i="15" s="1"/>
  <c r="K119" i="14"/>
  <c r="J119" i="14"/>
  <c r="AF656" i="15"/>
  <c r="AG656" i="15" s="1"/>
  <c r="AF659" i="15"/>
  <c r="AG659" i="15" s="1"/>
  <c r="AF657" i="15"/>
  <c r="AG657" i="15" s="1"/>
  <c r="AF661" i="15"/>
  <c r="AG661" i="15" s="1"/>
  <c r="AF655" i="15"/>
  <c r="AG655" i="15" s="1"/>
  <c r="AF660" i="15"/>
  <c r="AG660" i="15" s="1"/>
  <c r="AF658" i="15"/>
  <c r="AG658" i="15" s="1"/>
  <c r="J91" i="14"/>
  <c r="K91" i="14"/>
  <c r="AF600" i="15"/>
  <c r="AG600" i="15" s="1"/>
  <c r="AF608" i="15"/>
  <c r="AG608" i="15" s="1"/>
  <c r="AF607" i="15"/>
  <c r="AG607" i="15" s="1"/>
  <c r="AF609" i="15"/>
  <c r="AG609" i="15" s="1"/>
  <c r="AF606" i="15"/>
  <c r="AG606" i="15" s="1"/>
  <c r="AF605" i="15"/>
  <c r="AG605" i="15" s="1"/>
  <c r="AF604" i="15"/>
  <c r="AG604" i="15" s="1"/>
  <c r="AF603" i="15"/>
  <c r="AG603" i="15" s="1"/>
  <c r="AF602" i="15"/>
  <c r="AG602" i="15" s="1"/>
  <c r="AF601" i="15"/>
  <c r="AG601" i="15" s="1"/>
  <c r="K84" i="14"/>
  <c r="J84" i="14"/>
  <c r="L84" i="14" s="1"/>
  <c r="AF553" i="15"/>
  <c r="AG553" i="15" s="1"/>
  <c r="AF554" i="15"/>
  <c r="AF549" i="15"/>
  <c r="AF559" i="15"/>
  <c r="AG559" i="15" s="1"/>
  <c r="AF551" i="15"/>
  <c r="AF555" i="15"/>
  <c r="AG555" i="15" s="1"/>
  <c r="AF556" i="15"/>
  <c r="AF552" i="15"/>
  <c r="AF560" i="15"/>
  <c r="AF558" i="15"/>
  <c r="AG558" i="15" s="1"/>
  <c r="AF550" i="15"/>
  <c r="AF548" i="15"/>
  <c r="AG548" i="15" s="1"/>
  <c r="AF557" i="15"/>
  <c r="AG557" i="15" s="1"/>
  <c r="D185" i="15"/>
  <c r="L98" i="14" l="1"/>
  <c r="I99" i="14"/>
  <c r="AE716" i="15"/>
  <c r="AE715" i="15"/>
  <c r="I106" i="14"/>
  <c r="L105" i="14"/>
  <c r="L112" i="14"/>
  <c r="I113" i="14"/>
  <c r="AE775" i="15"/>
  <c r="AE768" i="15"/>
  <c r="AE772" i="15"/>
  <c r="AE769" i="15"/>
  <c r="AE773" i="15"/>
  <c r="AE774" i="15"/>
  <c r="AE770" i="15"/>
  <c r="AE776" i="15"/>
  <c r="AE771" i="15"/>
  <c r="G197" i="15"/>
  <c r="AE826" i="15"/>
  <c r="AE825" i="15"/>
  <c r="AE821" i="15"/>
  <c r="AE824" i="15"/>
  <c r="AE828" i="15"/>
  <c r="AE829" i="15"/>
  <c r="AE822" i="15"/>
  <c r="AE827" i="15"/>
  <c r="AE823" i="15"/>
  <c r="I120" i="14"/>
  <c r="L119" i="14"/>
  <c r="L91" i="14"/>
  <c r="I92" i="14"/>
  <c r="AE663" i="15"/>
  <c r="AE664" i="15"/>
  <c r="AE670" i="15"/>
  <c r="AE666" i="15"/>
  <c r="AE669" i="15"/>
  <c r="AE671" i="15"/>
  <c r="AE662" i="15"/>
  <c r="AE668" i="15"/>
  <c r="AE667" i="15"/>
  <c r="AE665" i="15"/>
  <c r="AE615" i="15"/>
  <c r="AE616" i="15"/>
  <c r="AE620" i="15"/>
  <c r="AE619" i="15"/>
  <c r="AE610" i="15"/>
  <c r="AE617" i="15"/>
  <c r="AE612" i="15"/>
  <c r="AE611" i="15"/>
  <c r="AE613" i="15"/>
  <c r="AE621" i="15"/>
  <c r="AE622" i="15"/>
  <c r="AE614" i="15"/>
  <c r="AE618" i="15"/>
  <c r="AF613" i="15"/>
  <c r="AF620" i="15"/>
  <c r="AF615" i="15"/>
  <c r="AF616" i="15"/>
  <c r="AF618" i="15"/>
  <c r="AF617" i="15"/>
  <c r="AF610" i="15"/>
  <c r="AF612" i="15"/>
  <c r="AF622" i="15"/>
  <c r="AF619" i="15"/>
  <c r="AF611" i="15"/>
  <c r="AF614" i="15"/>
  <c r="AF621" i="15"/>
  <c r="AG554" i="15"/>
  <c r="AG549" i="15"/>
  <c r="AG551" i="15"/>
  <c r="AG556" i="15"/>
  <c r="AG552" i="15"/>
  <c r="AG560" i="15"/>
  <c r="AG550" i="15"/>
  <c r="AG613" i="15" l="1"/>
  <c r="AG618" i="15"/>
  <c r="AG622" i="15"/>
  <c r="AG611" i="15"/>
  <c r="AG621" i="15"/>
  <c r="J99" i="14"/>
  <c r="K99" i="14"/>
  <c r="K106" i="14"/>
  <c r="J106" i="14"/>
  <c r="AF715" i="15"/>
  <c r="AG715" i="15" s="1"/>
  <c r="AF716" i="15"/>
  <c r="AG716" i="15" s="1"/>
  <c r="AF772" i="15"/>
  <c r="AG772" i="15" s="1"/>
  <c r="AF773" i="15"/>
  <c r="AG773" i="15" s="1"/>
  <c r="AF768" i="15"/>
  <c r="AG768" i="15" s="1"/>
  <c r="AF774" i="15"/>
  <c r="AG774" i="15" s="1"/>
  <c r="AF776" i="15"/>
  <c r="AG776" i="15" s="1"/>
  <c r="AF775" i="15"/>
  <c r="AG775" i="15" s="1"/>
  <c r="AF770" i="15"/>
  <c r="AG770" i="15" s="1"/>
  <c r="AF769" i="15"/>
  <c r="AG769" i="15" s="1"/>
  <c r="AF771" i="15"/>
  <c r="AG771" i="15" s="1"/>
  <c r="K113" i="14"/>
  <c r="J113" i="14"/>
  <c r="K120" i="14"/>
  <c r="J120" i="14"/>
  <c r="AF824" i="15"/>
  <c r="AG824" i="15" s="1"/>
  <c r="AF827" i="15"/>
  <c r="AG827" i="15" s="1"/>
  <c r="AF822" i="15"/>
  <c r="AG822" i="15" s="1"/>
  <c r="AF829" i="15"/>
  <c r="AG829" i="15" s="1"/>
  <c r="AF828" i="15"/>
  <c r="AG828" i="15" s="1"/>
  <c r="AF821" i="15"/>
  <c r="AG821" i="15" s="1"/>
  <c r="AF826" i="15"/>
  <c r="AG826" i="15" s="1"/>
  <c r="AF825" i="15"/>
  <c r="AG825" i="15" s="1"/>
  <c r="AF823" i="15"/>
  <c r="AG823" i="15" s="1"/>
  <c r="AF665" i="15"/>
  <c r="AG665" i="15" s="1"/>
  <c r="AF666" i="15"/>
  <c r="AG666" i="15" s="1"/>
  <c r="AF664" i="15"/>
  <c r="AG664" i="15" s="1"/>
  <c r="AF667" i="15"/>
  <c r="AG667" i="15" s="1"/>
  <c r="AF668" i="15"/>
  <c r="AG668" i="15" s="1"/>
  <c r="AF671" i="15"/>
  <c r="AG671" i="15" s="1"/>
  <c r="AF669" i="15"/>
  <c r="AG669" i="15" s="1"/>
  <c r="AF662" i="15"/>
  <c r="AG662" i="15" s="1"/>
  <c r="AF670" i="15"/>
  <c r="AG670" i="15" s="1"/>
  <c r="AF663" i="15"/>
  <c r="AG663" i="15" s="1"/>
  <c r="K92" i="14"/>
  <c r="J92" i="14"/>
  <c r="L92" i="14" s="1"/>
  <c r="AG620" i="15"/>
  <c r="AG615" i="15"/>
  <c r="AG616" i="15"/>
  <c r="AG617" i="15"/>
  <c r="AG610" i="15"/>
  <c r="AG612" i="15"/>
  <c r="AG619" i="15"/>
  <c r="AG614" i="15"/>
  <c r="L99" i="14" l="1"/>
  <c r="I100" i="14"/>
  <c r="AE717" i="15"/>
  <c r="AE722" i="15"/>
  <c r="AE721" i="15"/>
  <c r="AE723" i="15"/>
  <c r="AE720" i="15"/>
  <c r="AE718" i="15"/>
  <c r="AE719" i="15"/>
  <c r="L106" i="14"/>
  <c r="I107" i="14"/>
  <c r="AE777" i="15"/>
  <c r="AE778" i="15"/>
  <c r="L113" i="14"/>
  <c r="I114" i="14"/>
  <c r="AE837" i="15"/>
  <c r="AE838" i="15"/>
  <c r="AE830" i="15"/>
  <c r="AE834" i="15"/>
  <c r="AE831" i="15"/>
  <c r="AE832" i="15"/>
  <c r="AE833" i="15"/>
  <c r="AE836" i="15"/>
  <c r="AE835" i="15"/>
  <c r="L120" i="14"/>
  <c r="I121" i="14"/>
  <c r="G198" i="15"/>
  <c r="AE680" i="15"/>
  <c r="AE673" i="15"/>
  <c r="AE672" i="15"/>
  <c r="AE684" i="15"/>
  <c r="AE683" i="15"/>
  <c r="AE679" i="15"/>
  <c r="AE676" i="15"/>
  <c r="AE681" i="15"/>
  <c r="AE678" i="15"/>
  <c r="AE677" i="15"/>
  <c r="AE675" i="15"/>
  <c r="AE674" i="15"/>
  <c r="AE682" i="15"/>
  <c r="AF680" i="15"/>
  <c r="AF672" i="15"/>
  <c r="AF682" i="15"/>
  <c r="AF681" i="15"/>
  <c r="AF678" i="15"/>
  <c r="AF675" i="15"/>
  <c r="AF673" i="15"/>
  <c r="AF677" i="15"/>
  <c r="AF679" i="15"/>
  <c r="AF683" i="15"/>
  <c r="AF674" i="15"/>
  <c r="AF684" i="15"/>
  <c r="AF676" i="15"/>
  <c r="AG682" i="15" l="1"/>
  <c r="AG681" i="15"/>
  <c r="AG678" i="15"/>
  <c r="AG675" i="15"/>
  <c r="AG677" i="15"/>
  <c r="AG679" i="15"/>
  <c r="AG683" i="15"/>
  <c r="AG676" i="15"/>
  <c r="J100" i="14"/>
  <c r="L100" i="14" s="1"/>
  <c r="K100" i="14"/>
  <c r="AF721" i="15"/>
  <c r="AG721" i="15" s="1"/>
  <c r="AF720" i="15"/>
  <c r="AG720" i="15" s="1"/>
  <c r="AF719" i="15"/>
  <c r="AG719" i="15" s="1"/>
  <c r="AF723" i="15"/>
  <c r="AG723" i="15" s="1"/>
  <c r="AF717" i="15"/>
  <c r="AG717" i="15" s="1"/>
  <c r="AF718" i="15"/>
  <c r="AG718" i="15" s="1"/>
  <c r="AF722" i="15"/>
  <c r="AG722" i="15" s="1"/>
  <c r="K107" i="14"/>
  <c r="J107" i="14"/>
  <c r="AF777" i="15"/>
  <c r="AG777" i="15" s="1"/>
  <c r="AF778" i="15"/>
  <c r="AG778" i="15" s="1"/>
  <c r="K114" i="14"/>
  <c r="J114" i="14"/>
  <c r="AF834" i="15"/>
  <c r="AG834" i="15" s="1"/>
  <c r="AF837" i="15"/>
  <c r="AG837" i="15" s="1"/>
  <c r="AF830" i="15"/>
  <c r="AG830" i="15" s="1"/>
  <c r="AF836" i="15"/>
  <c r="AG836" i="15" s="1"/>
  <c r="AF838" i="15"/>
  <c r="AG838" i="15" s="1"/>
  <c r="AF833" i="15"/>
  <c r="AG833" i="15" s="1"/>
  <c r="AF835" i="15"/>
  <c r="AG835" i="15" s="1"/>
  <c r="AF831" i="15"/>
  <c r="AG831" i="15" s="1"/>
  <c r="AF832" i="15"/>
  <c r="AG832" i="15" s="1"/>
  <c r="K121" i="14"/>
  <c r="J121" i="14"/>
  <c r="AG680" i="15"/>
  <c r="AG672" i="15"/>
  <c r="AG673" i="15"/>
  <c r="AG674" i="15"/>
  <c r="AG684" i="15"/>
  <c r="AE731" i="15" l="1"/>
  <c r="AE729" i="15"/>
  <c r="AE728" i="15"/>
  <c r="AE732" i="15"/>
  <c r="AE724" i="15"/>
  <c r="AE725" i="15"/>
  <c r="AE730" i="15"/>
  <c r="AE726" i="15"/>
  <c r="AE727" i="15"/>
  <c r="AE733" i="15"/>
  <c r="L107" i="14"/>
  <c r="I108" i="14"/>
  <c r="AE781" i="15"/>
  <c r="AE780" i="15"/>
  <c r="AE783" i="15"/>
  <c r="AE779" i="15"/>
  <c r="AE785" i="15"/>
  <c r="AE782" i="15"/>
  <c r="AE784" i="15"/>
  <c r="L114" i="14"/>
  <c r="I115" i="14"/>
  <c r="AE840" i="15"/>
  <c r="AE839" i="15"/>
  <c r="L121" i="14"/>
  <c r="I122" i="14"/>
  <c r="AF731" i="15" l="1"/>
  <c r="AG731" i="15" s="1"/>
  <c r="AF729" i="15"/>
  <c r="AG729" i="15" s="1"/>
  <c r="AF732" i="15"/>
  <c r="AG732" i="15" s="1"/>
  <c r="AF727" i="15"/>
  <c r="AG727" i="15" s="1"/>
  <c r="AF724" i="15"/>
  <c r="AG724" i="15" s="1"/>
  <c r="AF730" i="15"/>
  <c r="AG730" i="15" s="1"/>
  <c r="AF725" i="15"/>
  <c r="AG725" i="15" s="1"/>
  <c r="AF733" i="15"/>
  <c r="AG733" i="15" s="1"/>
  <c r="AF726" i="15"/>
  <c r="AG726" i="15" s="1"/>
  <c r="AF728" i="15"/>
  <c r="AG728" i="15" s="1"/>
  <c r="K108" i="14"/>
  <c r="J108" i="14"/>
  <c r="L108" i="14" s="1"/>
  <c r="AF780" i="15"/>
  <c r="AG780" i="15" s="1"/>
  <c r="AF784" i="15"/>
  <c r="AG784" i="15" s="1"/>
  <c r="AF781" i="15"/>
  <c r="AG781" i="15" s="1"/>
  <c r="AF779" i="15"/>
  <c r="AG779" i="15" s="1"/>
  <c r="AF782" i="15"/>
  <c r="AG782" i="15" s="1"/>
  <c r="AF783" i="15"/>
  <c r="AG783" i="15" s="1"/>
  <c r="AF785" i="15"/>
  <c r="AG785" i="15" s="1"/>
  <c r="K115" i="14"/>
  <c r="J115" i="14"/>
  <c r="AF839" i="15"/>
  <c r="AG839" i="15" s="1"/>
  <c r="AF840" i="15"/>
  <c r="AG840" i="15" s="1"/>
  <c r="K122" i="14"/>
  <c r="J122" i="14"/>
  <c r="AE734" i="15" l="1"/>
  <c r="AE743" i="15"/>
  <c r="AE745" i="15"/>
  <c r="AE740" i="15"/>
  <c r="AE739" i="15"/>
  <c r="AE742" i="15"/>
  <c r="AE746" i="15"/>
  <c r="AE738" i="15"/>
  <c r="AE737" i="15"/>
  <c r="AE735" i="15"/>
  <c r="AE741" i="15"/>
  <c r="AE744" i="15"/>
  <c r="AE736" i="15"/>
  <c r="AF744" i="15"/>
  <c r="AF738" i="15"/>
  <c r="AF745" i="15"/>
  <c r="AF737" i="15"/>
  <c r="AF740" i="15"/>
  <c r="AF741" i="15"/>
  <c r="AF746" i="15"/>
  <c r="AF734" i="15"/>
  <c r="AF735" i="15"/>
  <c r="AF739" i="15"/>
  <c r="AF742" i="15"/>
  <c r="AF743" i="15"/>
  <c r="AF736" i="15"/>
  <c r="AE795" i="15"/>
  <c r="AE786" i="15"/>
  <c r="AE792" i="15"/>
  <c r="AE791" i="15"/>
  <c r="AE787" i="15"/>
  <c r="AE788" i="15"/>
  <c r="AE793" i="15"/>
  <c r="AE789" i="15"/>
  <c r="AE794" i="15"/>
  <c r="AE790" i="15"/>
  <c r="L115" i="14"/>
  <c r="I116" i="14"/>
  <c r="AE844" i="15"/>
  <c r="AE847" i="15"/>
  <c r="AE845" i="15"/>
  <c r="AE841" i="15"/>
  <c r="AE843" i="15"/>
  <c r="AE842" i="15"/>
  <c r="AE846" i="15"/>
  <c r="L122" i="14"/>
  <c r="I123" i="14"/>
  <c r="AG736" i="15" l="1"/>
  <c r="AG741" i="15"/>
  <c r="AG744" i="15"/>
  <c r="AG740" i="15"/>
  <c r="AG734" i="15"/>
  <c r="AG735" i="15"/>
  <c r="AF794" i="15"/>
  <c r="AG794" i="15" s="1"/>
  <c r="AF792" i="15"/>
  <c r="AG792" i="15" s="1"/>
  <c r="AF795" i="15"/>
  <c r="AG795" i="15" s="1"/>
  <c r="AF786" i="15"/>
  <c r="AG786" i="15" s="1"/>
  <c r="AF788" i="15"/>
  <c r="AG788" i="15" s="1"/>
  <c r="AF787" i="15"/>
  <c r="AG787" i="15" s="1"/>
  <c r="AF790" i="15"/>
  <c r="AG790" i="15" s="1"/>
  <c r="AF793" i="15"/>
  <c r="AG793" i="15" s="1"/>
  <c r="AF789" i="15"/>
  <c r="AG789" i="15" s="1"/>
  <c r="AF791" i="15"/>
  <c r="AG791" i="15" s="1"/>
  <c r="K116" i="14"/>
  <c r="J116" i="14"/>
  <c r="L116" i="14" s="1"/>
  <c r="AF846" i="15"/>
  <c r="AG846" i="15" s="1"/>
  <c r="AF843" i="15"/>
  <c r="AG843" i="15" s="1"/>
  <c r="AF847" i="15"/>
  <c r="AG847" i="15" s="1"/>
  <c r="AF841" i="15"/>
  <c r="AG841" i="15" s="1"/>
  <c r="AF845" i="15"/>
  <c r="AG845" i="15" s="1"/>
  <c r="AF844" i="15"/>
  <c r="AG844" i="15" s="1"/>
  <c r="AF842" i="15"/>
  <c r="AG842" i="15" s="1"/>
  <c r="K123" i="14"/>
  <c r="J123" i="14"/>
  <c r="AG738" i="15"/>
  <c r="AG745" i="15"/>
  <c r="AG737" i="15"/>
  <c r="AG746" i="15"/>
  <c r="AG739" i="15"/>
  <c r="AG742" i="15"/>
  <c r="AG743" i="15"/>
  <c r="AE808" i="15" l="1"/>
  <c r="AE805" i="15"/>
  <c r="AE802" i="15"/>
  <c r="AE797" i="15"/>
  <c r="AE807" i="15"/>
  <c r="AE798" i="15"/>
  <c r="AE796" i="15"/>
  <c r="AE806" i="15"/>
  <c r="AE799" i="15"/>
  <c r="AE803" i="15"/>
  <c r="AE800" i="15"/>
  <c r="AE801" i="15"/>
  <c r="AE804" i="15"/>
  <c r="AF797" i="15"/>
  <c r="AF799" i="15"/>
  <c r="AF802" i="15"/>
  <c r="AF798" i="15"/>
  <c r="AF805" i="15"/>
  <c r="AF806" i="15"/>
  <c r="AF800" i="15"/>
  <c r="AF796" i="15"/>
  <c r="AF803" i="15"/>
  <c r="AF807" i="15"/>
  <c r="AF808" i="15"/>
  <c r="AF801" i="15"/>
  <c r="AF804" i="15"/>
  <c r="AE851" i="15"/>
  <c r="AE848" i="15"/>
  <c r="AE850" i="15"/>
  <c r="AE855" i="15"/>
  <c r="AE854" i="15"/>
  <c r="AE853" i="15"/>
  <c r="AE856" i="15"/>
  <c r="AE857" i="15"/>
  <c r="AE849" i="15"/>
  <c r="AE852" i="15"/>
  <c r="L123" i="14"/>
  <c r="I124" i="14"/>
  <c r="AG802" i="15" l="1"/>
  <c r="AG797" i="15"/>
  <c r="AG799" i="15"/>
  <c r="AF851" i="15"/>
  <c r="AG851" i="15" s="1"/>
  <c r="AF852" i="15"/>
  <c r="AG852" i="15" s="1"/>
  <c r="AF857" i="15"/>
  <c r="AG857" i="15" s="1"/>
  <c r="AF854" i="15"/>
  <c r="AG854" i="15" s="1"/>
  <c r="AF849" i="15"/>
  <c r="AG849" i="15" s="1"/>
  <c r="AF856" i="15"/>
  <c r="AG856" i="15" s="1"/>
  <c r="AF848" i="15"/>
  <c r="AG848" i="15" s="1"/>
  <c r="AF855" i="15"/>
  <c r="AG855" i="15" s="1"/>
  <c r="AF850" i="15"/>
  <c r="AG850" i="15" s="1"/>
  <c r="AF853" i="15"/>
  <c r="AG853" i="15" s="1"/>
  <c r="J124" i="14"/>
  <c r="K124" i="14"/>
  <c r="AG798" i="15"/>
  <c r="AG805" i="15"/>
  <c r="AG806" i="15"/>
  <c r="AG800" i="15"/>
  <c r="AG796" i="15"/>
  <c r="AG803" i="15"/>
  <c r="AG807" i="15"/>
  <c r="AG801" i="15"/>
  <c r="AG808" i="15"/>
  <c r="AG804" i="15"/>
  <c r="G3" i="14" l="1"/>
  <c r="L124" i="14"/>
  <c r="AE868" i="15"/>
  <c r="AE861" i="15"/>
  <c r="AE863" i="15"/>
  <c r="AE867" i="15"/>
  <c r="AE862" i="15"/>
  <c r="AE869" i="15"/>
  <c r="AE864" i="15"/>
  <c r="AE858" i="15"/>
  <c r="AE870" i="15"/>
  <c r="AE866" i="15"/>
  <c r="AE859" i="15"/>
  <c r="AE865" i="15"/>
  <c r="AE860" i="15"/>
  <c r="C3" i="14" l="1"/>
  <c r="E3" i="14" s="1"/>
  <c r="AF858" i="15"/>
  <c r="AF861" i="15"/>
  <c r="L49" i="15" s="1"/>
  <c r="AF863" i="15"/>
  <c r="AF867" i="15"/>
  <c r="AG867" i="15" s="1"/>
  <c r="AF859" i="15"/>
  <c r="AF864" i="15"/>
  <c r="AF860" i="15"/>
  <c r="AF868" i="15"/>
  <c r="AF865" i="15"/>
  <c r="AF869" i="15"/>
  <c r="AF862" i="15"/>
  <c r="AF866" i="15"/>
  <c r="AF870" i="15"/>
  <c r="N30" i="15"/>
  <c r="N34" i="15"/>
  <c r="N33" i="15"/>
  <c r="N25" i="15"/>
  <c r="N24" i="15"/>
  <c r="N26" i="15"/>
  <c r="N29" i="15"/>
  <c r="N28" i="15"/>
  <c r="N27" i="15"/>
  <c r="N32" i="15"/>
  <c r="N31" i="15"/>
  <c r="L31" i="15"/>
  <c r="L24" i="15"/>
  <c r="L32" i="15"/>
  <c r="L30" i="15"/>
  <c r="L36" i="15"/>
  <c r="L35" i="15"/>
  <c r="L34" i="15"/>
  <c r="L39" i="15"/>
  <c r="L40" i="15"/>
  <c r="L42" i="15"/>
  <c r="L33" i="15"/>
  <c r="L29" i="15"/>
  <c r="L25" i="15"/>
  <c r="L28" i="15"/>
  <c r="Q25" i="15"/>
  <c r="Q29" i="15"/>
  <c r="Q31" i="15"/>
  <c r="Q28" i="15"/>
  <c r="Q34" i="15"/>
  <c r="Q35" i="15"/>
  <c r="Q33" i="15"/>
  <c r="Q27" i="15"/>
  <c r="H35" i="15"/>
  <c r="H25" i="15"/>
  <c r="H26" i="15"/>
  <c r="H33" i="15"/>
  <c r="H45" i="15"/>
  <c r="H40" i="15"/>
  <c r="H41" i="15"/>
  <c r="H31" i="15"/>
  <c r="H32" i="15"/>
  <c r="H47" i="15"/>
  <c r="H48" i="15"/>
  <c r="H34" i="15"/>
  <c r="M49" i="15"/>
  <c r="M41" i="15"/>
  <c r="M38" i="15"/>
  <c r="M25" i="15"/>
  <c r="M32" i="15"/>
  <c r="M29" i="15"/>
  <c r="M24" i="15"/>
  <c r="M28" i="15"/>
  <c r="M27" i="15"/>
  <c r="M30" i="15"/>
  <c r="M35" i="15"/>
  <c r="I33" i="15"/>
  <c r="I29" i="15"/>
  <c r="I35" i="15"/>
  <c r="L27" i="15"/>
  <c r="P32" i="15"/>
  <c r="P28" i="15"/>
  <c r="P29" i="15"/>
  <c r="P33" i="15"/>
  <c r="P27" i="15"/>
  <c r="P30" i="15"/>
  <c r="P34" i="15"/>
  <c r="P35" i="15"/>
  <c r="P24" i="15"/>
  <c r="P25" i="15"/>
  <c r="P31" i="15"/>
  <c r="P26" i="15"/>
  <c r="J28" i="15"/>
  <c r="J37" i="15"/>
  <c r="J29" i="15"/>
  <c r="J47" i="15"/>
  <c r="J84" i="15"/>
  <c r="J34" i="15"/>
  <c r="J32" i="15"/>
  <c r="J38" i="15"/>
  <c r="J31" i="15"/>
  <c r="J40" i="15"/>
  <c r="J43" i="15"/>
  <c r="J26" i="15"/>
  <c r="J33" i="15"/>
  <c r="J24" i="15"/>
  <c r="J25" i="15"/>
  <c r="J48" i="15"/>
  <c r="J27" i="15"/>
  <c r="J49" i="15"/>
  <c r="J30" i="15"/>
  <c r="S28" i="15"/>
  <c r="U28" i="15" s="1"/>
  <c r="Q24" i="15"/>
  <c r="H30" i="15"/>
  <c r="I24" i="15"/>
  <c r="I26" i="15"/>
  <c r="I28" i="15"/>
  <c r="I30" i="15"/>
  <c r="I32" i="15"/>
  <c r="D34" i="15"/>
  <c r="S31" i="15"/>
  <c r="U31" i="15" s="1"/>
  <c r="S32" i="15"/>
  <c r="U32" i="15" s="1"/>
  <c r="D28" i="15"/>
  <c r="S34" i="15"/>
  <c r="U34" i="15" s="1"/>
  <c r="S30" i="15"/>
  <c r="U30" i="15" s="1"/>
  <c r="S29" i="15"/>
  <c r="U29" i="15" s="1"/>
  <c r="S33" i="15"/>
  <c r="U33" i="15" s="1"/>
  <c r="D29" i="15"/>
  <c r="S25" i="15"/>
  <c r="U25" i="15" s="1"/>
  <c r="D30" i="15"/>
  <c r="D26" i="15"/>
  <c r="D31" i="15"/>
  <c r="D32" i="15"/>
  <c r="D33" i="15"/>
  <c r="M31" i="15"/>
  <c r="M33" i="15"/>
  <c r="I27" i="15"/>
  <c r="I31" i="15"/>
  <c r="I34" i="15"/>
  <c r="I25" i="15"/>
  <c r="S27" i="15"/>
  <c r="U27" i="15" s="1"/>
  <c r="S26" i="15"/>
  <c r="U26" i="15" s="1"/>
  <c r="S24" i="15"/>
  <c r="U24" i="15" s="1"/>
  <c r="D25" i="15"/>
  <c r="D24" i="15"/>
  <c r="D27" i="15"/>
  <c r="K26" i="15"/>
  <c r="K27" i="15"/>
  <c r="K31" i="15"/>
  <c r="K35" i="15"/>
  <c r="K29" i="15"/>
  <c r="K33" i="15"/>
  <c r="K30" i="15"/>
  <c r="K25" i="15"/>
  <c r="L26" i="15"/>
  <c r="Q30" i="15"/>
  <c r="K34" i="15"/>
  <c r="K28" i="15"/>
  <c r="K32" i="15"/>
  <c r="K24" i="15"/>
  <c r="Q32" i="15"/>
  <c r="Q26" i="15"/>
  <c r="H24" i="15"/>
  <c r="H28" i="15"/>
  <c r="H27" i="15"/>
  <c r="H29" i="15"/>
  <c r="M26" i="15"/>
  <c r="M34" i="15"/>
  <c r="O167" i="15"/>
  <c r="O172" i="15"/>
  <c r="O173" i="15"/>
  <c r="O166" i="15"/>
  <c r="O163" i="15"/>
  <c r="O169" i="15"/>
  <c r="O165" i="15"/>
  <c r="O170" i="15"/>
  <c r="O164" i="15"/>
  <c r="O171" i="15"/>
  <c r="O168" i="15"/>
  <c r="O155" i="15"/>
  <c r="O133" i="15"/>
  <c r="O85" i="15"/>
  <c r="O34" i="15"/>
  <c r="O137" i="15"/>
  <c r="O160" i="15"/>
  <c r="O86" i="15"/>
  <c r="O89" i="15"/>
  <c r="O97" i="15"/>
  <c r="O87" i="15"/>
  <c r="O98" i="15"/>
  <c r="O101" i="15"/>
  <c r="O106" i="15"/>
  <c r="O109" i="15"/>
  <c r="O111" i="15"/>
  <c r="O113" i="15"/>
  <c r="O120" i="15"/>
  <c r="O51" i="15"/>
  <c r="O53" i="15"/>
  <c r="O73" i="15"/>
  <c r="O141" i="15"/>
  <c r="O32" i="15"/>
  <c r="O39" i="15"/>
  <c r="O130" i="15"/>
  <c r="O136" i="15"/>
  <c r="O156" i="15"/>
  <c r="O138" i="15"/>
  <c r="O151" i="15"/>
  <c r="O75" i="15"/>
  <c r="O67" i="15"/>
  <c r="O69" i="15"/>
  <c r="O76" i="15"/>
  <c r="O71" i="15"/>
  <c r="O79" i="15"/>
  <c r="O66" i="15"/>
  <c r="O68" i="15"/>
  <c r="O74" i="15"/>
  <c r="O77" i="15"/>
  <c r="O70" i="15"/>
  <c r="O72" i="15"/>
  <c r="O78" i="15"/>
  <c r="O35" i="15"/>
  <c r="O54" i="15"/>
  <c r="O65" i="15"/>
  <c r="O93" i="15"/>
  <c r="O142" i="15"/>
  <c r="O162" i="15"/>
  <c r="O149" i="15"/>
  <c r="O27" i="15"/>
  <c r="O24" i="15"/>
  <c r="O28" i="15"/>
  <c r="O42" i="15"/>
  <c r="O31" i="15"/>
  <c r="O49" i="15"/>
  <c r="O58" i="15"/>
  <c r="O64" i="15"/>
  <c r="O62" i="15"/>
  <c r="O61" i="15"/>
  <c r="O63" i="15"/>
  <c r="O60" i="15"/>
  <c r="O38" i="15"/>
  <c r="O33" i="15"/>
  <c r="O37" i="15"/>
  <c r="O36" i="15"/>
  <c r="O44" i="15"/>
  <c r="O41" i="15"/>
  <c r="O46" i="15"/>
  <c r="O88" i="15"/>
  <c r="O91" i="15"/>
  <c r="O95" i="15"/>
  <c r="O132" i="15"/>
  <c r="O158" i="15"/>
  <c r="O146" i="15"/>
  <c r="O161" i="15"/>
  <c r="O143" i="15"/>
  <c r="O150" i="15"/>
  <c r="O144" i="15"/>
  <c r="O147" i="15"/>
  <c r="O126" i="15"/>
  <c r="O134" i="15"/>
  <c r="O159" i="15"/>
  <c r="O56" i="15"/>
  <c r="O152" i="15"/>
  <c r="O140" i="15"/>
  <c r="O45" i="15"/>
  <c r="O30" i="15"/>
  <c r="O135" i="15"/>
  <c r="O157" i="15"/>
  <c r="O139" i="15"/>
  <c r="O81" i="15"/>
  <c r="O92" i="15"/>
  <c r="O99" i="15"/>
  <c r="O102" i="15"/>
  <c r="O105" i="15"/>
  <c r="O108" i="15"/>
  <c r="O112" i="15"/>
  <c r="O115" i="15"/>
  <c r="O118" i="15"/>
  <c r="O124" i="15"/>
  <c r="O148" i="15"/>
  <c r="O90" i="15"/>
  <c r="O80" i="15"/>
  <c r="O96" i="15"/>
  <c r="O104" i="15"/>
  <c r="O57" i="15"/>
  <c r="O145" i="15"/>
  <c r="O154" i="15"/>
  <c r="O84" i="15"/>
  <c r="O107" i="15"/>
  <c r="O122" i="15"/>
  <c r="O82" i="15"/>
  <c r="O29" i="15"/>
  <c r="O100" i="15"/>
  <c r="O110" i="15"/>
  <c r="O43" i="15"/>
  <c r="O94" i="15"/>
  <c r="O103" i="15"/>
  <c r="O116" i="15"/>
  <c r="O52" i="15"/>
  <c r="O128" i="15"/>
  <c r="O131" i="15"/>
  <c r="O129" i="15"/>
  <c r="O127" i="15"/>
  <c r="O125" i="15"/>
  <c r="O123" i="15"/>
  <c r="O121" i="15"/>
  <c r="O119" i="15"/>
  <c r="O117" i="15"/>
  <c r="O114" i="15"/>
  <c r="O25" i="15"/>
  <c r="O26" i="15"/>
  <c r="O83" i="15"/>
  <c r="O59" i="15"/>
  <c r="O55" i="15"/>
  <c r="O50" i="15"/>
  <c r="O153" i="15"/>
  <c r="O47" i="15"/>
  <c r="O40" i="15"/>
  <c r="O48" i="15"/>
  <c r="AG868" i="15" l="1"/>
  <c r="P118" i="15"/>
  <c r="P121" i="15"/>
  <c r="P153" i="15"/>
  <c r="P160" i="15"/>
  <c r="P161" i="15"/>
  <c r="P164" i="15"/>
  <c r="P167" i="15"/>
  <c r="P158" i="15"/>
  <c r="P126" i="15"/>
  <c r="P144" i="15"/>
  <c r="J41" i="15"/>
  <c r="P96" i="15"/>
  <c r="P39" i="15"/>
  <c r="Q48" i="15"/>
  <c r="Q46" i="15"/>
  <c r="Q49" i="15"/>
  <c r="Q47" i="15"/>
  <c r="Q36" i="15"/>
  <c r="P133" i="15"/>
  <c r="P146" i="15"/>
  <c r="J45" i="15"/>
  <c r="J44" i="15"/>
  <c r="P115" i="15"/>
  <c r="P116" i="15"/>
  <c r="P111" i="15"/>
  <c r="D45" i="15"/>
  <c r="D39" i="15"/>
  <c r="D38" i="15"/>
  <c r="D46" i="15"/>
  <c r="D47" i="15"/>
  <c r="D48" i="15"/>
  <c r="D37" i="15"/>
  <c r="H42" i="15"/>
  <c r="H37" i="15"/>
  <c r="H39" i="15"/>
  <c r="H44" i="15"/>
  <c r="H49" i="15"/>
  <c r="H43" i="15"/>
  <c r="H36" i="15"/>
  <c r="K37" i="15"/>
  <c r="K40" i="15"/>
  <c r="K38" i="15"/>
  <c r="K46" i="15"/>
  <c r="K45" i="15"/>
  <c r="K39" i="15"/>
  <c r="K36" i="15"/>
  <c r="K42" i="15"/>
  <c r="K41" i="15"/>
  <c r="K44" i="15"/>
  <c r="K43" i="15"/>
  <c r="K48" i="15"/>
  <c r="K47" i="15"/>
  <c r="K49" i="15"/>
  <c r="I48" i="15"/>
  <c r="I49" i="15"/>
  <c r="I41" i="15"/>
  <c r="I42" i="15"/>
  <c r="I40" i="15"/>
  <c r="I43" i="15"/>
  <c r="I47" i="15"/>
  <c r="I36" i="15"/>
  <c r="I45" i="15"/>
  <c r="M45" i="15"/>
  <c r="M47" i="15"/>
  <c r="M39" i="15"/>
  <c r="M44" i="15"/>
  <c r="M37" i="15"/>
  <c r="M43" i="15"/>
  <c r="M48" i="15"/>
  <c r="P43" i="15"/>
  <c r="P47" i="15"/>
  <c r="P48" i="15"/>
  <c r="Q45" i="15"/>
  <c r="Q43" i="15"/>
  <c r="Q41" i="15"/>
  <c r="Q39" i="15"/>
  <c r="Q44" i="15"/>
  <c r="Q38" i="15"/>
  <c r="Q42" i="15"/>
  <c r="Q40" i="15"/>
  <c r="Q37" i="15"/>
  <c r="S38" i="15"/>
  <c r="U38" i="15" s="1"/>
  <c r="M36" i="15"/>
  <c r="M42" i="15"/>
  <c r="M40" i="15"/>
  <c r="P42" i="15"/>
  <c r="P41" i="15"/>
  <c r="P44" i="15"/>
  <c r="P36" i="15"/>
  <c r="P38" i="15"/>
  <c r="P46" i="15"/>
  <c r="P45" i="15"/>
  <c r="P40" i="15"/>
  <c r="P110" i="15"/>
  <c r="P107" i="15"/>
  <c r="P112" i="15"/>
  <c r="P109" i="15"/>
  <c r="P114" i="15"/>
  <c r="P108" i="15"/>
  <c r="P106" i="15"/>
  <c r="P117" i="15"/>
  <c r="D40" i="15"/>
  <c r="S45" i="15"/>
  <c r="U45" i="15" s="1"/>
  <c r="S42" i="15"/>
  <c r="U42" i="15" s="1"/>
  <c r="S46" i="15"/>
  <c r="U46" i="15" s="1"/>
  <c r="S40" i="15"/>
  <c r="U40" i="15" s="1"/>
  <c r="S41" i="15"/>
  <c r="U41" i="15" s="1"/>
  <c r="S49" i="15"/>
  <c r="U49" i="15" s="1"/>
  <c r="S36" i="15"/>
  <c r="U36" i="15" s="1"/>
  <c r="S37" i="15"/>
  <c r="U37" i="15" s="1"/>
  <c r="S44" i="15"/>
  <c r="U44" i="15" s="1"/>
  <c r="D43" i="15"/>
  <c r="S43" i="15"/>
  <c r="U43" i="15" s="1"/>
  <c r="D41" i="15"/>
  <c r="S35" i="15"/>
  <c r="U35" i="15" s="1"/>
  <c r="S39" i="15"/>
  <c r="U39" i="15" s="1"/>
  <c r="D42" i="15"/>
  <c r="S48" i="15"/>
  <c r="U48" i="15" s="1"/>
  <c r="D35" i="15"/>
  <c r="D44" i="15"/>
  <c r="S47" i="15"/>
  <c r="U47" i="15" s="1"/>
  <c r="D36" i="15"/>
  <c r="D49" i="15"/>
  <c r="L48" i="15"/>
  <c r="L44" i="15"/>
  <c r="L45" i="15"/>
  <c r="L46" i="15"/>
  <c r="L47" i="15"/>
  <c r="L38" i="15"/>
  <c r="L37" i="15"/>
  <c r="L43" i="15"/>
  <c r="L41" i="15"/>
  <c r="N47" i="15"/>
  <c r="N48" i="15"/>
  <c r="N44" i="15"/>
  <c r="N35" i="15"/>
  <c r="N42" i="15"/>
  <c r="N46" i="15"/>
  <c r="N39" i="15"/>
  <c r="N43" i="15"/>
  <c r="N36" i="15"/>
  <c r="N40" i="15"/>
  <c r="N45" i="15"/>
  <c r="N41" i="15"/>
  <c r="N37" i="15"/>
  <c r="N38" i="15"/>
  <c r="N49" i="15"/>
  <c r="H38" i="15"/>
  <c r="H46" i="15"/>
  <c r="J46" i="15"/>
  <c r="J39" i="15"/>
  <c r="J35" i="15"/>
  <c r="J36" i="15"/>
  <c r="J42" i="15"/>
  <c r="I44" i="15"/>
  <c r="I37" i="15"/>
  <c r="I39" i="15"/>
  <c r="I38" i="15"/>
  <c r="I46" i="15"/>
  <c r="M159" i="15"/>
  <c r="M46" i="15"/>
  <c r="P37" i="15"/>
  <c r="P49" i="15"/>
  <c r="J86" i="15"/>
  <c r="J51" i="15"/>
  <c r="J71" i="15"/>
  <c r="P50" i="15"/>
  <c r="P149" i="15"/>
  <c r="P147" i="15"/>
  <c r="Q52" i="15"/>
  <c r="Q55" i="15"/>
  <c r="Q58" i="15"/>
  <c r="Q61" i="15"/>
  <c r="Q64" i="15"/>
  <c r="S53" i="15"/>
  <c r="U53" i="15" s="1"/>
  <c r="J75" i="15"/>
  <c r="L50" i="15"/>
  <c r="L64" i="15"/>
  <c r="L52" i="15"/>
  <c r="N50" i="15"/>
  <c r="N51" i="15"/>
  <c r="K50" i="15"/>
  <c r="K63" i="15"/>
  <c r="K59" i="15"/>
  <c r="K68" i="15"/>
  <c r="K66" i="15"/>
  <c r="M162" i="15"/>
  <c r="M157" i="15"/>
  <c r="M168" i="15"/>
  <c r="M50" i="15"/>
  <c r="M59" i="15"/>
  <c r="M57" i="15"/>
  <c r="M55" i="15"/>
  <c r="M53" i="15"/>
  <c r="M51" i="15"/>
  <c r="Q50" i="15"/>
  <c r="Q63" i="15"/>
  <c r="D110" i="15"/>
  <c r="D116" i="15"/>
  <c r="D107" i="15"/>
  <c r="D109" i="15"/>
  <c r="D115" i="15"/>
  <c r="D114" i="15"/>
  <c r="D117" i="15"/>
  <c r="D133" i="15"/>
  <c r="D99" i="15"/>
  <c r="D102" i="15"/>
  <c r="D103" i="15"/>
  <c r="S105" i="15"/>
  <c r="U105" i="15" s="1"/>
  <c r="S99" i="15"/>
  <c r="U99" i="15" s="1"/>
  <c r="S102" i="15"/>
  <c r="U102" i="15" s="1"/>
  <c r="S52" i="15"/>
  <c r="U52" i="15" s="1"/>
  <c r="D50" i="15"/>
  <c r="S58" i="15"/>
  <c r="U58" i="15" s="1"/>
  <c r="S64" i="15"/>
  <c r="U64" i="15" s="1"/>
  <c r="S103" i="15"/>
  <c r="U103" i="15" s="1"/>
  <c r="S50" i="15"/>
  <c r="U50" i="15" s="1"/>
  <c r="S54" i="15"/>
  <c r="U54" i="15" s="1"/>
  <c r="D51" i="15"/>
  <c r="S61" i="15"/>
  <c r="U61" i="15" s="1"/>
  <c r="S51" i="15"/>
  <c r="U51" i="15" s="1"/>
  <c r="D68" i="15"/>
  <c r="S115" i="15"/>
  <c r="U115" i="15" s="1"/>
  <c r="D95" i="15"/>
  <c r="D97" i="15"/>
  <c r="D101" i="15"/>
  <c r="D60" i="15"/>
  <c r="D59" i="15"/>
  <c r="D54" i="15"/>
  <c r="S144" i="15"/>
  <c r="U144" i="15" s="1"/>
  <c r="S104" i="15"/>
  <c r="U104" i="15" s="1"/>
  <c r="H140" i="15"/>
  <c r="H111" i="15"/>
  <c r="H50" i="15"/>
  <c r="H64" i="15"/>
  <c r="H100" i="15"/>
  <c r="H51" i="15"/>
  <c r="J61" i="15"/>
  <c r="J56" i="15"/>
  <c r="J62" i="15"/>
  <c r="J50" i="15"/>
  <c r="J82" i="15"/>
  <c r="K107" i="15"/>
  <c r="K122" i="15"/>
  <c r="K51" i="15"/>
  <c r="K52" i="15"/>
  <c r="K58" i="15"/>
  <c r="K53" i="15"/>
  <c r="I51" i="15"/>
  <c r="I50" i="15"/>
  <c r="M158" i="15"/>
  <c r="M166" i="15"/>
  <c r="P51" i="15"/>
  <c r="P63" i="15"/>
  <c r="P52" i="15"/>
  <c r="P56" i="15"/>
  <c r="I119" i="15"/>
  <c r="I123" i="15"/>
  <c r="S67" i="15"/>
  <c r="U67" i="15" s="1"/>
  <c r="D80" i="15"/>
  <c r="K56" i="15"/>
  <c r="S116" i="15"/>
  <c r="U116" i="15" s="1"/>
  <c r="I80" i="15"/>
  <c r="I77" i="15"/>
  <c r="M160" i="15"/>
  <c r="M153" i="15"/>
  <c r="M131" i="15"/>
  <c r="M123" i="15"/>
  <c r="M119" i="15"/>
  <c r="M122" i="15"/>
  <c r="M125" i="15"/>
  <c r="M128" i="15"/>
  <c r="M114" i="15"/>
  <c r="M110" i="15"/>
  <c r="S110" i="15"/>
  <c r="U110" i="15" s="1"/>
  <c r="S109" i="15"/>
  <c r="U109" i="15" s="1"/>
  <c r="P134" i="15"/>
  <c r="P150" i="15"/>
  <c r="P140" i="15"/>
  <c r="P152" i="15"/>
  <c r="P141" i="15"/>
  <c r="J126" i="15"/>
  <c r="D75" i="15"/>
  <c r="D67" i="15"/>
  <c r="S65" i="15"/>
  <c r="U65" i="15" s="1"/>
  <c r="L77" i="15"/>
  <c r="L79" i="15"/>
  <c r="J123" i="15"/>
  <c r="J83" i="15"/>
  <c r="M167" i="15"/>
  <c r="M164" i="15"/>
  <c r="M154" i="15"/>
  <c r="M163" i="15"/>
  <c r="D106" i="15"/>
  <c r="S129" i="15"/>
  <c r="U129" i="15" s="1"/>
  <c r="D113" i="15"/>
  <c r="S141" i="15"/>
  <c r="U141" i="15" s="1"/>
  <c r="D108" i="15"/>
  <c r="D112" i="15"/>
  <c r="S95" i="15"/>
  <c r="U95" i="15" s="1"/>
  <c r="D98" i="15"/>
  <c r="S96" i="15"/>
  <c r="U96" i="15" s="1"/>
  <c r="S137" i="15"/>
  <c r="U137" i="15" s="1"/>
  <c r="D142" i="15"/>
  <c r="D123" i="15"/>
  <c r="D132" i="15"/>
  <c r="S119" i="15"/>
  <c r="U119" i="15" s="1"/>
  <c r="S163" i="15"/>
  <c r="U163" i="15" s="1"/>
  <c r="S173" i="15"/>
  <c r="U173" i="15" s="1"/>
  <c r="S134" i="15"/>
  <c r="U134" i="15" s="1"/>
  <c r="D56" i="15"/>
  <c r="D64" i="15"/>
  <c r="S154" i="15"/>
  <c r="U154" i="15" s="1"/>
  <c r="S158" i="15"/>
  <c r="U158" i="15" s="1"/>
  <c r="S159" i="15"/>
  <c r="U159" i="15" s="1"/>
  <c r="S166" i="15"/>
  <c r="U166" i="15" s="1"/>
  <c r="D129" i="15"/>
  <c r="S100" i="15"/>
  <c r="U100" i="15" s="1"/>
  <c r="D105" i="15"/>
  <c r="D100" i="15"/>
  <c r="S111" i="15"/>
  <c r="U111" i="15" s="1"/>
  <c r="S108" i="15"/>
  <c r="U108" i="15" s="1"/>
  <c r="S106" i="15"/>
  <c r="U106" i="15" s="1"/>
  <c r="D111" i="15"/>
  <c r="L62" i="15"/>
  <c r="L75" i="15"/>
  <c r="L68" i="15"/>
  <c r="L76" i="15"/>
  <c r="L67" i="15"/>
  <c r="L65" i="15"/>
  <c r="L90" i="15"/>
  <c r="L109" i="15"/>
  <c r="L66" i="15"/>
  <c r="L166" i="15"/>
  <c r="L161" i="15"/>
  <c r="N154" i="15"/>
  <c r="N156" i="15"/>
  <c r="N155" i="15"/>
  <c r="N162" i="15"/>
  <c r="N163" i="15"/>
  <c r="N116" i="15"/>
  <c r="N149" i="15"/>
  <c r="N148" i="15"/>
  <c r="N160" i="15"/>
  <c r="N120" i="15"/>
  <c r="N124" i="15"/>
  <c r="N54" i="15"/>
  <c r="N132" i="15"/>
  <c r="H166" i="15"/>
  <c r="H159" i="15"/>
  <c r="H160" i="15"/>
  <c r="H155" i="15"/>
  <c r="H163" i="15"/>
  <c r="H130" i="15"/>
  <c r="H101" i="15"/>
  <c r="H147" i="15"/>
  <c r="H124" i="15"/>
  <c r="H89" i="15"/>
  <c r="H108" i="15"/>
  <c r="J161" i="15"/>
  <c r="J165" i="15"/>
  <c r="J149" i="15"/>
  <c r="J140" i="15"/>
  <c r="J54" i="15"/>
  <c r="J53" i="15"/>
  <c r="J162" i="15"/>
  <c r="J159" i="15"/>
  <c r="J160" i="15"/>
  <c r="J57" i="15"/>
  <c r="J66" i="15"/>
  <c r="I168" i="15"/>
  <c r="I129" i="15"/>
  <c r="M97" i="15"/>
  <c r="M99" i="15"/>
  <c r="M139" i="15"/>
  <c r="M145" i="15"/>
  <c r="M135" i="15"/>
  <c r="M140" i="15"/>
  <c r="M138" i="15"/>
  <c r="M149" i="15"/>
  <c r="M150" i="15"/>
  <c r="M146" i="15"/>
  <c r="M136" i="15"/>
  <c r="M137" i="15"/>
  <c r="M112" i="15"/>
  <c r="M58" i="15"/>
  <c r="M134" i="15"/>
  <c r="M152" i="15"/>
  <c r="M89" i="15"/>
  <c r="M88" i="15"/>
  <c r="M64" i="15"/>
  <c r="M63" i="15"/>
  <c r="M60" i="15"/>
  <c r="M56" i="15"/>
  <c r="M54" i="15"/>
  <c r="M52" i="15"/>
  <c r="M111" i="15"/>
  <c r="M107" i="15"/>
  <c r="M117" i="15"/>
  <c r="P142" i="15"/>
  <c r="P137" i="15"/>
  <c r="P135" i="15"/>
  <c r="P143" i="15"/>
  <c r="P138" i="15"/>
  <c r="P145" i="15"/>
  <c r="P119" i="15"/>
  <c r="P156" i="15"/>
  <c r="S113" i="15"/>
  <c r="U113" i="15" s="1"/>
  <c r="Q62" i="15"/>
  <c r="Q53" i="15"/>
  <c r="Q166" i="15"/>
  <c r="Q114" i="15"/>
  <c r="Q110" i="15"/>
  <c r="Q119" i="15"/>
  <c r="Q121" i="15"/>
  <c r="Q112" i="15"/>
  <c r="Q120" i="15"/>
  <c r="Q131" i="15"/>
  <c r="Q128" i="15"/>
  <c r="Q124" i="15"/>
  <c r="Q103" i="15"/>
  <c r="Q97" i="15"/>
  <c r="Q54" i="15"/>
  <c r="Q65" i="15"/>
  <c r="Q59" i="15"/>
  <c r="Q130" i="15"/>
  <c r="K111" i="15"/>
  <c r="K110" i="15"/>
  <c r="K146" i="15"/>
  <c r="M113" i="15"/>
  <c r="M108" i="15"/>
  <c r="M109" i="15"/>
  <c r="M115" i="15"/>
  <c r="S55" i="15"/>
  <c r="U55" i="15" s="1"/>
  <c r="S72" i="15"/>
  <c r="U72" i="15" s="1"/>
  <c r="D127" i="15"/>
  <c r="S131" i="15"/>
  <c r="U131" i="15" s="1"/>
  <c r="S126" i="15"/>
  <c r="U126" i="15" s="1"/>
  <c r="D87" i="15"/>
  <c r="S76" i="15"/>
  <c r="U76" i="15" s="1"/>
  <c r="D83" i="15"/>
  <c r="S60" i="15"/>
  <c r="U60" i="15" s="1"/>
  <c r="S90" i="15"/>
  <c r="U90" i="15" s="1"/>
  <c r="S84" i="15"/>
  <c r="U84" i="15" s="1"/>
  <c r="D53" i="15"/>
  <c r="S82" i="15"/>
  <c r="U82" i="15" s="1"/>
  <c r="S59" i="15"/>
  <c r="U59" i="15" s="1"/>
  <c r="S155" i="15"/>
  <c r="U155" i="15" s="1"/>
  <c r="D104" i="15"/>
  <c r="S88" i="15"/>
  <c r="U88" i="15" s="1"/>
  <c r="D52" i="15"/>
  <c r="D57" i="15"/>
  <c r="D81" i="15"/>
  <c r="D157" i="15"/>
  <c r="D162" i="15"/>
  <c r="D161" i="15"/>
  <c r="D159" i="15"/>
  <c r="S79" i="15"/>
  <c r="U79" i="15" s="1"/>
  <c r="D94" i="15"/>
  <c r="D65" i="15"/>
  <c r="D85" i="15"/>
  <c r="S77" i="15"/>
  <c r="U77" i="15" s="1"/>
  <c r="S93" i="15"/>
  <c r="U93" i="15" s="1"/>
  <c r="D78" i="15"/>
  <c r="S89" i="15"/>
  <c r="U89" i="15" s="1"/>
  <c r="L159" i="15"/>
  <c r="L146" i="15"/>
  <c r="L155" i="15"/>
  <c r="L158" i="15"/>
  <c r="L93" i="15"/>
  <c r="L151" i="15"/>
  <c r="L130" i="15"/>
  <c r="L143" i="15"/>
  <c r="L126" i="15"/>
  <c r="L129" i="15"/>
  <c r="L61" i="15"/>
  <c r="L56" i="15"/>
  <c r="L54" i="15"/>
  <c r="L84" i="15"/>
  <c r="L96" i="15"/>
  <c r="L110" i="15"/>
  <c r="L108" i="15"/>
  <c r="L72" i="15"/>
  <c r="L85" i="15"/>
  <c r="L82" i="15"/>
  <c r="L104" i="15"/>
  <c r="L102" i="15"/>
  <c r="L123" i="15"/>
  <c r="L150" i="15"/>
  <c r="L156" i="15"/>
  <c r="L142" i="15"/>
  <c r="L149" i="15"/>
  <c r="L164" i="15"/>
  <c r="L148" i="15"/>
  <c r="N109" i="15"/>
  <c r="N86" i="15"/>
  <c r="N93" i="15"/>
  <c r="N74" i="15"/>
  <c r="N66" i="15"/>
  <c r="N83" i="15"/>
  <c r="N72" i="15"/>
  <c r="N75" i="15"/>
  <c r="N73" i="15"/>
  <c r="N79" i="15"/>
  <c r="N91" i="15"/>
  <c r="N95" i="15"/>
  <c r="N63" i="15"/>
  <c r="N102" i="15"/>
  <c r="N104" i="15"/>
  <c r="N94" i="15"/>
  <c r="N98" i="15"/>
  <c r="N82" i="15"/>
  <c r="N59" i="15"/>
  <c r="N62" i="15"/>
  <c r="N67" i="15"/>
  <c r="N53" i="15"/>
  <c r="N96" i="15"/>
  <c r="N101" i="15"/>
  <c r="N100" i="15"/>
  <c r="N150" i="15"/>
  <c r="N138" i="15"/>
  <c r="N112" i="15"/>
  <c r="N103" i="15"/>
  <c r="N61" i="15"/>
  <c r="N99" i="15"/>
  <c r="H65" i="15"/>
  <c r="H81" i="15"/>
  <c r="H57" i="15"/>
  <c r="H94" i="15"/>
  <c r="H80" i="15"/>
  <c r="H53" i="15"/>
  <c r="H61" i="15"/>
  <c r="H59" i="15"/>
  <c r="H79" i="15"/>
  <c r="H68" i="15"/>
  <c r="H67" i="15"/>
  <c r="H71" i="15"/>
  <c r="H55" i="15"/>
  <c r="H76" i="15"/>
  <c r="H56" i="15"/>
  <c r="H95" i="15"/>
  <c r="H104" i="15"/>
  <c r="H117" i="15"/>
  <c r="H115" i="15"/>
  <c r="H137" i="15"/>
  <c r="H128" i="15"/>
  <c r="H149" i="15"/>
  <c r="H152" i="15"/>
  <c r="H136" i="15"/>
  <c r="H105" i="15"/>
  <c r="H69" i="15"/>
  <c r="J89" i="15"/>
  <c r="J70" i="15"/>
  <c r="J94" i="15"/>
  <c r="J60" i="15"/>
  <c r="J55" i="15"/>
  <c r="J65" i="15"/>
  <c r="J72" i="15"/>
  <c r="J52" i="15"/>
  <c r="J73" i="15"/>
  <c r="J79" i="15"/>
  <c r="J85" i="15"/>
  <c r="J81" i="15"/>
  <c r="J87" i="15"/>
  <c r="J93" i="15"/>
  <c r="J63" i="15"/>
  <c r="J59" i="15"/>
  <c r="J88" i="15"/>
  <c r="J58" i="15"/>
  <c r="J91" i="15"/>
  <c r="J90" i="15"/>
  <c r="J64" i="15"/>
  <c r="J80" i="15"/>
  <c r="J74" i="15"/>
  <c r="J67" i="15"/>
  <c r="J76" i="15"/>
  <c r="K143" i="15"/>
  <c r="K131" i="15"/>
  <c r="K140" i="15"/>
  <c r="K123" i="15"/>
  <c r="K62" i="15"/>
  <c r="K88" i="15"/>
  <c r="K74" i="15"/>
  <c r="K100" i="15"/>
  <c r="K103" i="15"/>
  <c r="K61" i="15"/>
  <c r="K102" i="15"/>
  <c r="K96" i="15"/>
  <c r="K95" i="15"/>
  <c r="K98" i="15"/>
  <c r="K105" i="15"/>
  <c r="K97" i="15"/>
  <c r="K99" i="15"/>
  <c r="K104" i="15"/>
  <c r="K101" i="15"/>
  <c r="K80" i="15"/>
  <c r="K60" i="15"/>
  <c r="K124" i="15"/>
  <c r="K121" i="15"/>
  <c r="K138" i="15"/>
  <c r="K137" i="15"/>
  <c r="K159" i="15"/>
  <c r="K162" i="15"/>
  <c r="K67" i="15"/>
  <c r="K64" i="15"/>
  <c r="K129" i="15"/>
  <c r="K77" i="15"/>
  <c r="K54" i="15"/>
  <c r="K85" i="15"/>
  <c r="K87" i="15"/>
  <c r="K90" i="15"/>
  <c r="K65" i="15"/>
  <c r="K172" i="15"/>
  <c r="K157" i="15"/>
  <c r="K165" i="15"/>
  <c r="I52" i="15"/>
  <c r="I107" i="15"/>
  <c r="I115" i="15"/>
  <c r="I110" i="15"/>
  <c r="I84" i="15"/>
  <c r="I56" i="15"/>
  <c r="I108" i="15"/>
  <c r="I58" i="15"/>
  <c r="I93" i="15"/>
  <c r="I159" i="15"/>
  <c r="I160" i="15"/>
  <c r="I156" i="15"/>
  <c r="I164" i="15"/>
  <c r="P122" i="15"/>
  <c r="P65" i="15"/>
  <c r="P54" i="15"/>
  <c r="P72" i="15"/>
  <c r="P67" i="15"/>
  <c r="Q135" i="15"/>
  <c r="Q147" i="15"/>
  <c r="Q141" i="15"/>
  <c r="Q105" i="15"/>
  <c r="Q108" i="15"/>
  <c r="Q60" i="15"/>
  <c r="Q56" i="15"/>
  <c r="Q162" i="15"/>
  <c r="Q165" i="15"/>
  <c r="Q163" i="15"/>
  <c r="Q153" i="15"/>
  <c r="Q148" i="15"/>
  <c r="Q157" i="15"/>
  <c r="Q158" i="15"/>
  <c r="Q168" i="15"/>
  <c r="Q109" i="15"/>
  <c r="Q116" i="15"/>
  <c r="Q156" i="15"/>
  <c r="Q142" i="15"/>
  <c r="Q150" i="15"/>
  <c r="Q155" i="15"/>
  <c r="Q164" i="15"/>
  <c r="Q159" i="15"/>
  <c r="Q160" i="15"/>
  <c r="Q167" i="15"/>
  <c r="Q161" i="15"/>
  <c r="S135" i="15"/>
  <c r="U135" i="15" s="1"/>
  <c r="D152" i="15"/>
  <c r="D151" i="15"/>
  <c r="D150" i="15"/>
  <c r="D147" i="15"/>
  <c r="D146" i="15"/>
  <c r="D88" i="15"/>
  <c r="D149" i="15"/>
  <c r="D136" i="15"/>
  <c r="S62" i="15"/>
  <c r="U62" i="15" s="1"/>
  <c r="S68" i="15"/>
  <c r="U68" i="15" s="1"/>
  <c r="D93" i="15"/>
  <c r="S152" i="15"/>
  <c r="U152" i="15" s="1"/>
  <c r="S150" i="15"/>
  <c r="U150" i="15" s="1"/>
  <c r="S114" i="15"/>
  <c r="U114" i="15" s="1"/>
  <c r="S117" i="15"/>
  <c r="U117" i="15" s="1"/>
  <c r="S136" i="15"/>
  <c r="U136" i="15" s="1"/>
  <c r="S139" i="15"/>
  <c r="U139" i="15" s="1"/>
  <c r="S140" i="15"/>
  <c r="U140" i="15" s="1"/>
  <c r="D128" i="15"/>
  <c r="D118" i="15"/>
  <c r="D122" i="15"/>
  <c r="D72" i="15"/>
  <c r="D74" i="15"/>
  <c r="S107" i="15"/>
  <c r="U107" i="15" s="1"/>
  <c r="S112" i="15"/>
  <c r="U112" i="15" s="1"/>
  <c r="S148" i="15"/>
  <c r="U148" i="15" s="1"/>
  <c r="S133" i="15"/>
  <c r="U133" i="15" s="1"/>
  <c r="S128" i="15"/>
  <c r="U128" i="15" s="1"/>
  <c r="D121" i="15"/>
  <c r="D126" i="15"/>
  <c r="D135" i="15"/>
  <c r="D145" i="15"/>
  <c r="D138" i="15"/>
  <c r="S149" i="15"/>
  <c r="U149" i="15" s="1"/>
  <c r="S143" i="15"/>
  <c r="U143" i="15" s="1"/>
  <c r="L60" i="15"/>
  <c r="L51" i="15"/>
  <c r="L55" i="15"/>
  <c r="L94" i="15"/>
  <c r="L73" i="15"/>
  <c r="L58" i="15"/>
  <c r="L57" i="15"/>
  <c r="L83" i="15"/>
  <c r="L91" i="15"/>
  <c r="L89" i="15"/>
  <c r="L69" i="15"/>
  <c r="L78" i="15"/>
  <c r="L81" i="15"/>
  <c r="L80" i="15"/>
  <c r="L70" i="15"/>
  <c r="L87" i="15"/>
  <c r="L53" i="15"/>
  <c r="N121" i="15"/>
  <c r="N126" i="15"/>
  <c r="N58" i="15"/>
  <c r="N90" i="15"/>
  <c r="N55" i="15"/>
  <c r="N129" i="15"/>
  <c r="N141" i="15"/>
  <c r="N127" i="15"/>
  <c r="N171" i="15"/>
  <c r="N119" i="15"/>
  <c r="N69" i="15"/>
  <c r="N125" i="15"/>
  <c r="N131" i="15"/>
  <c r="N136" i="15"/>
  <c r="N122" i="15"/>
  <c r="N52" i="15"/>
  <c r="N76" i="15"/>
  <c r="N81" i="15"/>
  <c r="N123" i="15"/>
  <c r="N56" i="15"/>
  <c r="N146" i="15"/>
  <c r="N134" i="15"/>
  <c r="N137" i="15"/>
  <c r="N152" i="15"/>
  <c r="N151" i="15"/>
  <c r="N143" i="15"/>
  <c r="N147" i="15"/>
  <c r="N139" i="15"/>
  <c r="N145" i="15"/>
  <c r="N140" i="15"/>
  <c r="N142" i="15"/>
  <c r="N135" i="15"/>
  <c r="N144" i="15"/>
  <c r="N118" i="15"/>
  <c r="N133" i="15"/>
  <c r="N130" i="15"/>
  <c r="H85" i="15"/>
  <c r="H167" i="15"/>
  <c r="H63" i="15"/>
  <c r="H131" i="15"/>
  <c r="H77" i="15"/>
  <c r="H142" i="15"/>
  <c r="H129" i="15"/>
  <c r="H70" i="15"/>
  <c r="H84" i="15"/>
  <c r="H92" i="15"/>
  <c r="H83" i="15"/>
  <c r="H72" i="15"/>
  <c r="H62" i="15"/>
  <c r="H52" i="15"/>
  <c r="H90" i="15"/>
  <c r="H78" i="15"/>
  <c r="H60" i="15"/>
  <c r="H54" i="15"/>
  <c r="H73" i="15"/>
  <c r="H123" i="15"/>
  <c r="H75" i="15"/>
  <c r="J144" i="15"/>
  <c r="J132" i="15"/>
  <c r="J142" i="15"/>
  <c r="J119" i="15"/>
  <c r="J120" i="15"/>
  <c r="J150" i="15"/>
  <c r="J124" i="15"/>
  <c r="J69" i="15"/>
  <c r="K116" i="15"/>
  <c r="K113" i="15"/>
  <c r="K112" i="15"/>
  <c r="K114" i="15"/>
  <c r="K144" i="15"/>
  <c r="K141" i="15"/>
  <c r="K117" i="15"/>
  <c r="K136" i="15"/>
  <c r="K147" i="15"/>
  <c r="K142" i="15"/>
  <c r="K135" i="15"/>
  <c r="K145" i="15"/>
  <c r="K134" i="15"/>
  <c r="K139" i="15"/>
  <c r="I152" i="15"/>
  <c r="I66" i="15"/>
  <c r="I90" i="15"/>
  <c r="I64" i="15"/>
  <c r="I70" i="15"/>
  <c r="I67" i="15"/>
  <c r="I78" i="15"/>
  <c r="I82" i="15"/>
  <c r="I86" i="15"/>
  <c r="I94" i="15"/>
  <c r="I60" i="15"/>
  <c r="I89" i="15"/>
  <c r="I85" i="15"/>
  <c r="I87" i="15"/>
  <c r="I74" i="15"/>
  <c r="I79" i="15"/>
  <c r="I72" i="15"/>
  <c r="I65" i="15"/>
  <c r="I53" i="15"/>
  <c r="I138" i="15"/>
  <c r="I148" i="15"/>
  <c r="I151" i="15"/>
  <c r="I133" i="15"/>
  <c r="I141" i="15"/>
  <c r="I137" i="15"/>
  <c r="I126" i="15"/>
  <c r="I73" i="15"/>
  <c r="I146" i="15"/>
  <c r="I91" i="15"/>
  <c r="I71" i="15"/>
  <c r="I59" i="15"/>
  <c r="I135" i="15"/>
  <c r="I68" i="15"/>
  <c r="I57" i="15"/>
  <c r="I83" i="15"/>
  <c r="I63" i="15"/>
  <c r="I75" i="15"/>
  <c r="I62" i="15"/>
  <c r="I118" i="15"/>
  <c r="I139" i="15"/>
  <c r="I147" i="15"/>
  <c r="I143" i="15"/>
  <c r="I132" i="15"/>
  <c r="I121" i="15"/>
  <c r="I125" i="15"/>
  <c r="I128" i="15"/>
  <c r="I144" i="15"/>
  <c r="I54" i="15"/>
  <c r="I61" i="15"/>
  <c r="I149" i="15"/>
  <c r="I120" i="15"/>
  <c r="I130" i="15"/>
  <c r="I122" i="15"/>
  <c r="I124" i="15"/>
  <c r="M61" i="15"/>
  <c r="M66" i="15"/>
  <c r="M85" i="15"/>
  <c r="M84" i="15"/>
  <c r="M144" i="15"/>
  <c r="M62" i="15"/>
  <c r="P62" i="15"/>
  <c r="P61" i="15"/>
  <c r="P148" i="15"/>
  <c r="P151" i="15"/>
  <c r="P88" i="15"/>
  <c r="P89" i="15"/>
  <c r="P69" i="15"/>
  <c r="P53" i="15"/>
  <c r="P139" i="15"/>
  <c r="P132" i="15"/>
  <c r="P136" i="15"/>
  <c r="Q111" i="15"/>
  <c r="Q107" i="15"/>
  <c r="Q115" i="15"/>
  <c r="Q117" i="15"/>
  <c r="Q140" i="15"/>
  <c r="Q151" i="15"/>
  <c r="Q145" i="15"/>
  <c r="Q152" i="15"/>
  <c r="Q146" i="15"/>
  <c r="Q123" i="15"/>
  <c r="Q51" i="15"/>
  <c r="Q138" i="15"/>
  <c r="Q127" i="15"/>
  <c r="Q133" i="15"/>
  <c r="Q113" i="15"/>
  <c r="Q122" i="15"/>
  <c r="Q125" i="15"/>
  <c r="D144" i="15"/>
  <c r="S85" i="15"/>
  <c r="U85" i="15" s="1"/>
  <c r="S57" i="15"/>
  <c r="U57" i="15" s="1"/>
  <c r="D70" i="15"/>
  <c r="S86" i="15"/>
  <c r="U86" i="15" s="1"/>
  <c r="D89" i="15"/>
  <c r="S63" i="15"/>
  <c r="U63" i="15" s="1"/>
  <c r="S56" i="15"/>
  <c r="U56" i="15" s="1"/>
  <c r="S167" i="15"/>
  <c r="U167" i="15" s="1"/>
  <c r="D153" i="15"/>
  <c r="D165" i="15"/>
  <c r="S161" i="15"/>
  <c r="U161" i="15" s="1"/>
  <c r="D164" i="15"/>
  <c r="S153" i="15"/>
  <c r="U153" i="15" s="1"/>
  <c r="D166" i="15"/>
  <c r="S157" i="15"/>
  <c r="U157" i="15" s="1"/>
  <c r="D163" i="15"/>
  <c r="S168" i="15"/>
  <c r="U168" i="15" s="1"/>
  <c r="D62" i="15"/>
  <c r="S165" i="15"/>
  <c r="U165" i="15" s="1"/>
  <c r="S81" i="15"/>
  <c r="U81" i="15" s="1"/>
  <c r="S69" i="15"/>
  <c r="U69" i="15" s="1"/>
  <c r="D91" i="15"/>
  <c r="D55" i="15"/>
  <c r="D158" i="15"/>
  <c r="D61" i="15"/>
  <c r="D71" i="15"/>
  <c r="D63" i="15"/>
  <c r="D66" i="15"/>
  <c r="S160" i="15"/>
  <c r="U160" i="15" s="1"/>
  <c r="S66" i="15"/>
  <c r="U66" i="15" s="1"/>
  <c r="S156" i="15"/>
  <c r="U156" i="15" s="1"/>
  <c r="D84" i="15"/>
  <c r="D86" i="15"/>
  <c r="D58" i="15"/>
  <c r="D171" i="15"/>
  <c r="D155" i="15"/>
  <c r="D154" i="15"/>
  <c r="D156" i="15"/>
  <c r="D168" i="15"/>
  <c r="S164" i="15"/>
  <c r="U164" i="15" s="1"/>
  <c r="L106" i="15"/>
  <c r="L86" i="15"/>
  <c r="L145" i="15"/>
  <c r="L105" i="15"/>
  <c r="L124" i="15"/>
  <c r="L71" i="15"/>
  <c r="L63" i="15"/>
  <c r="L173" i="15"/>
  <c r="L165" i="15"/>
  <c r="N60" i="15"/>
  <c r="N65" i="15"/>
  <c r="N64" i="15"/>
  <c r="N57" i="15"/>
  <c r="N106" i="15"/>
  <c r="N108" i="15"/>
  <c r="N113" i="15"/>
  <c r="N168" i="15"/>
  <c r="N158" i="15"/>
  <c r="N97" i="15"/>
  <c r="H169" i="15"/>
  <c r="H139" i="15"/>
  <c r="H141" i="15"/>
  <c r="H145" i="15"/>
  <c r="H150" i="15"/>
  <c r="H143" i="15"/>
  <c r="H151" i="15"/>
  <c r="H66" i="15"/>
  <c r="H58" i="15"/>
  <c r="H126" i="15"/>
  <c r="H118" i="15"/>
  <c r="H110" i="15"/>
  <c r="H112" i="15"/>
  <c r="H114" i="15"/>
  <c r="H96" i="15"/>
  <c r="H134" i="15"/>
  <c r="H146" i="15"/>
  <c r="H144" i="15"/>
  <c r="H148" i="15"/>
  <c r="H138" i="15"/>
  <c r="H91" i="15"/>
  <c r="H82" i="15"/>
  <c r="H74" i="15"/>
  <c r="H132" i="15"/>
  <c r="H158" i="15"/>
  <c r="H165" i="15"/>
  <c r="H125" i="15"/>
  <c r="H121" i="15"/>
  <c r="H103" i="15"/>
  <c r="H170" i="15"/>
  <c r="J145" i="15"/>
  <c r="J173" i="15"/>
  <c r="J110" i="15"/>
  <c r="J116" i="15"/>
  <c r="J95" i="15"/>
  <c r="J154" i="15"/>
  <c r="J130" i="15"/>
  <c r="J134" i="15"/>
  <c r="J146" i="15"/>
  <c r="J139" i="15"/>
  <c r="J97" i="15"/>
  <c r="J164" i="15"/>
  <c r="J169" i="15"/>
  <c r="J168" i="15"/>
  <c r="J170" i="15"/>
  <c r="K127" i="15"/>
  <c r="K118" i="15"/>
  <c r="K153" i="15"/>
  <c r="K166" i="15"/>
  <c r="K126" i="15"/>
  <c r="K133" i="15"/>
  <c r="K125" i="15"/>
  <c r="K55" i="15"/>
  <c r="K169" i="15"/>
  <c r="K57" i="15"/>
  <c r="K163" i="15"/>
  <c r="K167" i="15"/>
  <c r="K119" i="15"/>
  <c r="K130" i="15"/>
  <c r="I92" i="15"/>
  <c r="I81" i="15"/>
  <c r="I55" i="15"/>
  <c r="I76" i="15"/>
  <c r="I116" i="15"/>
  <c r="I99" i="15"/>
  <c r="I100" i="15"/>
  <c r="I96" i="15"/>
  <c r="I104" i="15"/>
  <c r="I88" i="15"/>
  <c r="I102" i="15"/>
  <c r="I98" i="15"/>
  <c r="I113" i="15"/>
  <c r="M173" i="15"/>
  <c r="M171" i="15"/>
  <c r="M70" i="15"/>
  <c r="M170" i="15"/>
  <c r="P60" i="15"/>
  <c r="P84" i="15"/>
  <c r="P85" i="15"/>
  <c r="P170" i="15"/>
  <c r="P165" i="15"/>
  <c r="P154" i="15"/>
  <c r="P59" i="15"/>
  <c r="P58" i="15"/>
  <c r="P166" i="15"/>
  <c r="P155" i="15"/>
  <c r="P157" i="15"/>
  <c r="P168" i="15"/>
  <c r="P163" i="15"/>
  <c r="P70" i="15"/>
  <c r="P173" i="15"/>
  <c r="P101" i="15"/>
  <c r="P80" i="15"/>
  <c r="P162" i="15"/>
  <c r="P68" i="15"/>
  <c r="P57" i="15"/>
  <c r="P64" i="15"/>
  <c r="P55" i="15"/>
  <c r="P77" i="15"/>
  <c r="P92" i="15"/>
  <c r="P74" i="15"/>
  <c r="P81" i="15"/>
  <c r="P83" i="15"/>
  <c r="P66" i="15"/>
  <c r="P159" i="15"/>
  <c r="Q86" i="15"/>
  <c r="Q87" i="15"/>
  <c r="Q88" i="15"/>
  <c r="Q57" i="15"/>
  <c r="Q89" i="15"/>
  <c r="Q169" i="15"/>
  <c r="Q170" i="15"/>
  <c r="Q90" i="15"/>
  <c r="Q134" i="15"/>
  <c r="Q82" i="15"/>
  <c r="Q66" i="15"/>
  <c r="Q83" i="15"/>
  <c r="Q84" i="15"/>
  <c r="Q96" i="15"/>
  <c r="Q67" i="15"/>
  <c r="Q154" i="15"/>
  <c r="Q172" i="15"/>
  <c r="Q173" i="15"/>
  <c r="Q136" i="15"/>
  <c r="Q143" i="15"/>
  <c r="Q137" i="15"/>
  <c r="Q85" i="15"/>
  <c r="L59" i="15"/>
  <c r="L88" i="15"/>
  <c r="L74" i="15"/>
  <c r="L99" i="15"/>
  <c r="L128" i="15"/>
  <c r="L131" i="15"/>
  <c r="L167" i="15"/>
  <c r="L92" i="15"/>
  <c r="N105" i="15"/>
  <c r="N110" i="15"/>
  <c r="N107" i="15"/>
  <c r="N117" i="15"/>
  <c r="H87" i="15"/>
  <c r="H120" i="15"/>
  <c r="H122" i="15"/>
  <c r="H98" i="15"/>
  <c r="J106" i="15"/>
  <c r="J113" i="15"/>
  <c r="J117" i="15"/>
  <c r="J111" i="15"/>
  <c r="I114" i="15"/>
  <c r="I127" i="15"/>
  <c r="I131" i="15"/>
  <c r="I157" i="15"/>
  <c r="I153" i="15"/>
  <c r="M65" i="15"/>
  <c r="M67" i="15"/>
  <c r="Q149" i="15"/>
  <c r="Q92" i="15"/>
  <c r="Q95" i="15"/>
  <c r="Q99" i="15"/>
  <c r="Q129" i="15"/>
  <c r="Q118" i="15"/>
  <c r="Q139" i="15"/>
  <c r="L144" i="15"/>
  <c r="L139" i="15"/>
  <c r="L97" i="15"/>
  <c r="L127" i="15"/>
  <c r="L132" i="15"/>
  <c r="L125" i="15"/>
  <c r="L138" i="15"/>
  <c r="L135" i="15"/>
  <c r="L107" i="15"/>
  <c r="H86" i="15"/>
  <c r="H93" i="15"/>
  <c r="K170" i="15"/>
  <c r="K155" i="15"/>
  <c r="K156" i="15"/>
  <c r="I106" i="15"/>
  <c r="I109" i="15"/>
  <c r="M82" i="15"/>
  <c r="M78" i="15"/>
  <c r="M75" i="15"/>
  <c r="M81" i="15"/>
  <c r="P79" i="15"/>
  <c r="P75" i="15"/>
  <c r="P82" i="15"/>
  <c r="P73" i="15"/>
  <c r="P102" i="15"/>
  <c r="P105" i="15"/>
  <c r="P98" i="15"/>
  <c r="P99" i="15"/>
  <c r="P103" i="15"/>
  <c r="P113" i="15"/>
  <c r="P97" i="15"/>
  <c r="P95" i="15"/>
  <c r="P90" i="15"/>
  <c r="P100" i="15"/>
  <c r="P104" i="15"/>
  <c r="Q73" i="15"/>
  <c r="Q78" i="15"/>
  <c r="Q81" i="15"/>
  <c r="Q98" i="15"/>
  <c r="Q101" i="15"/>
  <c r="Q104" i="15"/>
  <c r="Q132" i="15"/>
  <c r="D143" i="15"/>
  <c r="D125" i="15"/>
  <c r="S122" i="15"/>
  <c r="U122" i="15" s="1"/>
  <c r="S127" i="15"/>
  <c r="U127" i="15" s="1"/>
  <c r="S130" i="15"/>
  <c r="U130" i="15" s="1"/>
  <c r="S125" i="15"/>
  <c r="U125" i="15" s="1"/>
  <c r="S121" i="15"/>
  <c r="U121" i="15" s="1"/>
  <c r="D120" i="15"/>
  <c r="D92" i="15"/>
  <c r="D131" i="15"/>
  <c r="S142" i="15"/>
  <c r="U142" i="15" s="1"/>
  <c r="D124" i="15"/>
  <c r="D82" i="15"/>
  <c r="D73" i="15"/>
  <c r="D119" i="15"/>
  <c r="D79" i="15"/>
  <c r="D69" i="15"/>
  <c r="S73" i="15"/>
  <c r="U73" i="15" s="1"/>
  <c r="L112" i="15"/>
  <c r="L115" i="15"/>
  <c r="L122" i="15"/>
  <c r="L121" i="15"/>
  <c r="L133" i="15"/>
  <c r="L120" i="15"/>
  <c r="L119" i="15"/>
  <c r="L111" i="15"/>
  <c r="L114" i="15"/>
  <c r="L100" i="15"/>
  <c r="L147" i="15"/>
  <c r="L137" i="15"/>
  <c r="L134" i="15"/>
  <c r="L136" i="15"/>
  <c r="L140" i="15"/>
  <c r="L141" i="15"/>
  <c r="L154" i="15"/>
  <c r="L160" i="15"/>
  <c r="L162" i="15"/>
  <c r="L163" i="15"/>
  <c r="L168" i="15"/>
  <c r="L157" i="15"/>
  <c r="L118" i="15"/>
  <c r="L152" i="15"/>
  <c r="L171" i="15"/>
  <c r="N166" i="15"/>
  <c r="N167" i="15"/>
  <c r="N165" i="15"/>
  <c r="N71" i="15"/>
  <c r="N68" i="15"/>
  <c r="N92" i="15"/>
  <c r="N87" i="15"/>
  <c r="N164" i="15"/>
  <c r="N153" i="15"/>
  <c r="N161" i="15"/>
  <c r="H88" i="15"/>
  <c r="H135" i="15"/>
  <c r="H156" i="15"/>
  <c r="H127" i="15"/>
  <c r="H162" i="15"/>
  <c r="H161" i="15"/>
  <c r="H168" i="15"/>
  <c r="H119" i="15"/>
  <c r="H154" i="15"/>
  <c r="H153" i="15"/>
  <c r="H102" i="15"/>
  <c r="H164" i="15"/>
  <c r="H157" i="15"/>
  <c r="H107" i="15"/>
  <c r="H99" i="15"/>
  <c r="J68" i="15"/>
  <c r="J77" i="15"/>
  <c r="J92" i="15"/>
  <c r="J78" i="15"/>
  <c r="J166" i="15"/>
  <c r="J167" i="15"/>
  <c r="J156" i="15"/>
  <c r="J133" i="15"/>
  <c r="J148" i="15"/>
  <c r="J147" i="15"/>
  <c r="J125" i="15"/>
  <c r="J127" i="15"/>
  <c r="J153" i="15"/>
  <c r="K89" i="15"/>
  <c r="K93" i="15"/>
  <c r="K92" i="15"/>
  <c r="K69" i="15"/>
  <c r="S97" i="15"/>
  <c r="U97" i="15" s="1"/>
  <c r="K109" i="15"/>
  <c r="K91" i="15"/>
  <c r="K84" i="15"/>
  <c r="K151" i="15"/>
  <c r="K149" i="15"/>
  <c r="K115" i="15"/>
  <c r="K108" i="15"/>
  <c r="K106" i="15"/>
  <c r="J129" i="15"/>
  <c r="J152" i="15"/>
  <c r="I142" i="15"/>
  <c r="I111" i="15"/>
  <c r="I101" i="15"/>
  <c r="I95" i="15"/>
  <c r="I105" i="15"/>
  <c r="I97" i="15"/>
  <c r="I117" i="15"/>
  <c r="I103" i="15"/>
  <c r="I154" i="15"/>
  <c r="I173" i="15"/>
  <c r="I69" i="15"/>
  <c r="I112" i="15"/>
  <c r="I140" i="15"/>
  <c r="I134" i="15"/>
  <c r="I165" i="15"/>
  <c r="M127" i="15"/>
  <c r="M133" i="15"/>
  <c r="M130" i="15"/>
  <c r="M118" i="15"/>
  <c r="M132" i="15"/>
  <c r="M120" i="15"/>
  <c r="M126" i="15"/>
  <c r="M129" i="15"/>
  <c r="M93" i="15"/>
  <c r="M141" i="15"/>
  <c r="S75" i="15"/>
  <c r="U75" i="15" s="1"/>
  <c r="M121" i="15"/>
  <c r="M155" i="15"/>
  <c r="M151" i="15"/>
  <c r="M142" i="15"/>
  <c r="S94" i="15"/>
  <c r="U94" i="15" s="1"/>
  <c r="M143" i="15"/>
  <c r="M69" i="15"/>
  <c r="M68" i="15"/>
  <c r="M161" i="15"/>
  <c r="M148" i="15"/>
  <c r="M147" i="15"/>
  <c r="M169" i="15"/>
  <c r="M156" i="15"/>
  <c r="M124" i="15"/>
  <c r="P124" i="15"/>
  <c r="P120" i="15"/>
  <c r="P93" i="15"/>
  <c r="P130" i="15"/>
  <c r="P123" i="15"/>
  <c r="P127" i="15"/>
  <c r="P86" i="15"/>
  <c r="P71" i="15"/>
  <c r="P94" i="15"/>
  <c r="P76" i="15"/>
  <c r="P91" i="15"/>
  <c r="P87" i="15"/>
  <c r="Q71" i="15"/>
  <c r="Q94" i="15"/>
  <c r="Q68" i="15"/>
  <c r="Q79" i="15"/>
  <c r="Q80" i="15"/>
  <c r="Q69" i="15"/>
  <c r="Q77" i="15"/>
  <c r="Q74" i="15"/>
  <c r="Q75" i="15"/>
  <c r="Q70" i="15"/>
  <c r="Q72" i="15"/>
  <c r="D96" i="15"/>
  <c r="S80" i="15"/>
  <c r="U80" i="15" s="1"/>
  <c r="S101" i="15"/>
  <c r="U101" i="15" s="1"/>
  <c r="S70" i="15"/>
  <c r="U70" i="15" s="1"/>
  <c r="S71" i="15"/>
  <c r="U71" i="15" s="1"/>
  <c r="D76" i="15"/>
  <c r="D90" i="15"/>
  <c r="S74" i="15"/>
  <c r="U74" i="15" s="1"/>
  <c r="S92" i="15"/>
  <c r="U92" i="15" s="1"/>
  <c r="S91" i="15"/>
  <c r="U91" i="15" s="1"/>
  <c r="S87" i="15"/>
  <c r="U87" i="15" s="1"/>
  <c r="D77" i="15"/>
  <c r="S78" i="15"/>
  <c r="U78" i="15" s="1"/>
  <c r="S83" i="15"/>
  <c r="U83" i="15" s="1"/>
  <c r="N89" i="15"/>
  <c r="N70" i="15"/>
  <c r="N77" i="15"/>
  <c r="N114" i="15"/>
  <c r="N111" i="15"/>
  <c r="N128" i="15"/>
  <c r="N115" i="15"/>
  <c r="N78" i="15"/>
  <c r="N80" i="15"/>
  <c r="N84" i="15"/>
  <c r="N88" i="15"/>
  <c r="N85" i="15"/>
  <c r="J109" i="15"/>
  <c r="J105" i="15"/>
  <c r="J103" i="15"/>
  <c r="J121" i="15"/>
  <c r="J107" i="15"/>
  <c r="J96" i="15"/>
  <c r="J104" i="15"/>
  <c r="J102" i="15"/>
  <c r="J115" i="15"/>
  <c r="J122" i="15"/>
  <c r="J128" i="15"/>
  <c r="K150" i="15"/>
  <c r="K152" i="15"/>
  <c r="K73" i="15"/>
  <c r="K94" i="15"/>
  <c r="K71" i="15"/>
  <c r="K154" i="15"/>
  <c r="K86" i="15"/>
  <c r="K78" i="15"/>
  <c r="K72" i="15"/>
  <c r="K70" i="15"/>
  <c r="K81" i="15"/>
  <c r="K75" i="15"/>
  <c r="K83" i="15"/>
  <c r="K82" i="15"/>
  <c r="K76" i="15"/>
  <c r="K79" i="15"/>
  <c r="M77" i="15"/>
  <c r="M96" i="15"/>
  <c r="M98" i="15"/>
  <c r="M105" i="15"/>
  <c r="M101" i="15"/>
  <c r="M102" i="15"/>
  <c r="M72" i="15"/>
  <c r="M76" i="15"/>
  <c r="M80" i="15"/>
  <c r="M92" i="15"/>
  <c r="M91" i="15"/>
  <c r="M90" i="15"/>
  <c r="M83" i="15"/>
  <c r="M86" i="15"/>
  <c r="M87" i="15"/>
  <c r="M74" i="15"/>
  <c r="M79" i="15"/>
  <c r="M95" i="15"/>
  <c r="M71" i="15"/>
  <c r="M73" i="15"/>
  <c r="M116" i="15"/>
  <c r="M106" i="15"/>
  <c r="M103" i="15"/>
  <c r="M100" i="15"/>
  <c r="M94" i="15"/>
  <c r="AG866" i="15"/>
  <c r="P128" i="15"/>
  <c r="P131" i="15"/>
  <c r="P129" i="15"/>
  <c r="P78" i="15"/>
  <c r="P125" i="15"/>
  <c r="Q76" i="15"/>
  <c r="Q91" i="15"/>
  <c r="Q93" i="15"/>
  <c r="L95" i="15"/>
  <c r="L116" i="15"/>
  <c r="J131" i="15"/>
  <c r="J100" i="15"/>
  <c r="J98" i="15"/>
  <c r="J99" i="15"/>
  <c r="K120" i="15"/>
  <c r="K128" i="15"/>
  <c r="K132" i="15"/>
  <c r="AG858" i="15"/>
  <c r="D134" i="15"/>
  <c r="S151" i="15"/>
  <c r="U151" i="15" s="1"/>
  <c r="S98" i="15"/>
  <c r="U98" i="15" s="1"/>
  <c r="S146" i="15"/>
  <c r="U146" i="15" s="1"/>
  <c r="S145" i="15"/>
  <c r="U145" i="15" s="1"/>
  <c r="D130" i="15"/>
  <c r="S132" i="15"/>
  <c r="U132" i="15" s="1"/>
  <c r="S120" i="15"/>
  <c r="U120" i="15" s="1"/>
  <c r="S124" i="15"/>
  <c r="U124" i="15" s="1"/>
  <c r="S123" i="15"/>
  <c r="U123" i="15" s="1"/>
  <c r="S118" i="15"/>
  <c r="U118" i="15" s="1"/>
  <c r="D141" i="15"/>
  <c r="D140" i="15"/>
  <c r="D137" i="15"/>
  <c r="S138" i="15"/>
  <c r="U138" i="15" s="1"/>
  <c r="D139" i="15"/>
  <c r="S147" i="15"/>
  <c r="U147" i="15" s="1"/>
  <c r="D148" i="15"/>
  <c r="D167" i="15"/>
  <c r="AG861" i="15"/>
  <c r="L113" i="15"/>
  <c r="L117" i="15"/>
  <c r="L101" i="15"/>
  <c r="L153" i="15"/>
  <c r="L103" i="15"/>
  <c r="L98" i="15"/>
  <c r="AG863" i="15"/>
  <c r="N159" i="15"/>
  <c r="N157" i="15"/>
  <c r="AG859" i="15"/>
  <c r="H113" i="15"/>
  <c r="H133" i="15"/>
  <c r="H116" i="15"/>
  <c r="H109" i="15"/>
  <c r="H106" i="15"/>
  <c r="H97" i="15"/>
  <c r="AG864" i="15"/>
  <c r="J143" i="15"/>
  <c r="J137" i="15"/>
  <c r="J118" i="15"/>
  <c r="J108" i="15"/>
  <c r="J138" i="15"/>
  <c r="J151" i="15"/>
  <c r="J135" i="15"/>
  <c r="J141" i="15"/>
  <c r="J158" i="15"/>
  <c r="J163" i="15"/>
  <c r="J157" i="15"/>
  <c r="J101" i="15"/>
  <c r="J155" i="15"/>
  <c r="J136" i="15"/>
  <c r="AG860" i="15"/>
  <c r="K148" i="15"/>
  <c r="K171" i="15"/>
  <c r="K161" i="15"/>
  <c r="K168" i="15"/>
  <c r="K160" i="15"/>
  <c r="K158" i="15"/>
  <c r="K164" i="15"/>
  <c r="AG865" i="15"/>
  <c r="J114" i="15"/>
  <c r="J112" i="15"/>
  <c r="I136" i="15"/>
  <c r="I167" i="15"/>
  <c r="I161" i="15"/>
  <c r="I170" i="15"/>
  <c r="I155" i="15"/>
  <c r="I171" i="15"/>
  <c r="I162" i="15"/>
  <c r="I163" i="15"/>
  <c r="I158" i="15"/>
  <c r="I166" i="15"/>
  <c r="I145" i="15"/>
  <c r="I169" i="15"/>
  <c r="AG862" i="15"/>
  <c r="M104" i="15"/>
  <c r="Q106" i="15"/>
  <c r="Q100" i="15"/>
  <c r="Q102" i="15"/>
  <c r="Q126" i="15"/>
  <c r="Q144" i="15"/>
  <c r="AG869" i="15"/>
  <c r="I150" i="15"/>
  <c r="E26" i="16"/>
  <c r="F26" i="16" s="1"/>
  <c r="E27" i="16"/>
  <c r="F27" i="16" s="1"/>
  <c r="E28" i="16"/>
  <c r="F28" i="16" s="1"/>
  <c r="E29" i="16"/>
  <c r="F29" i="16" s="1"/>
  <c r="E30" i="16"/>
  <c r="F30" i="16" s="1"/>
  <c r="E31" i="16"/>
  <c r="F31" i="16" s="1"/>
  <c r="E32" i="16"/>
  <c r="F32" i="16" s="1"/>
  <c r="E33" i="16"/>
  <c r="F33" i="16" s="1"/>
  <c r="E34" i="16"/>
  <c r="F34" i="16" s="1"/>
  <c r="E35" i="16"/>
  <c r="F35" i="16" s="1"/>
  <c r="E36" i="16"/>
  <c r="F36" i="16" s="1"/>
  <c r="E37" i="16"/>
  <c r="F37" i="16" s="1"/>
  <c r="E38" i="16"/>
  <c r="F38" i="16" s="1"/>
  <c r="E39" i="16"/>
  <c r="F39" i="16" s="1"/>
  <c r="E40" i="16"/>
  <c r="F40" i="16" s="1"/>
  <c r="K3" i="14"/>
  <c r="B6" i="17"/>
  <c r="E6" i="19"/>
  <c r="N169" i="15"/>
  <c r="N173" i="15"/>
  <c r="D170" i="15"/>
  <c r="K173" i="15"/>
  <c r="J172" i="15"/>
  <c r="J171" i="15"/>
  <c r="N172" i="15"/>
  <c r="P172" i="15"/>
  <c r="P169" i="15"/>
  <c r="D172" i="15"/>
  <c r="D169" i="15"/>
  <c r="S169" i="15"/>
  <c r="U169" i="15" s="1"/>
  <c r="D173" i="15"/>
  <c r="S171" i="15"/>
  <c r="U171" i="15" s="1"/>
  <c r="S172" i="15"/>
  <c r="U172" i="15" s="1"/>
  <c r="N170" i="15"/>
  <c r="P171" i="15"/>
  <c r="I172" i="15"/>
  <c r="M172" i="15"/>
  <c r="Q171" i="15"/>
  <c r="L170" i="15"/>
  <c r="L172" i="15"/>
  <c r="H171" i="15"/>
  <c r="L169" i="15"/>
  <c r="H173" i="15"/>
  <c r="H172" i="15"/>
  <c r="S170" i="15"/>
  <c r="U170" i="15" s="1"/>
  <c r="S162" i="15"/>
  <c r="U162" i="15" s="1"/>
  <c r="M165" i="15"/>
  <c r="D160" i="15"/>
  <c r="AG870" i="15"/>
  <c r="V34" i="15"/>
  <c r="W34" i="15"/>
  <c r="V28" i="15"/>
  <c r="W28" i="15"/>
  <c r="W29" i="15"/>
  <c r="V29" i="15"/>
  <c r="V30" i="15"/>
  <c r="W30" i="15"/>
  <c r="V26" i="15"/>
  <c r="W26" i="15"/>
  <c r="V31" i="15"/>
  <c r="W31" i="15"/>
  <c r="V32" i="15"/>
  <c r="W32" i="15"/>
  <c r="W33" i="15"/>
  <c r="V33" i="15"/>
  <c r="W25" i="15"/>
  <c r="V25" i="15"/>
  <c r="W24" i="15"/>
  <c r="V24" i="15"/>
  <c r="W27" i="15"/>
  <c r="V27" i="15"/>
  <c r="C218" i="15"/>
  <c r="D218" i="15" s="1"/>
  <c r="V47" i="15" l="1"/>
  <c r="W47" i="15"/>
  <c r="V48" i="15"/>
  <c r="W48" i="15"/>
  <c r="V40" i="15"/>
  <c r="W40" i="15"/>
  <c r="V45" i="15"/>
  <c r="W45" i="15"/>
  <c r="V43" i="15"/>
  <c r="W43" i="15"/>
  <c r="V41" i="15"/>
  <c r="W41" i="15"/>
  <c r="W42" i="15"/>
  <c r="V42" i="15"/>
  <c r="W38" i="15"/>
  <c r="V38" i="15"/>
  <c r="W46" i="15"/>
  <c r="V46" i="15"/>
  <c r="W35" i="15"/>
  <c r="V35" i="15"/>
  <c r="V36" i="15"/>
  <c r="W36" i="15"/>
  <c r="V44" i="15"/>
  <c r="W44" i="15"/>
  <c r="W37" i="15"/>
  <c r="V37" i="15"/>
  <c r="V39" i="15"/>
  <c r="W39" i="15"/>
  <c r="V49" i="15"/>
  <c r="W49" i="15"/>
  <c r="V50" i="15"/>
  <c r="W50" i="15"/>
  <c r="V56" i="15"/>
  <c r="W56" i="15"/>
  <c r="W52" i="15"/>
  <c r="V52" i="15"/>
  <c r="V54" i="15"/>
  <c r="W54" i="15"/>
  <c r="V51" i="15"/>
  <c r="W51" i="15"/>
  <c r="W62" i="15"/>
  <c r="V62" i="15"/>
  <c r="V53" i="15"/>
  <c r="W53" i="15"/>
  <c r="W61" i="15"/>
  <c r="V61" i="15"/>
  <c r="W63" i="15"/>
  <c r="V63" i="15"/>
  <c r="V146" i="15"/>
  <c r="W146" i="15"/>
  <c r="V57" i="15"/>
  <c r="W57" i="15"/>
  <c r="V55" i="15"/>
  <c r="W55" i="15"/>
  <c r="W60" i="15"/>
  <c r="V60" i="15"/>
  <c r="V58" i="15"/>
  <c r="W58" i="15"/>
  <c r="V64" i="15"/>
  <c r="W64" i="15"/>
  <c r="V66" i="15"/>
  <c r="W66" i="15"/>
  <c r="W59" i="15"/>
  <c r="V59" i="15"/>
  <c r="W110" i="15"/>
  <c r="V110" i="15"/>
  <c r="V65" i="15"/>
  <c r="W65" i="15"/>
  <c r="V67" i="15"/>
  <c r="W67" i="15"/>
  <c r="W119" i="15"/>
  <c r="V119" i="15"/>
  <c r="C215" i="15"/>
  <c r="D215" i="15" s="1"/>
  <c r="V156" i="15"/>
  <c r="W156" i="15"/>
  <c r="W127" i="15"/>
  <c r="V127" i="15"/>
  <c r="V68" i="15"/>
  <c r="W68" i="15"/>
  <c r="V147" i="15"/>
  <c r="W147" i="15"/>
  <c r="V149" i="15"/>
  <c r="W149" i="15"/>
  <c r="V69" i="15"/>
  <c r="W69" i="15"/>
  <c r="V142" i="15"/>
  <c r="W142" i="15"/>
  <c r="W124" i="15"/>
  <c r="V124" i="15"/>
  <c r="W123" i="15"/>
  <c r="V123" i="15"/>
  <c r="V87" i="15"/>
  <c r="W87" i="15"/>
  <c r="V74" i="15"/>
  <c r="W74" i="15"/>
  <c r="C217" i="15"/>
  <c r="D217" i="15" s="1"/>
  <c r="C207" i="15"/>
  <c r="D207" i="15" s="1"/>
  <c r="W76" i="15"/>
  <c r="V76" i="15"/>
  <c r="V90" i="15"/>
  <c r="W90" i="15"/>
  <c r="V77" i="15"/>
  <c r="W77" i="15"/>
  <c r="W89" i="15"/>
  <c r="V89" i="15"/>
  <c r="V111" i="15"/>
  <c r="W111" i="15"/>
  <c r="V84" i="15"/>
  <c r="W84" i="15"/>
  <c r="V88" i="15"/>
  <c r="W88" i="15"/>
  <c r="V85" i="15"/>
  <c r="W85" i="15"/>
  <c r="W105" i="15"/>
  <c r="V105" i="15"/>
  <c r="V121" i="15"/>
  <c r="W121" i="15"/>
  <c r="V107" i="15"/>
  <c r="W107" i="15"/>
  <c r="V96" i="15"/>
  <c r="W96" i="15"/>
  <c r="W115" i="15"/>
  <c r="V115" i="15"/>
  <c r="V122" i="15"/>
  <c r="W122" i="15"/>
  <c r="V152" i="15"/>
  <c r="W152" i="15"/>
  <c r="W73" i="15"/>
  <c r="V73" i="15"/>
  <c r="V94" i="15"/>
  <c r="W94" i="15"/>
  <c r="W71" i="15"/>
  <c r="V71" i="15"/>
  <c r="W154" i="15"/>
  <c r="V154" i="15"/>
  <c r="V86" i="15"/>
  <c r="W86" i="15"/>
  <c r="W78" i="15"/>
  <c r="V78" i="15"/>
  <c r="V72" i="15"/>
  <c r="W72" i="15"/>
  <c r="V70" i="15"/>
  <c r="W70" i="15"/>
  <c r="V81" i="15"/>
  <c r="W81" i="15"/>
  <c r="W75" i="15"/>
  <c r="V75" i="15"/>
  <c r="V83" i="15"/>
  <c r="W83" i="15"/>
  <c r="V82" i="15"/>
  <c r="W82" i="15"/>
  <c r="V79" i="15"/>
  <c r="W79" i="15"/>
  <c r="W80" i="15"/>
  <c r="V80" i="15"/>
  <c r="W92" i="15"/>
  <c r="V92" i="15"/>
  <c r="W91" i="15"/>
  <c r="V91" i="15"/>
  <c r="W129" i="15"/>
  <c r="V129" i="15"/>
  <c r="W125" i="15"/>
  <c r="V125" i="15"/>
  <c r="W93" i="15"/>
  <c r="V93" i="15"/>
  <c r="V100" i="15"/>
  <c r="W100" i="15"/>
  <c r="W118" i="15"/>
  <c r="V118" i="15"/>
  <c r="V126" i="15"/>
  <c r="W126" i="15"/>
  <c r="W95" i="15"/>
  <c r="V95" i="15"/>
  <c r="W131" i="15"/>
  <c r="V131" i="15"/>
  <c r="V99" i="15"/>
  <c r="W99" i="15"/>
  <c r="W120" i="15"/>
  <c r="V120" i="15"/>
  <c r="W128" i="15"/>
  <c r="V128" i="15"/>
  <c r="W132" i="15"/>
  <c r="V132" i="15"/>
  <c r="V113" i="15"/>
  <c r="W113" i="15"/>
  <c r="C214" i="15"/>
  <c r="D214" i="15" s="1"/>
  <c r="C213" i="15"/>
  <c r="D213" i="15" s="1"/>
  <c r="C219" i="15"/>
  <c r="D219" i="15" s="1"/>
  <c r="C220" i="15"/>
  <c r="D220" i="15" s="1"/>
  <c r="V134" i="15"/>
  <c r="W134" i="15"/>
  <c r="W130" i="15"/>
  <c r="V130" i="15"/>
  <c r="W141" i="15"/>
  <c r="V141" i="15"/>
  <c r="V140" i="15"/>
  <c r="W140" i="15"/>
  <c r="V137" i="15"/>
  <c r="W137" i="15"/>
  <c r="V139" i="15"/>
  <c r="W139" i="15"/>
  <c r="V148" i="15"/>
  <c r="W148" i="15"/>
  <c r="W167" i="15"/>
  <c r="V167" i="15"/>
  <c r="V117" i="15"/>
  <c r="W117" i="15"/>
  <c r="V153" i="15"/>
  <c r="W153" i="15"/>
  <c r="V103" i="15"/>
  <c r="W103" i="15"/>
  <c r="V98" i="15"/>
  <c r="W98" i="15"/>
  <c r="W159" i="15"/>
  <c r="V159" i="15"/>
  <c r="V133" i="15"/>
  <c r="W133" i="15"/>
  <c r="V116" i="15"/>
  <c r="W116" i="15"/>
  <c r="V109" i="15"/>
  <c r="W109" i="15"/>
  <c r="V106" i="15"/>
  <c r="W106" i="15"/>
  <c r="W97" i="15"/>
  <c r="V97" i="15"/>
  <c r="W143" i="15"/>
  <c r="V143" i="15"/>
  <c r="V108" i="15"/>
  <c r="W108" i="15"/>
  <c r="W138" i="15"/>
  <c r="V138" i="15"/>
  <c r="W151" i="15"/>
  <c r="V151" i="15"/>
  <c r="W135" i="15"/>
  <c r="V135" i="15"/>
  <c r="W157" i="15"/>
  <c r="V157" i="15"/>
  <c r="W101" i="15"/>
  <c r="V101" i="15"/>
  <c r="V168" i="15"/>
  <c r="W168" i="15"/>
  <c r="V164" i="15"/>
  <c r="W164" i="15"/>
  <c r="W114" i="15"/>
  <c r="V114" i="15"/>
  <c r="W112" i="15"/>
  <c r="V112" i="15"/>
  <c r="V136" i="15"/>
  <c r="W136" i="15"/>
  <c r="V161" i="15"/>
  <c r="W161" i="15"/>
  <c r="W155" i="15"/>
  <c r="V155" i="15"/>
  <c r="W162" i="15"/>
  <c r="V162" i="15"/>
  <c r="W163" i="15"/>
  <c r="V163" i="15"/>
  <c r="W158" i="15"/>
  <c r="V158" i="15"/>
  <c r="V166" i="15"/>
  <c r="W166" i="15"/>
  <c r="W145" i="15"/>
  <c r="V145" i="15"/>
  <c r="V104" i="15"/>
  <c r="W104" i="15"/>
  <c r="W102" i="15"/>
  <c r="V102" i="15"/>
  <c r="V144" i="15"/>
  <c r="W144" i="15"/>
  <c r="C212" i="15"/>
  <c r="D212" i="15" s="1"/>
  <c r="W150" i="15"/>
  <c r="V150" i="15"/>
  <c r="F6" i="17"/>
  <c r="I6" i="19"/>
  <c r="C14" i="19" s="1" a="1"/>
  <c r="V170" i="15"/>
  <c r="W170" i="15"/>
  <c r="W172" i="15"/>
  <c r="V172" i="15"/>
  <c r="W169" i="15"/>
  <c r="V169" i="15"/>
  <c r="W173" i="15"/>
  <c r="V173" i="15"/>
  <c r="W160" i="15"/>
  <c r="V160" i="15"/>
  <c r="D192" i="15"/>
  <c r="D191" i="15"/>
  <c r="G199" i="15"/>
  <c r="G203" i="15"/>
  <c r="G201" i="15"/>
  <c r="D188" i="15"/>
  <c r="D190" i="15"/>
  <c r="D186" i="15"/>
  <c r="G202" i="15"/>
  <c r="D187" i="15"/>
  <c r="G200" i="15"/>
  <c r="F41" i="16"/>
  <c r="C45" i="16" s="1"/>
  <c r="L6" i="19" s="1"/>
  <c r="L37" i="17" s="1"/>
  <c r="W171" i="15"/>
  <c r="V171" i="15"/>
  <c r="C211" i="15"/>
  <c r="V165" i="15"/>
  <c r="W165" i="15"/>
  <c r="C216" i="15"/>
  <c r="D216" i="15" s="1"/>
  <c r="L6" i="17" l="1"/>
  <c r="C8" i="17"/>
  <c r="C223" i="15"/>
  <c r="E223" i="15"/>
  <c r="B15" i="19"/>
  <c r="C16" i="19"/>
  <c r="D211" i="15"/>
  <c r="J6" i="19"/>
  <c r="R6" i="17"/>
  <c r="K6" i="19" l="1"/>
  <c r="C15" i="19"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<sst xmlns="http://schemas.openxmlformats.org/spreadsheetml/2006/main" count="1083" uniqueCount="320">
  <si>
    <t>A</t>
  </si>
  <si>
    <t>Cluster</t>
  </si>
  <si>
    <t>Site 01</t>
  </si>
  <si>
    <t>Site 03</t>
  </si>
  <si>
    <t>Site 04</t>
  </si>
  <si>
    <t>B</t>
  </si>
  <si>
    <t>Site 05</t>
  </si>
  <si>
    <t>Site 06</t>
  </si>
  <si>
    <t>Site 07</t>
  </si>
  <si>
    <t>Site 08</t>
  </si>
  <si>
    <t>Site 09</t>
  </si>
  <si>
    <t>Site 10</t>
  </si>
  <si>
    <t>Site 11</t>
  </si>
  <si>
    <t>Site 12</t>
  </si>
  <si>
    <t>Site 13</t>
  </si>
  <si>
    <t>Site 14</t>
  </si>
  <si>
    <t>Site 15</t>
  </si>
  <si>
    <t>Azure Lead</t>
  </si>
  <si>
    <t>Azure Specialist</t>
  </si>
  <si>
    <t>Change Management Lead</t>
  </si>
  <si>
    <t>Functional Lead</t>
  </si>
  <si>
    <t>Functional Lead Vendor A</t>
  </si>
  <si>
    <t>Infrastructure Lead</t>
  </si>
  <si>
    <t>SAP Integrations Lead</t>
  </si>
  <si>
    <t>SAP Integrations Specialist</t>
  </si>
  <si>
    <t>Solution Architect</t>
  </si>
  <si>
    <t>Testing Lead</t>
  </si>
  <si>
    <t>Trainers</t>
  </si>
  <si>
    <t>Site Readiness</t>
  </si>
  <si>
    <t>Design Adaptation</t>
  </si>
  <si>
    <t>Functional Review</t>
  </si>
  <si>
    <t>UAT</t>
  </si>
  <si>
    <t>Training</t>
  </si>
  <si>
    <t>DIALT</t>
  </si>
  <si>
    <t>Go Live</t>
  </si>
  <si>
    <t>Hypercare</t>
  </si>
  <si>
    <t>Country</t>
  </si>
  <si>
    <t>Brewery</t>
  </si>
  <si>
    <t>Capacity
(Mio HL)</t>
  </si>
  <si>
    <t>Production
(Mio HL)</t>
  </si>
  <si>
    <t>Distribution Volume (K HL)</t>
  </si>
  <si>
    <t>Line Capacity</t>
  </si>
  <si>
    <t>Production Lines</t>
  </si>
  <si>
    <t># Warehouses</t>
  </si>
  <si>
    <t>Warehouse Area</t>
  </si>
  <si>
    <t>Occupation LV</t>
  </si>
  <si>
    <t>Aisles Identification</t>
  </si>
  <si>
    <t>Box Identification</t>
  </si>
  <si>
    <t>Control Tower</t>
  </si>
  <si>
    <t>T2/MKP/KA</t>
  </si>
  <si>
    <t>Forklifts in Logistics</t>
  </si>
  <si>
    <t>HC Forklifts</t>
  </si>
  <si>
    <t>WIFI State</t>
  </si>
  <si>
    <t>Tablets</t>
  </si>
  <si>
    <t>Counting Devices</t>
  </si>
  <si>
    <t>Yes</t>
  </si>
  <si>
    <t>No</t>
  </si>
  <si>
    <t>Benefits per month</t>
  </si>
  <si>
    <t>Implementation Costs</t>
  </si>
  <si>
    <t>Devices</t>
  </si>
  <si>
    <t>Forklift Structure</t>
  </si>
  <si>
    <t>Warehouse Signage</t>
  </si>
  <si>
    <t>Labels</t>
  </si>
  <si>
    <t>Costs without Labelers &amp; WiFi</t>
  </si>
  <si>
    <t>Label Printers / Labelers</t>
  </si>
  <si>
    <t>Manual Labeling</t>
  </si>
  <si>
    <t>WiFi Full</t>
  </si>
  <si>
    <t>WiFi Full Optimized</t>
  </si>
  <si>
    <t>WiFi Prioritized</t>
  </si>
  <si>
    <t>Site 02</t>
  </si>
  <si>
    <t>Role</t>
  </si>
  <si>
    <t>Work Mode</t>
  </si>
  <si>
    <t>Can Multitask</t>
  </si>
  <si>
    <t>Internal or External</t>
  </si>
  <si>
    <t>Fixed or Flexible Cost</t>
  </si>
  <si>
    <t>Remote</t>
  </si>
  <si>
    <t>Internal</t>
  </si>
  <si>
    <t>Fixed</t>
  </si>
  <si>
    <t>Post</t>
  </si>
  <si>
    <t>Warehouse Manager Org A</t>
  </si>
  <si>
    <t>Hybrid</t>
  </si>
  <si>
    <t>Project Manager Country B</t>
  </si>
  <si>
    <t>Partial</t>
  </si>
  <si>
    <t>Project Manager Country A</t>
  </si>
  <si>
    <t>Onsite</t>
  </si>
  <si>
    <t>External</t>
  </si>
  <si>
    <t>Flexible</t>
  </si>
  <si>
    <t>Support Lead</t>
  </si>
  <si>
    <t>Phase</t>
  </si>
  <si>
    <t>Sequence</t>
  </si>
  <si>
    <t>Deployment Maturity</t>
  </si>
  <si>
    <t>Duration in Weeks</t>
  </si>
  <si>
    <t>Capacity Consumption</t>
  </si>
  <si>
    <t>Mexico</t>
  </si>
  <si>
    <t>Colombia</t>
  </si>
  <si>
    <t>Average Monthly Cost (MXN)</t>
  </si>
  <si>
    <t>Tablero donde se vea el plan de trabajo general inicio - fin del programa</t>
  </si>
  <si>
    <t>tablero donde se vea el plan de trabajo por site</t>
  </si>
  <si>
    <t xml:space="preserve">tabla de uso de recursos por sitio y general para el programa. Quiero poder modificar esa tabla </t>
  </si>
  <si>
    <t>Escenario 1</t>
  </si>
  <si>
    <t>Actual</t>
  </si>
  <si>
    <t>poder guardar el escenario</t>
  </si>
  <si>
    <t>que me de un resumen de costos para el programa (por escenario), costo por site, por tipo de recurso</t>
  </si>
  <si>
    <t>objetivo:</t>
  </si>
  <si>
    <t>lograr la implementación de todo el programa en 8 meses</t>
  </si>
  <si>
    <t>quien va a ganar:</t>
  </si>
  <si>
    <t>menor costo</t>
  </si>
  <si>
    <t>rubrica de calificación</t>
  </si>
  <si>
    <t>8 meses + menor costo</t>
  </si>
  <si>
    <r>
      <t>Calidad de la información.</t>
    </r>
    <r>
      <rPr>
        <sz val="8"/>
        <rFont val="Segoe UI"/>
        <family val="2"/>
      </rPr>
      <t> Correcta, bien etiquetada, sin basura ni errores.</t>
    </r>
  </si>
  <si>
    <r>
      <t>Visual / UI.</t>
    </r>
    <r>
      <rPr>
        <sz val="8"/>
        <rFont val="Segoe UI"/>
        <family val="2"/>
      </rPr>
      <t> Limpio, con jerarquía y legible.</t>
    </r>
  </si>
  <si>
    <t>Dashboard principal</t>
  </si>
  <si>
    <t>Guardar y comparar escenarios</t>
  </si>
  <si>
    <t>Explicacion y entendimiento de cada pestaña del excel</t>
  </si>
  <si>
    <t>Rúbrica</t>
  </si>
  <si>
    <t>Ejemplo</t>
  </si>
  <si>
    <t>Maxima</t>
  </si>
  <si>
    <t>SIMULADOR WMS - 01_INPUTS  (parametros editables del escenario)</t>
  </si>
  <si>
    <t>Las celdas en AZUL son editables. Cambiar cualquiera de estos valores recalcula todo el simulador (Schedule, Resources, Costs, Dashboard, Scenarios).</t>
  </si>
  <si>
    <t>PARAMETROS GENERALES DEL ESCENARIO</t>
  </si>
  <si>
    <t>Nombre del escenario</t>
  </si>
  <si>
    <t>Fecha de inicio del programa</t>
  </si>
  <si>
    <t>Deployment Maturity (A o B, fuente: Implementation Phases)</t>
  </si>
  <si>
    <t>Max. Sites en paralelo (palanca de paralelismo)</t>
  </si>
  <si>
    <t>Fuente de recursos disponibles (Resource Master)</t>
  </si>
  <si>
    <t>Metodo de etiquetado (fuente: Financials (USD))</t>
  </si>
  <si>
    <t>Estrategia de WiFi (fuente: Financials (USD))</t>
  </si>
  <si>
    <t>Objetivo de duracion del programa (meses, fuente: ENTREGABLES)</t>
  </si>
  <si>
    <t>Roles unicos</t>
  </si>
  <si>
    <t>ZONA DE CALCULO INTERNO (listas de validacion) - no editar manualmente</t>
  </si>
  <si>
    <t>Fuente recursos</t>
  </si>
  <si>
    <t>Metodo etiquetado</t>
  </si>
  <si>
    <t>Estrategia WiFi</t>
  </si>
  <si>
    <t>RECURSOS DISPONIBLES POR ROL (fuente: Resource Master)</t>
  </si>
  <si>
    <t>Rol</t>
  </si>
  <si>
    <t>Disponible (fuente seleccionada)</t>
  </si>
  <si>
    <t>Ajuste manual (opcional)</t>
  </si>
  <si>
    <t>Disponible usado en el simulador</t>
  </si>
  <si>
    <t>SECUENCIA / PRIORIDAD DE SITES (fuente: Sites Master)</t>
  </si>
  <si>
    <t>Site</t>
  </si>
  <si>
    <t>Pais</t>
  </si>
  <si>
    <t>Prioridad (1=primero, editable)</t>
  </si>
  <si>
    <t>SIMULADOR WMS - 02_SCHEDULE  (cronograma por Site y Fase)</t>
  </si>
  <si>
    <t>Duracion total (semanas):</t>
  </si>
  <si>
    <t>Duracion total (meses):</t>
  </si>
  <si>
    <t>Fecha fin programa:</t>
  </si>
  <si>
    <t>Objetivo (meses):</t>
  </si>
  <si>
    <t>Cumple objetivo?</t>
  </si>
  <si>
    <t>Fase</t>
  </si>
  <si>
    <t>Secuencia</t>
  </si>
  <si>
    <t>Duracion (semanas)</t>
  </si>
  <si>
    <t>Fecha Inicio</t>
  </si>
  <si>
    <t>Fecha Fin</t>
  </si>
  <si>
    <t>Semana Inicio</t>
  </si>
  <si>
    <t>Semana Fin</t>
  </si>
  <si>
    <t>Prioridad</t>
  </si>
  <si>
    <t>Duracion total site (sem)</t>
  </si>
  <si>
    <t>Inicio Site</t>
  </si>
  <si>
    <t>Fin Site</t>
  </si>
  <si>
    <t>ZONA DE CALCULO: secuenciacion de sites por prioridad y paralelismo (no editar)</t>
  </si>
  <si>
    <t>Key (uso interno 03_RESOURCES)</t>
  </si>
  <si>
    <t>SIMULADOR WMS - 03_RESOURCES  (capacidad vs demanda de recursos)</t>
  </si>
  <si>
    <t>ZONA DE CALCULO: detalle Site x Fase x Rol (join Schedule + Phase-Resource Allocation) - no editar</t>
  </si>
  <si>
    <t>Consumo (capacidad)</t>
  </si>
  <si>
    <t>Recurso-semanas</t>
  </si>
  <si>
    <t>DISPONIBILIDAD POR ROL (fuente: 01_INPUTS)</t>
  </si>
  <si>
    <t>Disponible (usado)</t>
  </si>
  <si>
    <t>UTILIZACION SEMANAL POR ROL (%)  -  semaforo: verde &lt;=80%, amarillo &lt;=100%, rojo &gt;100%  (150 semanas modeladas)</t>
  </si>
  <si>
    <t>Semana</t>
  </si>
  <si>
    <t>Fecha inicio semana</t>
  </si>
  <si>
    <t>Total Requerido</t>
  </si>
  <si>
    <t>Total Disponible</t>
  </si>
  <si>
    <t>Utilizacion Programa %</t>
  </si>
  <si>
    <t># Roles Sobrecargados</t>
  </si>
  <si>
    <t>Semaforo</t>
  </si>
  <si>
    <t>Nota: Site 12 (Cluster 4) no tiene filas en 'Phase-Resource Allocation' en el archivo original. Su demanda de recursos se calcula en 0 (no se inventaron datos para cubrir este vacio).</t>
  </si>
  <si>
    <t>RECURSOS POR SITE (recurso-semanas totales demandadas)</t>
  </si>
  <si>
    <t>Recurso-semanas totales</t>
  </si>
  <si>
    <t>RECURSOS POR FASE (recurso-semanas totales, todo el programa)</t>
  </si>
  <si>
    <t>CUELLOS DE BOTELLA (maxima utilizacion alcanzada por rol, todo el programa)</t>
  </si>
  <si>
    <t>Utilizacion maxima</t>
  </si>
  <si>
    <t>Semana del pico</t>
  </si>
  <si>
    <t>ROL CON MAYOR CUELLO DE BOTELLA:</t>
  </si>
  <si>
    <t>Utilizacion maxima:</t>
  </si>
  <si>
    <t>SIMULADOR WMS - 04_COSTS  (costos e indicadores financieros del escenario)</t>
  </si>
  <si>
    <t>Nota: los costos de sitios (Financials (USD)) estan en USD y los costos de recursos (Resource Master) estan en MXN en los datos originales. No existe un tipo de cambio en el archivo fuente, por lo que no se combinan ambas monedas en un solo total (se muestran por separado para no inventar una tasa de conversion).</t>
  </si>
  <si>
    <t>COSTO POR SITE (USD) - fuente: Financials (USD), segun etiquetado/WiFi elegidos en 01_INPUTS</t>
  </si>
  <si>
    <t>Costo base (sin etiquetado/WiFi)</t>
  </si>
  <si>
    <t>Costo etiquetado elegido</t>
  </si>
  <si>
    <t>Costo WiFi elegido</t>
  </si>
  <si>
    <t>Costo total site (USD)</t>
  </si>
  <si>
    <t>Beneficio mensual (USD)</t>
  </si>
  <si>
    <t>TOTAL PROGRAMA</t>
  </si>
  <si>
    <t>COSTO POR RECURSO (MXN) - fuente: Resource Master. Supuesto: cada recurso disponible se asume contratado toda la duracion del programa.</t>
  </si>
  <si>
    <t>Costo mensual promedio (MXN)</t>
  </si>
  <si>
    <t>Duracion del programa (meses)</t>
  </si>
  <si>
    <t>Costo total del rol (MXN)</t>
  </si>
  <si>
    <t>TOTAL RECURSOS (MXN)</t>
  </si>
  <si>
    <t>RESUMEN FINANCIERO DEL PROGRAMA</t>
  </si>
  <si>
    <t>Costo total de implementacion (USD):</t>
  </si>
  <si>
    <t>Costo total de recursos (MXN):</t>
  </si>
  <si>
    <t>Beneficio mensual total (USD):</t>
  </si>
  <si>
    <t>Payback en meses (USD implementacion / beneficio mensual USD):</t>
  </si>
  <si>
    <t>Payback en anios:</t>
  </si>
  <si>
    <t>SIMULADOR WMS - 05_DASHBOARD  (panel ejecutivo)</t>
  </si>
  <si>
    <t>DURACION TOTAL (MESES)</t>
  </si>
  <si>
    <t>OBJETIVO (MESES)</t>
  </si>
  <si>
    <t>CUMPLE OBJETIVO?</t>
  </si>
  <si>
    <t>NUMERO DE SITES</t>
  </si>
  <si>
    <t>COSTO IMPLEMENTACION</t>
  </si>
  <si>
    <t>COSTO RECURSOS</t>
  </si>
  <si>
    <t>BENEFICIO MENSUAL</t>
  </si>
  <si>
    <t>PAYBACK (MESES)</t>
  </si>
  <si>
    <t>RECURSOS SOBRECARGADOS</t>
  </si>
  <si>
    <t>SEMAFORO EJECUTIVO:</t>
  </si>
  <si>
    <t>GANTT GENERAL DEL PROGRAMA (todos los Sites, en dias desde el inicio)</t>
  </si>
  <si>
    <t>Inicio (dias offset)</t>
  </si>
  <si>
    <t>Duracion (dias)</t>
  </si>
  <si>
    <t>Fecha inicio</t>
  </si>
  <si>
    <t>Fecha fin</t>
  </si>
  <si>
    <t>Limite objetivo (dias):</t>
  </si>
  <si>
    <t>SIMULADOR WMS - 06_SITE_VIEW  (detalle por Site)</t>
  </si>
  <si>
    <t>Seleccionar Site:</t>
  </si>
  <si>
    <t>Capacidad (Mio HL)</t>
  </si>
  <si>
    <t>Produccion (Mio HL)</t>
  </si>
  <si>
    <t>Volumen distribucion (K HL)</t>
  </si>
  <si>
    <t># Bodegas (Warehouses)</t>
  </si>
  <si>
    <t>Area de bodega</t>
  </si>
  <si>
    <t>Estado WIFI</t>
  </si>
  <si>
    <t>CRONOGRAMA Y FINANCIERO</t>
  </si>
  <si>
    <t>Costo total del site (USD)</t>
  </si>
  <si>
    <t>Payback del site (meses)</t>
  </si>
  <si>
    <t>RECURSOS USADOS POR EL SITE (recurso-semanas por rol)</t>
  </si>
  <si>
    <t>GANTT DE FASES DEL SITE SELECCIONADO</t>
  </si>
  <si>
    <t>Inicio (dias offset del site)</t>
  </si>
  <si>
    <t>fila base (uso interno):</t>
  </si>
  <si>
    <t>SIMULADOR WMS - 07_SCENARIOS  (guardar y comparar escenarios)</t>
  </si>
  <si>
    <t>Como guardar un escenario: ajuste los inputs en 01_INPUTS, revise 05_DASHBOARD, luego copie la fila 'ESCENARIO ACTUAL (en vivo)' de abajo y peguela como VALORES (Ctrl+Alt+V &gt; Valores) en una fila 'Escenario guardado'. El archivo es .xlsx sin macros, por eso el guardado es manual.</t>
  </si>
  <si>
    <t>Nombre</t>
  </si>
  <si>
    <t>Recursos (resumen)</t>
  </si>
  <si>
    <t>Duracion total (meses)</t>
  </si>
  <si>
    <t>Costo implementacion (USD)</t>
  </si>
  <si>
    <t>Payback (meses)</t>
  </si>
  <si>
    <t>Cumple 8 meses?</t>
  </si>
  <si>
    <t>Roles sobrecargados</t>
  </si>
  <si>
    <t>Principal cuello de botella</t>
  </si>
  <si>
    <t>(vacio - pegue aqui un escenario guardado)</t>
  </si>
  <si>
    <t>ESCENARIO RECOMENDADO</t>
  </si>
  <si>
    <t>Escenarios que cumplen &lt;= 8 meses:</t>
  </si>
  <si>
    <t>Costo del escenario recomendado (USD):</t>
  </si>
  <si>
    <t>SIMULADOR WMS - GUIA DEL ARCHIVO</t>
  </si>
  <si>
    <t>QUE ES ESTE ARCHIVO</t>
  </si>
  <si>
    <t>Simulador de escenarios para la implementacion de un programa WMS en 15 sites (7 en Mexico, 8 en Colombia). Construido sobre las pestanas originales del archivo (ENTREGABLES, Sites Master, Financials (USD), Resource Master, Implementation Phases, Phase-Resource Allocation), que no fueron alteradas.</t>
  </si>
  <si>
    <t>Todo el simulador es 100% formulas: no hay valores fijos que representen resultados. Cambiar cualquier input en 01_INPUTS recalcula en cadena el cronograma (02_SCHEDULE), los recursos (03_RESOURCES), los costos (04_COSTS), el tablero (05_DASHBOARD), la vista por site (06_SITE_VIEW) y la comparacion de escenarios (07_SCENARIOS).</t>
  </si>
  <si>
    <t>RELACION ENTRE LAS PESTANAS ORIGINALES</t>
  </si>
  <si>
    <t>Sites Master.Cluster + 01_INPUTS.Deployment Maturity -&gt; Implementation Phases (Cluster, Phase, Deployment Maturity) -&gt; Duration in Weeks por fase.</t>
  </si>
  <si>
    <t>Sites Master.Cluster -&gt; Phase-Resource Allocation (Cluster, Phase) -&gt; Role + Capacity Consumption (recursos requeridos por fase).</t>
  </si>
  <si>
    <t>Phase-Resource Allocation.Role -&gt; Resource Master.Role (sumando las variantes Interno/Externo del mismo rol) -&gt; Average Monthly Cost (MXN) y headcount disponible (Actual / Escenario 1).</t>
  </si>
  <si>
    <t>Sites Master.Brewery (nombre del site) -&gt; Financials (USD).Brewery -&gt; Benefits per month, Implementation Costs, Devices, Forklift Structure, Warehouse Signage, Labels (suman 'Costs without Labelers &amp; WiFi'), mas las opciones alternativas de etiquetado (Label Printers/Labelers o Manual Labeling) y de WiFi (Full, Full Optimized, Prioritized) que se eligen en 01_INPUTS.</t>
  </si>
  <si>
    <t>ENTREGABLES define el objetivo (8 meses) y el criterio de exito (menor costo entre los que cumplen); ambos estan parametrizados en 01_INPUTS y en la regla de recomendacion de 07_SCENARIOS.</t>
  </si>
  <si>
    <t>FLUJO DE USO</t>
  </si>
  <si>
    <t>1) Ajuste los parametros en 01_INPUTS (nombre del escenario, fecha de inicio, Deployment Maturity, sites en paralelo, fuente de recursos, metodo de etiquetado, estrategia de WiFi, prioridad de sites, recursos disponibles por rol).</t>
  </si>
  <si>
    <t>2) Revise 02_SCHEDULE para ver el cronograma resultante por site y fase.</t>
  </si>
  <si>
    <t>3) Revise 03_RESOURCES para ver la utilizacion semanal por rol y los cuellos de botella.</t>
  </si>
  <si>
    <t>4) Revise 04_COSTS para ver el costo por site, por recurso y el payback.</t>
  </si>
  <si>
    <t>5) Revise 05_DASHBOARD para el resumen ejecutivo y el Gantt general contra la meta de 8 meses.</t>
  </si>
  <si>
    <t>6) Use 06_SITE_VIEW para inspeccionar el detalle de un site especifico.</t>
  </si>
  <si>
    <t>7) Cuando el escenario le sirva de referencia, copie la fila 'ESCENARIO ACTUAL' de 07_SCENARIOS y peguela como VALORES en una fila de 'Escenario guardado' para compararla contra otros escenarios.</t>
  </si>
  <si>
    <t>SUPUESTOS Y DECISIONES DOCUMENTADAS</t>
  </si>
  <si>
    <t>Paralelismo de sites: el archivo original no trae un algoritmo de nivelacion de recursos, asi que se modelo con una regla de 'N sitios en paralelo' (N = input editable 'Max. Sites en paralelo'). Los sites arrancan en el orden de prioridad definido en 01_INPUTS y cada uno inicia apenas se libera un cupo. El usuario ajusta N y observa el semaforo de utilizacion en 03_RESOURCES para encontrar un balance razonable; no es un optimizador automatico de recursos.</t>
  </si>
  <si>
    <t>Cluster 4 / Site 12: no tiene filas en 'Phase-Resource Allocation' en el archivo original. Su demanda de recursos se calcula en 0 en 03_RESOURCES; no se inventaron datos para cubrir ese vacio.</t>
  </si>
  <si>
    <t>Monedas: los costos de sites (Financials (USD)) estan en USD y los costos de recursos (Resource Master) estan en MXN en los datos originales, sin tipo de cambio provisto. Por eso se muestran y sumarizan por separado en 04_COSTS, y el payback usa unicamente los montos en USD (implementacion vs beneficio mensual).</t>
  </si>
  <si>
    <t>Costo por recurso: se asume que cada recurso disponible esta contratado durante toda la duracion del programa (no hay un calendario de asignacion individual en el archivo original). Cuando un rol tiene variantes Interno/Externo con costos distintos (ej. Infrastructure Lead), se usa el promedio simple de esos costos ya que 'Disponible' agrupa ambas variantes en un solo headcount.</t>
  </si>
  <si>
    <t>Guardado de escenarios: el archivo se entrega en formato .xlsx (sin macros), por lo que 'guardar un escenario' es un copiar y pegar como valores de la fila en vivo hacia una fila de escenario guardado en 07_SCENARIOS, en vez de un boton automatico.</t>
  </si>
  <si>
    <t>Matriz de utilizacion semanal: se modelaron 150 semanas (~2.9 anios) para cubrir escenarios razonables de paralelismo. Si 'Duracion total (semanas)' en 02_SCHEDULE supera 150 (por ejemplo con Max. Sites en paralelo = 1), la matriz de 03_RESOURCES no cubrira todas las semanas del programa.</t>
  </si>
  <si>
    <t>MAPA DE PESTANAS NUEVAS</t>
  </si>
  <si>
    <t>01_INPUTS: todos los parametros editables del escenario (celdas azules).</t>
  </si>
  <si>
    <t>02_SCHEDULE: cronograma calculado por site y fase (fechas, semanas, secuencia).</t>
  </si>
  <si>
    <t>03_RESOURCES: disponibilidad vs demanda semanal por rol, semaforos y cuellos de botella.</t>
  </si>
  <si>
    <t>04_COSTS: costo por site (USD), costo por recurso (MXN), beneficio y payback.</t>
  </si>
  <si>
    <t>05_DASHBOARD: panel ejecutivo con KPIs, semaforo y Gantt general contra la meta de 8 meses.</t>
  </si>
  <si>
    <t>06_SITE_VIEW: selector de site con su informacion, cronograma, costos, recursos y Gantt de fases.</t>
  </si>
  <si>
    <t>07_SCENARIOS: tabla comparativa de escenarios y la recomendacion (cumple 8 meses + menor costo).</t>
  </si>
  <si>
    <t>Costo Recursos (MXN)</t>
  </si>
  <si>
    <t>ESCENARIO OPTIMO  -  menor costo posible cumpliendo &lt;= 8 meses (busqueda sobre variables existentes del simulador)</t>
  </si>
  <si>
    <t>Encontrado evaluando 54 combinaciones de Deployment Maturity, Max. Sites en paralelo (con headcount minimo sin sobrecarga en cada una) y verificacion local con reordenamiento de prioridad de sites. No modifica el Escenario Actual (01_INPUTS); queda guardado como fila en 07_SCENARIOS.</t>
  </si>
  <si>
    <t>ESCENARIO OPTIMO</t>
  </si>
  <si>
    <t>DURACION TOTAL (SEMANAS)</t>
  </si>
  <si>
    <t>DURACION (MESES)</t>
  </si>
  <si>
    <t>COSTO IMPLEMENTACION (USD)</t>
  </si>
  <si>
    <t>COSTO RECURSOS (MXN)</t>
  </si>
  <si>
    <t>CUMPLE 8 MESES?</t>
  </si>
  <si>
    <t>AHORRO EN IMPLEMENTACION (USD) vs Escenario Actual</t>
  </si>
  <si>
    <t>RECURSOS REQUERIDOS (headcount total)</t>
  </si>
  <si>
    <t>UTILIZACION MAXIMA DE RECURSOS</t>
  </si>
  <si>
    <t>ROLES SOBRECARGADOS</t>
  </si>
  <si>
    <t>COSTO RECURSOS ESCENARIO ACTUAL (MXN, referencia)</t>
  </si>
  <si>
    <t>CONFIGURACION GANADORA</t>
  </si>
  <si>
    <t>Variable</t>
  </si>
  <si>
    <t>Valor optimo</t>
  </si>
  <si>
    <t>Max. Sites en paralelo</t>
  </si>
  <si>
    <t>Metodo de etiquetado</t>
  </si>
  <si>
    <t>Estrategia de WiFi</t>
  </si>
  <si>
    <t>9.5 personas</t>
  </si>
  <si>
    <t>24 personas</t>
  </si>
  <si>
    <t>0 personas</t>
  </si>
  <si>
    <t>14 personas</t>
  </si>
  <si>
    <t>Otros recursos existentes</t>
  </si>
  <si>
    <t>Warehouse Manager Org A: 0  |  Change Management Lead: 14  |  SAP Integrations Specialist: 9.5  |  Azure Specialist: 9.5  |  Testing Lead: 9.5  |  Trainers: 36  |  Functional Lead Vendor A: 9.5  |  Support Lead: 0</t>
  </si>
  <si>
    <t>GANTT DEL ESCENARIO OPTIMO (todos los sites inician en paralelo)</t>
  </si>
  <si>
    <t>COSTO POR SITE - ESCENARIO OPTIMO (USD)</t>
  </si>
  <si>
    <t>Costo (USD)</t>
  </si>
  <si>
    <t>TOTAL</t>
  </si>
  <si>
    <t>Disponible</t>
  </si>
  <si>
    <t>Costo mensual (MXN)</t>
  </si>
  <si>
    <t>Costo total (MXN)</t>
  </si>
  <si>
    <t>COSTO TOTAL - ESCENARIO OPTIMO</t>
  </si>
  <si>
    <t>Costo implementacion (USD):</t>
  </si>
  <si>
    <t>Costo recursos (MXN):</t>
  </si>
  <si>
    <t>COSTO POR RECURSO - ESCENARIO OPTIMO (MXN)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</si>
</sst>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_-;\-* #,##0_-;_-* &quot;-&quot;??_-;_-@_-"/>
    <numFmt numFmtId="165" formatCode="0.0"/>
    <numFmt numFmtId="166" formatCode="&quot;$&quot;#,##0&quot; USD&quot;"/>
    <numFmt numFmtId="167" formatCode="&quot;$&quot;#,##0&quot; MXN&quot;"/>
    <numFmt numFmtId="168" formatCode="&quot;$&quot;#,##0&quot; USD&quot;;&quot;$&quot;#,##0&quot; USD&quot;;@"/>
  </numFmts>
  <fonts count="38" x14ac:knownFonts="1">
    <font>
      <sz val="11"/>
      <color theme="1"/>
      <name val="Aptos Narrow"/>
      <family val="2"/>
      <scheme val="minor"/>
    </font>
    <font>
      <sz val="11"/>
      <color theme="1"/>
      <name val="Aptos Narrow"/>
      <family val="2"/>
      <scheme val="minor"/>
    </font>
    <font>
      <b/>
      <sz val="10"/>
      <color theme="0"/>
      <name val="Calibri"/>
      <family val="2"/>
    </font>
    <font>
      <sz val="10"/>
      <color theme="1"/>
      <name val="Calibri"/>
      <family val="2"/>
    </font>
    <font>
      <sz val="10"/>
      <color theme="1"/>
      <name val="Aptos Narrow"/>
      <family val="2"/>
      <scheme val="minor"/>
    </font>
    <font>
      <b/>
      <sz val="10"/>
      <color theme="1"/>
      <name val="Aptos Narrow"/>
      <family val="2"/>
      <scheme val="minor"/>
    </font>
    <font>
      <sz val="10"/>
      <color rgb="FF000000"/>
      <name val="Calibri"/>
      <family val="2"/>
    </font>
    <font>
      <b/>
      <sz val="11"/>
      <color theme="1"/>
      <name val="Aptos Narrow"/>
      <family val="2"/>
      <scheme val="minor"/>
    </font>
    <font>
      <b/>
      <sz val="8"/>
      <name val="Segoe UI"/>
      <family val="2"/>
    </font>
    <font>
      <sz val="8"/>
      <name val="Segoe UI"/>
      <family val="2"/>
    </font>
    <font>
      <b/>
      <sz val="14"/>
      <color rgb="FFFFFFFF"/>
      <name val="Calibri"/>
      <family val="2"/>
    </font>
    <font>
      <i/>
      <sz val="9"/>
      <color theme="1"/>
      <name val="Aptos Narrow"/>
      <family val="2"/>
      <scheme val="minor"/>
    </font>
    <font>
      <b/>
      <sz val="11"/>
      <color rgb="FFFFFFFF"/>
      <name val="Aptos Narrow"/>
      <family val="2"/>
      <scheme val="minor"/>
    </font>
    <font>
      <b/>
      <sz val="11"/>
      <color rgb="FF0000FF"/>
      <name val="Aptos Narrow"/>
      <family val="2"/>
      <scheme val="minor"/>
    </font>
    <font>
      <sz val="8"/>
      <color theme="1"/>
      <name val="Aptos Narrow"/>
      <family val="2"/>
      <scheme val="minor"/>
    </font>
    <font>
      <b/>
      <sz val="8"/>
      <color theme="1"/>
      <name val="Aptos Narrow"/>
      <family val="2"/>
      <scheme val="minor"/>
    </font>
    <font>
      <sz val="11"/>
      <color rgb="FF0000FF"/>
      <name val="Aptos Narrow"/>
      <family val="2"/>
      <scheme val="minor"/>
    </font>
    <font>
      <i/>
      <sz val="8"/>
      <color rgb="FF808080"/>
      <name val="Aptos Narrow"/>
      <family val="2"/>
      <scheme val="minor"/>
    </font>
    <font>
      <sz val="11"/>
      <color rgb="FF008000"/>
      <name val="Aptos Narrow"/>
      <family val="2"/>
      <scheme val="minor"/>
    </font>
    <font>
      <sz val="9"/>
      <color theme="1"/>
      <name val="Aptos Narrow"/>
      <family val="2"/>
      <scheme val="minor"/>
    </font>
    <font>
      <sz val="8"/>
      <color rgb="FF808080"/>
      <name val="Aptos Narrow"/>
      <family val="2"/>
      <scheme val="minor"/>
    </font>
    <font>
      <b/>
      <sz val="8"/>
      <color rgb="FF808080"/>
      <name val="Aptos Narrow"/>
      <family val="2"/>
      <scheme val="minor"/>
    </font>
    <font>
      <i/>
      <sz val="8"/>
      <color rgb="FFC80000"/>
      <name val="Aptos Narrow"/>
      <family val="2"/>
      <scheme val="minor"/>
    </font>
    <font>
      <b/>
      <sz val="11"/>
      <color rgb="FFC80000"/>
      <name val="Aptos Narrow"/>
      <family val="2"/>
      <scheme val="minor"/>
    </font>
    <font>
      <b/>
      <sz val="11"/>
      <color rgb="FF008000"/>
      <name val="Aptos Narrow"/>
      <family val="2"/>
      <scheme val="minor"/>
    </font>
    <font>
      <i/>
      <sz val="11"/>
      <color theme="1"/>
      <name val="Aptos Narrow"/>
      <family val="2"/>
      <scheme val="minor"/>
    </font>
    <font>
      <sz val="8"/>
      <color rgb="FF5A5A5A"/>
      <name val="Aptos Narrow"/>
      <family val="2"/>
      <scheme val="minor"/>
    </font>
    <font>
      <b/>
      <sz val="14"/>
      <color theme="1"/>
      <name val="Aptos Narrow"/>
      <family val="2"/>
      <scheme val="minor"/>
    </font>
    <font>
      <b/>
      <sz val="14"/>
      <color rgb="FFC80000"/>
      <name val="Aptos Narrow"/>
      <family val="2"/>
      <scheme val="minor"/>
    </font>
    <font>
      <b/>
      <sz val="12"/>
      <color theme="1"/>
      <name val="Aptos Narrow"/>
      <family val="2"/>
      <scheme val="minor"/>
    </font>
    <font>
      <b/>
      <sz val="12"/>
      <color rgb="FF0000FF"/>
      <name val="Aptos Narrow"/>
      <family val="2"/>
      <scheme val="minor"/>
    </font>
    <font>
      <i/>
      <sz val="8"/>
      <color rgb="FF5A5A5A"/>
      <name val="Aptos Narrow"/>
      <family val="2"/>
      <scheme val="minor"/>
    </font>
    <font>
      <i/>
      <sz val="11"/>
      <color rgb="FF808080"/>
      <name val="Aptos Narrow"/>
      <family val="2"/>
      <scheme val="minor"/>
    </font>
    <font>
      <b/>
      <sz val="12"/>
      <color rgb="FFFFFFFF"/>
      <name val="Aptos Narrow"/>
      <family val="2"/>
      <scheme val="minor"/>
    </font>
    <font>
      <b/>
      <sz val="12"/>
      <color rgb="FF1F4E79"/>
      <name val="Aptos Narrow"/>
      <family val="2"/>
      <scheme val="minor"/>
    </font>
    <font>
      <b/>
      <sz val="11"/>
      <color rgb="FF000000"/>
      <name val="Aptos Narrow"/>
      <family val="2"/>
      <scheme val="minor"/>
    </font>
    <font>
      <b/>
      <sz val="13"/>
      <color theme="1"/>
      <name val="Aptos Narrow"/>
      <family val="2"/>
      <scheme val="minor"/>
    </font>
    <font>
      <b/>
      <sz val="13"/>
      <color rgb="FF0080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rgb="FF0A3A6B"/>
        <bgColor indexed="64"/>
      </patternFill>
    </fill>
    <fill>
      <patternFill patternType="solid">
        <fgColor rgb="FF003C96"/>
        <bgColor indexed="64"/>
      </patternFill>
    </fill>
    <fill>
      <patternFill patternType="solid">
        <fgColor rgb="FFFFFFCC"/>
        <bgColor indexed="64"/>
      </patternFill>
    </fill>
    <fill>
      <patternFill patternType="solid">
        <fgColor rgb="FF4B4B4B"/>
        <bgColor indexed="64"/>
      </patternFill>
    </fill>
    <fill>
      <patternFill patternType="solid">
        <fgColor rgb="FFEBEBEB"/>
        <bgColor indexed="64"/>
      </patternFill>
    </fill>
    <fill>
      <patternFill patternType="solid">
        <fgColor rgb="FFF5F5F5"/>
        <bgColor indexed="64"/>
      </patternFill>
    </fill>
    <fill>
      <patternFill patternType="solid">
        <fgColor rgb="FFDDEBF7"/>
        <bgColor indexed="64"/>
      </patternFill>
    </fill>
    <fill>
      <patternFill patternType="solid">
        <fgColor rgb="FFC6EFCE"/>
        <bgColor indexed="64"/>
      </patternFill>
    </fill>
    <fill>
      <patternFill patternType="solid">
        <fgColor rgb="FF1E5A28"/>
        <bgColor indexed="64"/>
      </patternFill>
    </fill>
    <fill>
      <patternFill patternType="solid">
        <fgColor rgb="FFEBF5EE"/>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4">
    <xf numFmtId="0" fontId="0" fillId="0" borderId="0"/>
    <xf numFmtId="43" fontId="1" fillId="0" borderId="0"/>
    <xf numFmtId="9" fontId="1" fillId="0" borderId="0"/>
    <xf numFmtId="44" fontId="1" fillId="0" borderId="0" applyFont="0" applyFill="0" applyBorder="0" applyAlignment="0" applyProtection="0"/>
  </cellStyleXfs>
  <cellXfs count="134">
    <xf numFmtId="0" fontId="0" fillId="0" borderId="0" xfId="0"/>
    <xf numFmtId="0" fontId="3" fillId="0" borderId="0" xfId="0" applyFont="1" applyAlignment="1">
      <alignment horizontal="center" vertical="center"/>
    </xf>
    <xf numFmtId="9" fontId="3" fillId="0" borderId="0" xfId="2" applyFont="1"/>
    <xf numFmtId="0" fontId="3" fillId="0" borderId="0" xfId="0" applyFont="1"/>
    <xf numFmtId="0" fontId="3" fillId="0" borderId="0" xfId="0" applyFont="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5" fillId="0" borderId="1" xfId="0" applyFont="1" applyBorder="1"/>
    <xf numFmtId="43" fontId="3" fillId="0" borderId="1" xfId="1" applyFont="1" applyBorder="1" applyAlignment="1">
      <alignment horizontal="center"/>
    </xf>
    <xf numFmtId="164" fontId="3" fillId="0" borderId="1" xfId="1" applyNumberFormat="1" applyFont="1" applyBorder="1" applyAlignment="1">
      <alignment horizontal="center"/>
    </xf>
    <xf numFmtId="9" fontId="3" fillId="0" borderId="1" xfId="2" applyFont="1" applyBorder="1" applyAlignment="1">
      <alignment horizontal="center"/>
    </xf>
    <xf numFmtId="0" fontId="3" fillId="0" borderId="1" xfId="0" applyFont="1" applyBorder="1" applyAlignment="1">
      <alignment horizontal="center"/>
    </xf>
    <xf numFmtId="0" fontId="6" fillId="2" borderId="1" xfId="0" applyFont="1" applyFill="1" applyBorder="1" applyAlignment="1">
      <alignment horizontal="center" vertical="center" wrapText="1" readingOrder="1"/>
    </xf>
    <xf numFmtId="0" fontId="3" fillId="0" borderId="1" xfId="0" applyFont="1" applyBorder="1"/>
    <xf numFmtId="0" fontId="4" fillId="0" borderId="1" xfId="0" applyFont="1" applyBorder="1" applyAlignment="1">
      <alignment horizontal="center"/>
    </xf>
    <xf numFmtId="43" fontId="3" fillId="0" borderId="0" xfId="0" applyNumberFormat="1" applyFont="1"/>
    <xf numFmtId="9" fontId="3" fillId="0" borderId="0" xfId="0" applyNumberFormat="1" applyFont="1" applyAlignment="1">
      <alignment horizontal="center"/>
    </xf>
    <xf numFmtId="0" fontId="4" fillId="0" borderId="1" xfId="0" applyFont="1" applyBorder="1" applyAlignment="1">
      <alignment vertical="center"/>
    </xf>
    <xf numFmtId="0" fontId="2" fillId="3" borderId="1" xfId="0" applyFont="1" applyFill="1" applyBorder="1" applyAlignment="1">
      <alignment horizontal="center"/>
    </xf>
    <xf numFmtId="9" fontId="3" fillId="0" borderId="1" xfId="0" applyNumberFormat="1" applyFont="1" applyBorder="1" applyAlignment="1">
      <alignment horizontal="center"/>
    </xf>
    <xf numFmtId="164" fontId="3" fillId="4" borderId="1" xfId="1" applyNumberFormat="1" applyFont="1" applyFill="1" applyBorder="1" applyAlignment="1">
      <alignment horizontal="center"/>
    </xf>
    <xf numFmtId="164" fontId="3" fillId="0" borderId="0" xfId="0" applyNumberFormat="1" applyFont="1"/>
    <xf numFmtId="44" fontId="3" fillId="0" borderId="1" xfId="3" applyFont="1" applyFill="1" applyBorder="1" applyAlignment="1">
      <alignment horizontal="center"/>
    </xf>
    <xf numFmtId="0" fontId="0" fillId="0" borderId="0" xfId="0" applyAlignment="1">
      <alignment horizontal="center"/>
    </xf>
    <xf numFmtId="0" fontId="8" fillId="0" borderId="0" xfId="0" applyFont="1" applyAlignment="1">
      <alignment horizontal="left" vertical="center" indent="2"/>
    </xf>
    <xf numFmtId="0" fontId="7" fillId="0" borderId="0" xfId="0" applyFont="1" applyAlignment="1">
      <alignment horizontal="center" vertical="center"/>
    </xf>
    <xf numFmtId="9" fontId="0" fillId="0" borderId="0" xfId="0" applyNumberFormat="1" applyAlignment="1">
      <alignment horizontal="center"/>
    </xf>
    <xf numFmtId="9" fontId="1" fillId="0" borderId="0" xfId="2" applyAlignment="1">
      <alignment horizontal="center"/>
    </xf>
    <xf numFmtId="9" fontId="7" fillId="0" borderId="0" xfId="0" applyNumberFormat="1" applyFont="1" applyAlignment="1">
      <alignment horizontal="center" vertical="center"/>
    </xf>
    <xf numFmtId="9" fontId="0" fillId="0" borderId="0" xfId="0" applyNumberFormat="1" applyAlignment="1">
      <alignment horizontal="center" vertical="center"/>
    </xf>
    <xf numFmtId="9" fontId="1" fillId="0" borderId="0" xfId="2" applyAlignment="1">
      <alignment horizontal="center" vertical="center"/>
    </xf>
    <xf numFmtId="0" fontId="0" fillId="0" borderId="0" xfId="0" applyAlignment="1">
      <alignment horizontal="center" vertical="center"/>
    </xf>
    <xf numFmtId="0" fontId="11" fillId="0" borderId="0" xfId="0" applyFont="1"/>
    <xf numFmtId="0" fontId="0" fillId="0" borderId="0" xfId="0" applyAlignment="1">
      <alignment wrapText="1"/>
    </xf>
    <xf numFmtId="0" fontId="13" fillId="7" borderId="0" xfId="0" applyFont="1" applyFill="1" applyAlignment="1">
      <alignment horizontal="center"/>
    </xf>
    <xf numFmtId="1" fontId="13" fillId="7" borderId="0" xfId="0" applyNumberFormat="1" applyFont="1" applyFill="1" applyAlignment="1">
      <alignment horizontal="center"/>
    </xf>
    <xf numFmtId="0" fontId="14" fillId="0" borderId="0" xfId="0" applyFont="1"/>
    <xf numFmtId="0" fontId="15" fillId="0" borderId="0" xfId="0" applyFont="1"/>
    <xf numFmtId="0" fontId="17" fillId="0" borderId="0" xfId="0" applyFont="1"/>
    <xf numFmtId="0" fontId="12" fillId="8" borderId="1" xfId="0" applyFont="1" applyFill="1" applyBorder="1" applyAlignment="1">
      <alignment horizontal="center"/>
    </xf>
    <xf numFmtId="0" fontId="12" fillId="8"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16" fillId="7" borderId="1" xfId="0" applyFont="1" applyFill="1" applyBorder="1" applyAlignment="1">
      <alignment horizontal="center"/>
    </xf>
    <xf numFmtId="0" fontId="7" fillId="0" borderId="1" xfId="0" applyFont="1" applyBorder="1" applyAlignment="1">
      <alignment horizontal="center"/>
    </xf>
    <xf numFmtId="0" fontId="13" fillId="7" borderId="1" xfId="0" applyFont="1" applyFill="1" applyBorder="1" applyAlignment="1">
      <alignment horizontal="center"/>
    </xf>
    <xf numFmtId="0" fontId="7" fillId="0" borderId="0" xfId="0" applyFont="1"/>
    <xf numFmtId="0" fontId="18" fillId="0" borderId="0" xfId="0" applyFont="1"/>
    <xf numFmtId="1" fontId="18" fillId="0" borderId="0" xfId="0" applyNumberFormat="1" applyFont="1"/>
    <xf numFmtId="165" fontId="18" fillId="0" borderId="0" xfId="0" applyNumberFormat="1" applyFont="1"/>
    <xf numFmtId="0" fontId="19" fillId="0" borderId="1" xfId="0" applyFont="1" applyBorder="1"/>
    <xf numFmtId="0" fontId="20" fillId="0" borderId="0" xfId="0" applyFont="1"/>
    <xf numFmtId="0" fontId="20" fillId="0" borderId="1" xfId="0" applyFont="1" applyBorder="1"/>
    <xf numFmtId="0" fontId="19" fillId="9" borderId="1" xfId="0" applyFont="1" applyFill="1" applyBorder="1"/>
    <xf numFmtId="14" fontId="13" fillId="7" borderId="0" xfId="0" applyNumberFormat="1" applyFont="1" applyFill="1" applyAlignment="1">
      <alignment horizontal="center"/>
    </xf>
    <xf numFmtId="14" fontId="0" fillId="0" borderId="0" xfId="0" applyNumberFormat="1"/>
    <xf numFmtId="14" fontId="18" fillId="0" borderId="0" xfId="0" applyNumberFormat="1" applyFont="1"/>
    <xf numFmtId="14" fontId="19" fillId="0" borderId="1" xfId="0" applyNumberFormat="1" applyFont="1" applyBorder="1"/>
    <xf numFmtId="14" fontId="19" fillId="9" borderId="1" xfId="0" applyNumberFormat="1" applyFont="1" applyFill="1" applyBorder="1"/>
    <xf numFmtId="0" fontId="21" fillId="8" borderId="1" xfId="0" applyFont="1" applyFill="1" applyBorder="1" applyAlignment="1">
      <alignment horizontal="center"/>
    </xf>
    <xf numFmtId="9" fontId="20" fillId="0" borderId="0" xfId="0" applyNumberFormat="1" applyFont="1"/>
    <xf numFmtId="9" fontId="0" fillId="0" borderId="0" xfId="0" applyNumberFormat="1"/>
    <xf numFmtId="9" fontId="12" fillId="8" borderId="1" xfId="0" applyNumberFormat="1" applyFont="1" applyFill="1" applyBorder="1" applyAlignment="1">
      <alignment horizontal="center"/>
    </xf>
    <xf numFmtId="9" fontId="0" fillId="0" borderId="1" xfId="0" applyNumberFormat="1" applyBorder="1"/>
    <xf numFmtId="0" fontId="23" fillId="0" borderId="0" xfId="0" applyFont="1"/>
    <xf numFmtId="9" fontId="23" fillId="0" borderId="0" xfId="0" applyNumberFormat="1" applyFont="1"/>
    <xf numFmtId="166" fontId="0" fillId="0" borderId="1" xfId="0" applyNumberFormat="1" applyBorder="1"/>
    <xf numFmtId="166" fontId="7" fillId="0" borderId="1" xfId="0" applyNumberFormat="1" applyFont="1" applyBorder="1"/>
    <xf numFmtId="166" fontId="24" fillId="0" borderId="0" xfId="0" applyNumberFormat="1" applyFont="1"/>
    <xf numFmtId="1" fontId="12" fillId="8" borderId="1" xfId="0" applyNumberFormat="1" applyFont="1" applyFill="1" applyBorder="1" applyAlignment="1">
      <alignment horizontal="center" wrapText="1"/>
    </xf>
    <xf numFmtId="167" fontId="0" fillId="0" borderId="1" xfId="0" applyNumberFormat="1" applyBorder="1"/>
    <xf numFmtId="165" fontId="0" fillId="0" borderId="1" xfId="0" applyNumberFormat="1" applyBorder="1"/>
    <xf numFmtId="167" fontId="7" fillId="0" borderId="1" xfId="0" applyNumberFormat="1" applyFont="1" applyBorder="1"/>
    <xf numFmtId="167" fontId="24" fillId="0" borderId="0" xfId="0" applyNumberFormat="1" applyFont="1"/>
    <xf numFmtId="0" fontId="7" fillId="0" borderId="0" xfId="0" applyFont="1" applyAlignment="1">
      <alignment wrapText="1"/>
    </xf>
    <xf numFmtId="166" fontId="24" fillId="0" borderId="0" xfId="0" applyNumberFormat="1" applyFont="1" applyAlignment="1">
      <alignment wrapText="1"/>
    </xf>
    <xf numFmtId="167" fontId="24" fillId="0" borderId="0" xfId="0" applyNumberFormat="1" applyFont="1" applyAlignment="1">
      <alignment wrapText="1"/>
    </xf>
    <xf numFmtId="165" fontId="24" fillId="0" borderId="0" xfId="0" applyNumberFormat="1" applyFont="1" applyAlignment="1">
      <alignment wrapText="1"/>
    </xf>
    <xf numFmtId="0" fontId="26" fillId="10" borderId="1" xfId="0" applyFont="1" applyFill="1" applyBorder="1" applyAlignment="1">
      <alignment horizontal="center" wrapText="1"/>
    </xf>
    <xf numFmtId="165" fontId="27" fillId="10" borderId="1" xfId="0" applyNumberFormat="1" applyFont="1" applyFill="1" applyBorder="1" applyAlignment="1">
      <alignment horizontal="center"/>
    </xf>
    <xf numFmtId="1" fontId="27" fillId="10" borderId="1" xfId="0" applyNumberFormat="1" applyFont="1" applyFill="1" applyBorder="1" applyAlignment="1">
      <alignment horizontal="center"/>
    </xf>
    <xf numFmtId="166" fontId="27" fillId="10" borderId="1" xfId="0" applyNumberFormat="1" applyFont="1" applyFill="1" applyBorder="1" applyAlignment="1">
      <alignment horizontal="center"/>
    </xf>
    <xf numFmtId="167" fontId="27" fillId="10" borderId="1" xfId="0" applyNumberFormat="1" applyFont="1" applyFill="1" applyBorder="1" applyAlignment="1">
      <alignment horizontal="center"/>
    </xf>
    <xf numFmtId="0" fontId="28" fillId="10" borderId="1" xfId="0" applyFont="1" applyFill="1" applyBorder="1" applyAlignment="1">
      <alignment horizontal="center"/>
    </xf>
    <xf numFmtId="1" fontId="28" fillId="10" borderId="1" xfId="0" applyNumberFormat="1" applyFont="1" applyFill="1" applyBorder="1" applyAlignment="1">
      <alignment horizontal="center"/>
    </xf>
    <xf numFmtId="0" fontId="29" fillId="0" borderId="0" xfId="0" applyFont="1"/>
    <xf numFmtId="1" fontId="0" fillId="0" borderId="0" xfId="0" applyNumberFormat="1"/>
    <xf numFmtId="14" fontId="12" fillId="8" borderId="1" xfId="0" applyNumberFormat="1" applyFont="1" applyFill="1" applyBorder="1" applyAlignment="1">
      <alignment horizontal="center"/>
    </xf>
    <xf numFmtId="14" fontId="0" fillId="0" borderId="1" xfId="0" applyNumberFormat="1" applyBorder="1"/>
    <xf numFmtId="1" fontId="0" fillId="0" borderId="1" xfId="0" applyNumberFormat="1" applyBorder="1"/>
    <xf numFmtId="0" fontId="30" fillId="7" borderId="0" xfId="0" applyFont="1" applyFill="1"/>
    <xf numFmtId="2" fontId="0" fillId="0" borderId="1" xfId="0" applyNumberFormat="1" applyBorder="1"/>
    <xf numFmtId="3" fontId="0" fillId="0" borderId="1" xfId="0" applyNumberFormat="1" applyBorder="1"/>
    <xf numFmtId="0" fontId="7" fillId="0" borderId="1" xfId="0" applyFont="1" applyBorder="1"/>
    <xf numFmtId="0" fontId="7" fillId="11" borderId="1" xfId="0" applyFont="1" applyFill="1" applyBorder="1"/>
    <xf numFmtId="165" fontId="7" fillId="11" borderId="1" xfId="0" applyNumberFormat="1" applyFont="1" applyFill="1" applyBorder="1"/>
    <xf numFmtId="166" fontId="7" fillId="11" borderId="1" xfId="0" applyNumberFormat="1" applyFont="1" applyFill="1" applyBorder="1"/>
    <xf numFmtId="0" fontId="32" fillId="7" borderId="1" xfId="0" applyFont="1" applyFill="1" applyBorder="1"/>
    <xf numFmtId="0" fontId="0" fillId="7" borderId="1" xfId="0" applyFill="1" applyBorder="1"/>
    <xf numFmtId="165" fontId="0" fillId="7" borderId="1" xfId="0" applyNumberFormat="1" applyFill="1" applyBorder="1"/>
    <xf numFmtId="166" fontId="0" fillId="7" borderId="1" xfId="0" applyNumberFormat="1" applyFill="1" applyBorder="1"/>
    <xf numFmtId="168" fontId="24" fillId="0" borderId="0" xfId="0" applyNumberFormat="1" applyFont="1"/>
    <xf numFmtId="0" fontId="34" fillId="0" borderId="0" xfId="0" applyFont="1"/>
    <xf numFmtId="0" fontId="0" fillId="0" borderId="0" xfId="0" applyAlignment="1">
      <alignment vertical="top" wrapText="1"/>
    </xf>
    <xf numFmtId="167" fontId="7" fillId="11" borderId="1" xfId="0" applyNumberFormat="1" applyFont="1" applyFill="1" applyBorder="1"/>
    <xf numFmtId="0" fontId="35" fillId="12" borderId="1" xfId="0" applyFont="1" applyFill="1" applyBorder="1"/>
    <xf numFmtId="165" fontId="35" fillId="12" borderId="1" xfId="0" applyNumberFormat="1" applyFont="1" applyFill="1" applyBorder="1"/>
    <xf numFmtId="166" fontId="35" fillId="12" borderId="1" xfId="0" applyNumberFormat="1" applyFont="1" applyFill="1" applyBorder="1"/>
    <xf numFmtId="1" fontId="35" fillId="12" borderId="1" xfId="0" applyNumberFormat="1" applyFont="1" applyFill="1" applyBorder="1"/>
    <xf numFmtId="167" fontId="35" fillId="12" borderId="1" xfId="0" applyNumberFormat="1" applyFont="1" applyFill="1" applyBorder="1"/>
    <xf numFmtId="0" fontId="26" fillId="14" borderId="1" xfId="0" applyFont="1" applyFill="1" applyBorder="1" applyAlignment="1">
      <alignment horizontal="center" wrapText="1"/>
    </xf>
    <xf numFmtId="0" fontId="36" fillId="14" borderId="1" xfId="0" applyFont="1" applyFill="1" applyBorder="1" applyAlignment="1">
      <alignment horizontal="center"/>
    </xf>
    <xf numFmtId="1" fontId="36" fillId="14" borderId="1" xfId="0" applyNumberFormat="1" applyFont="1" applyFill="1" applyBorder="1" applyAlignment="1">
      <alignment horizontal="center"/>
    </xf>
    <xf numFmtId="165" fontId="36" fillId="14" borderId="1" xfId="0" applyNumberFormat="1" applyFont="1" applyFill="1" applyBorder="1" applyAlignment="1">
      <alignment horizontal="center"/>
    </xf>
    <xf numFmtId="166" fontId="36" fillId="14" borderId="1" xfId="0" applyNumberFormat="1" applyFont="1" applyFill="1" applyBorder="1" applyAlignment="1">
      <alignment horizontal="center"/>
    </xf>
    <xf numFmtId="167" fontId="36" fillId="14" borderId="1" xfId="0" applyNumberFormat="1" applyFont="1" applyFill="1" applyBorder="1" applyAlignment="1">
      <alignment horizontal="center"/>
    </xf>
    <xf numFmtId="0" fontId="37" fillId="14" borderId="1" xfId="0" applyFont="1" applyFill="1" applyBorder="1" applyAlignment="1">
      <alignment horizontal="center"/>
    </xf>
    <xf numFmtId="166" fontId="37" fillId="14" borderId="1" xfId="0" applyNumberFormat="1" applyFont="1" applyFill="1" applyBorder="1" applyAlignment="1">
      <alignment horizontal="center"/>
    </xf>
    <xf numFmtId="9" fontId="36" fillId="14" borderId="1" xfId="0" applyNumberFormat="1" applyFont="1" applyFill="1" applyBorder="1" applyAlignment="1">
      <alignment horizontal="center"/>
    </xf>
    <xf numFmtId="1" fontId="37" fillId="14" borderId="1" xfId="0" applyNumberFormat="1" applyFont="1" applyFill="1" applyBorder="1" applyAlignment="1">
      <alignment horizontal="center"/>
    </xf>
    <xf numFmtId="0" fontId="0" fillId="0" borderId="1" xfId="0" applyBorder="1" applyAlignment="1">
      <alignment wrapText="1"/>
    </xf>
    <xf numFmtId="166" fontId="24" fillId="0" borderId="1" xfId="0" applyNumberFormat="1" applyFont="1" applyBorder="1"/>
    <xf numFmtId="167" fontId="24" fillId="0" borderId="1" xfId="0" applyNumberFormat="1" applyFont="1" applyBorder="1"/>
    <xf numFmtId="0" fontId="10" fillId="5" borderId="0" xfId="0" applyFont="1" applyFill="1"/>
    <xf numFmtId="0" fontId="25" fillId="0" borderId="0" xfId="0" applyFont="1"/>
    <xf numFmtId="0" fontId="12" fillId="6" borderId="0" xfId="0" applyFont="1" applyFill="1" applyAlignment="1">
      <alignment horizontal="left"/>
    </xf>
    <xf numFmtId="0" fontId="12" fillId="13" borderId="0" xfId="0" applyFont="1" applyFill="1" applyAlignment="1">
      <alignment horizontal="left"/>
    </xf>
    <xf numFmtId="0" fontId="31" fillId="0" borderId="0" xfId="0" applyFont="1" applyAlignment="1">
      <alignment wrapText="1"/>
    </xf>
    <xf numFmtId="0" fontId="12" fillId="6" borderId="1" xfId="0" applyFont="1" applyFill="1" applyBorder="1" applyAlignment="1">
      <alignment horizontal="left"/>
    </xf>
    <xf numFmtId="0" fontId="12" fillId="6" borderId="3" xfId="0" applyFont="1" applyFill="1" applyBorder="1" applyAlignment="1">
      <alignment horizontal="left"/>
    </xf>
    <xf numFmtId="0" fontId="22" fillId="0" borderId="2" xfId="0" applyFont="1" applyBorder="1" applyAlignment="1">
      <alignment wrapText="1"/>
    </xf>
    <xf numFmtId="0" fontId="22" fillId="0" borderId="0" xfId="0" applyFont="1" applyAlignment="1">
      <alignment wrapText="1"/>
    </xf>
    <xf numFmtId="0" fontId="12" fillId="6" borderId="0" xfId="0" applyFont="1" applyFill="1" applyAlignment="1">
      <alignment horizontal="left" wrapText="1"/>
    </xf>
    <xf numFmtId="0" fontId="33" fillId="6" borderId="0" xfId="0" applyFont="1" applyFill="1" applyAlignment="1">
      <alignment horizontal="left"/>
    </xf>
  </cellXfs>
  <cellStyles count="4">
    <cellStyle name="Millares" xfId="1" builtinId="3"/>
    <cellStyle name="Moneda" xfId="3" builtinId="4"/>
    <cellStyle name="Normal" xfId="0" builtinId="0"/>
    <cellStyle name="Porcentaje" xfId="2" builtinId="5"/>
  </cellStyles>
  <dxfs count="10">
    <dxf>
      <fill>
        <patternFill>
          <bgColor rgb="FFC6EFCE"/>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Gantt general del programa (dias desde inicio)</a:t>
            </a:r>
          </a:p>
        </c:rich>
      </c:tx>
      <c:overlay val="0"/>
    </c:title>
    <c:autoTitleDeleted val="0"/>
    <c:plotArea>
      <c:layout/>
      <c:barChart>
        <c:barDir val="bar"/>
        <c:grouping val="stacked"/>
        <c:varyColors val="0"/>
        <c:ser>
          <c:idx val="0"/>
          <c:order val="0"/>
          <c:tx>
            <c:v>Inicio (offset)</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'05_DASHBOARD'!$B$12:$B$26</c:f>
              <c:strCache>
                <c:ptCount val="15"/>
                <c:pt idx="0">
                  <c:v>Site 01</c:v>
                </c:pt>
                <c:pt idx="1">
                  <c:v>Site 02</c:v>
                </c:pt>
                <c:pt idx="2">
                  <c:v>Site 03</c:v>
                </c:pt>
                <c:pt idx="3">
                  <c:v>Site 04</c:v>
                </c:pt>
                <c:pt idx="4">
                  <c:v>Site 05</c:v>
                </c:pt>
                <c:pt idx="5">
                  <c:v>Site 06</c:v>
                </c:pt>
                <c:pt idx="6">
                  <c:v>Site 07</c:v>
                </c:pt>
                <c:pt idx="7">
                  <c:v>Site 08</c:v>
                </c:pt>
                <c:pt idx="8">
                  <c:v>Site 09</c:v>
                </c:pt>
                <c:pt idx="9">
                  <c:v>Site 10</c:v>
                </c:pt>
                <c:pt idx="10">
                  <c:v>Site 11</c:v>
                </c:pt>
                <c:pt idx="11">
                  <c:v>Site 12</c:v>
                </c:pt>
                <c:pt idx="12">
                  <c:v>Site 13</c:v>
                </c:pt>
                <c:pt idx="13">
                  <c:v>Site 14</c:v>
                </c:pt>
                <c:pt idx="14">
                  <c:v>Site 15</c:v>
                </c:pt>
              </c:strCache>
            </c:strRef>
          </c:cat>
          <c:val>
            <c:numRef>
              <c:f>'05_DASHBOARD'!$C$12:$C$26</c:f>
              <c:numCache>
                <c:formatCode>0</c:formatCode>
                <c:ptCount val="15"/>
                <c:pt idx="0">
                  <c:v>0</c:v>
                </c:pt>
                <c:pt idx="1">
                  <c:v>0</c:v>
                </c:pt>
                <c:pt idx="2">
                  <c:v>0</c:v>
                </c:pt>
                <c:pt idx="3">
                  <c:v>112</c:v>
                </c:pt>
                <c:pt idx="4">
                  <c:v>112</c:v>
                </c:pt>
                <c:pt idx="5">
                  <c:v>112</c:v>
                </c:pt>
                <c:pt idx="6">
                  <c:v>224</c:v>
                </c:pt>
                <c:pt idx="7">
                  <c:v>217</c:v>
                </c:pt>
                <c:pt idx="8">
                  <c:v>245</c:v>
                </c:pt>
                <c:pt idx="9">
                  <c:v>336</c:v>
                </c:pt>
                <c:pt idx="10">
                  <c:v>350</c:v>
                </c:pt>
                <c:pt idx="11">
                  <c:v>357</c:v>
                </c:pt>
                <c:pt idx="12">
                  <c:v>469</c:v>
                </c:pt>
                <c:pt idx="13">
                  <c:v>455</c:v>
                </c:pt>
                <c:pt idx="14">
                  <c:v>427</c:v>
                </c:pt>
              </c:numCache>
            </c:numRef>
          </c:val>
          <c:extLst>
            <c:ext xmlns:c16="http://schemas.microsoft.com/office/drawing/2014/chart" uri="{C3380CC4-5D6E-409C-BE32-E72D297353CC}">
              <c16:uniqueId val="{00000002-95A0-4BAA-9505-F97DEBE1D749}"/>
            </c:ext>
          </c:extLst>
        </c:ser>
        <c:ser>
          <c:idx val="1"/>
          <c:order val="1"/>
          <c:tx>
            <c:v>Duracion (dias)</c:v>
          </c:tx>
          <c:spPr>
            <a:solidFill>
              <a:srgbClr val="1F4E79"/>
            </a:solidFill>
          </c:spPr>
          <c:invertIfNegative val="0"/>
          <c:cat>
            <c:strRef>
              <c:f>'05_DASHBOARD'!$B$12:$B$26</c:f>
              <c:strCache>
                <c:ptCount val="15"/>
                <c:pt idx="0">
                  <c:v>Site 01</c:v>
                </c:pt>
                <c:pt idx="1">
                  <c:v>Site 02</c:v>
                </c:pt>
                <c:pt idx="2">
                  <c:v>Site 03</c:v>
                </c:pt>
                <c:pt idx="3">
                  <c:v>Site 04</c:v>
                </c:pt>
                <c:pt idx="4">
                  <c:v>Site 05</c:v>
                </c:pt>
                <c:pt idx="5">
                  <c:v>Site 06</c:v>
                </c:pt>
                <c:pt idx="6">
                  <c:v>Site 07</c:v>
                </c:pt>
                <c:pt idx="7">
                  <c:v>Site 08</c:v>
                </c:pt>
                <c:pt idx="8">
                  <c:v>Site 09</c:v>
                </c:pt>
                <c:pt idx="9">
                  <c:v>Site 10</c:v>
                </c:pt>
                <c:pt idx="10">
                  <c:v>Site 11</c:v>
                </c:pt>
                <c:pt idx="11">
                  <c:v>Site 12</c:v>
                </c:pt>
                <c:pt idx="12">
                  <c:v>Site 13</c:v>
                </c:pt>
                <c:pt idx="13">
                  <c:v>Site 14</c:v>
                </c:pt>
                <c:pt idx="14">
                  <c:v>Site 15</c:v>
                </c:pt>
              </c:strCache>
            </c:strRef>
          </c:cat>
          <c:val>
            <c:numRef>
              <c:f>'05_DASHBOARD'!$D$12:$D$26</c:f>
              <c:numCache>
                <c:formatCode>0</c:formatCode>
                <c:ptCount val="15"/>
                <c:pt idx="0">
                  <c:v>112</c:v>
                </c:pt>
                <c:pt idx="1">
                  <c:v>112</c:v>
                </c:pt>
                <c:pt idx="2">
                  <c:v>112</c:v>
                </c:pt>
                <c:pt idx="3">
                  <c:v>112</c:v>
                </c:pt>
                <c:pt idx="4">
                  <c:v>105</c:v>
                </c:pt>
                <c:pt idx="5">
                  <c:v>133</c:v>
                </c:pt>
                <c:pt idx="6">
                  <c:v>112</c:v>
                </c:pt>
                <c:pt idx="7">
                  <c:v>133</c:v>
                </c:pt>
                <c:pt idx="8">
                  <c:v>112</c:v>
                </c:pt>
                <c:pt idx="9">
                  <c:v>133</c:v>
                </c:pt>
                <c:pt idx="10">
                  <c:v>105</c:v>
                </c:pt>
                <c:pt idx="11">
                  <c:v>70</c:v>
                </c:pt>
                <c:pt idx="12">
                  <c:v>133</c:v>
                </c:pt>
                <c:pt idx="13">
                  <c:v>133</c:v>
                </c:pt>
                <c:pt idx="14">
                  <c:v>112</c:v>
                </c:pt>
              </c:numCache>
            </c:numRef>
          </c:val>
          <c:extLst>
            <c:ext xmlns:c16="http://schemas.microsoft.com/office/drawing/2014/chart" uri="{C3380CC4-5D6E-409C-BE32-E72D297353CC}">
              <c16:uniqueId val="{00000003-95A0-4BAA-9505-F97DEBE1D749}"/>
            </c:ext>
          </c:extLst>
        </c:ser>
        <c:dLbls>
          <c:showLegendKey val="0"/>
          <c:showVal val="0"/>
          <c:showCatName val="0"/>
          <c:showSerName val="0"/>
          <c:showPercent val="0"/>
          <c:showBubbleSize val="0"/>
        </c:dLbls>
        <c:gapWidth val="150"/>
        <c:overlap val="100"/>
        <c:axId val="673175904"/>
        <c:axId val="671716528"/>
      </c:barChart>
      <c:catAx>
        <c:axId val="673175904"/>
        <c:scaling>
          <c:orientation val="maxMin"/>
        </c:scaling>
        <c:delete val="0"/>
        <c:axPos val="l"/>
        <c:numFmt formatCode="General" sourceLinked="1"/>
        <c:majorTickMark val="out"/>
        <c:minorTickMark val="none"/>
        <c:tickLblPos val="nextTo"/>
        <c:crossAx val="671716528"/>
        <c:crosses val="autoZero"/>
        <c:auto val="1"/>
        <c:lblAlgn val="ctr"/>
        <c:lblOffset val="100"/>
        <c:noMultiLvlLbl val="0"/>
      </c:catAx>
      <c:valAx>
        <c:axId val="671716528"/>
        <c:scaling>
          <c:orientation val="minMax"/>
        </c:scaling>
        <c:delete val="0"/>
        <c:axPos val="t"/>
        <c:majorGridlines/>
        <c:title>
          <c:tx>
            <c:rich>
              <a:bodyPr/>
              <a:lstStyle/>
              <a:p>
                <a:pPr>
                  <a:defRPr/>
                </a:pPr>
                <a:r>
                  <a:rPr lang="es-MX"/>
                  <a:t>Dias desde inicio del programa</a:t>
                </a:r>
              </a:p>
            </c:rich>
          </c:tx>
          <c:overlay val="0"/>
        </c:title>
        <c:numFmt formatCode="0" sourceLinked="1"/>
        <c:majorTickMark val="out"/>
        <c:minorTickMark val="none"/>
        <c:tickLblPos val="nextTo"/>
        <c:crossAx val="67317590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Gantt - Escenario Optimo (Maturity A, 15 sites en paralelo)</a:t>
            </a:r>
          </a:p>
        </c:rich>
      </c:tx>
      <c:overlay val="0"/>
    </c:title>
    <c:autoTitleDeleted val="0"/>
    <c:plotArea>
      <c:layout/>
      <c:barChart>
        <c:barDir val="bar"/>
        <c:grouping val="stacked"/>
        <c:varyColors val="0"/>
        <c:ser>
          <c:idx val="0"/>
          <c:order val="0"/>
          <c:tx>
            <c:v>Inicio (offset)</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'05_DASHBOARD'!$B$56:$B$70</c:f>
              <c:strCache>
                <c:ptCount val="15"/>
                <c:pt idx="0">
                  <c:v>Site 01</c:v>
                </c:pt>
                <c:pt idx="1">
                  <c:v>Site 02</c:v>
                </c:pt>
                <c:pt idx="2">
                  <c:v>Site 03</c:v>
                </c:pt>
                <c:pt idx="3">
                  <c:v>Site 04</c:v>
                </c:pt>
                <c:pt idx="4">
                  <c:v>Site 05</c:v>
                </c:pt>
                <c:pt idx="5">
                  <c:v>Site 06</c:v>
                </c:pt>
                <c:pt idx="6">
                  <c:v>Site 07</c:v>
                </c:pt>
                <c:pt idx="7">
                  <c:v>Site 08</c:v>
                </c:pt>
                <c:pt idx="8">
                  <c:v>Site 09</c:v>
                </c:pt>
                <c:pt idx="9">
                  <c:v>Site 10</c:v>
                </c:pt>
                <c:pt idx="10">
                  <c:v>Site 11</c:v>
                </c:pt>
                <c:pt idx="11">
                  <c:v>Site 12</c:v>
                </c:pt>
                <c:pt idx="12">
                  <c:v>Site 13</c:v>
                </c:pt>
                <c:pt idx="13">
                  <c:v>Site 14</c:v>
                </c:pt>
                <c:pt idx="14">
                  <c:v>Site 15</c:v>
                </c:pt>
              </c:strCache>
            </c:strRef>
          </c:cat>
          <c:val>
            <c:numRef>
              <c:f>'05_DASHBOARD'!$C$56:$C$70</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65E1-4D93-AD63-5FE8417D2ACC}"/>
            </c:ext>
          </c:extLst>
        </c:ser>
        <c:ser>
          <c:idx val="1"/>
          <c:order val="1"/>
          <c:tx>
            <c:v>Duracion (dias)</c:v>
          </c:tx>
          <c:spPr>
            <a:solidFill>
              <a:srgbClr val="1E823C"/>
            </a:solidFill>
          </c:spPr>
          <c:invertIfNegative val="0"/>
          <c:cat>
            <c:strRef>
              <c:f>'05_DASHBOARD'!$B$56:$B$70</c:f>
              <c:strCache>
                <c:ptCount val="15"/>
                <c:pt idx="0">
                  <c:v>Site 01</c:v>
                </c:pt>
                <c:pt idx="1">
                  <c:v>Site 02</c:v>
                </c:pt>
                <c:pt idx="2">
                  <c:v>Site 03</c:v>
                </c:pt>
                <c:pt idx="3">
                  <c:v>Site 04</c:v>
                </c:pt>
                <c:pt idx="4">
                  <c:v>Site 05</c:v>
                </c:pt>
                <c:pt idx="5">
                  <c:v>Site 06</c:v>
                </c:pt>
                <c:pt idx="6">
                  <c:v>Site 07</c:v>
                </c:pt>
                <c:pt idx="7">
                  <c:v>Site 08</c:v>
                </c:pt>
                <c:pt idx="8">
                  <c:v>Site 09</c:v>
                </c:pt>
                <c:pt idx="9">
                  <c:v>Site 10</c:v>
                </c:pt>
                <c:pt idx="10">
                  <c:v>Site 11</c:v>
                </c:pt>
                <c:pt idx="11">
                  <c:v>Site 12</c:v>
                </c:pt>
                <c:pt idx="12">
                  <c:v>Site 13</c:v>
                </c:pt>
                <c:pt idx="13">
                  <c:v>Site 14</c:v>
                </c:pt>
                <c:pt idx="14">
                  <c:v>Site 15</c:v>
                </c:pt>
              </c:strCache>
            </c:strRef>
          </c:cat>
          <c:val>
            <c:numRef>
              <c:f>'05_DASHBOARD'!$D$56:$D$70</c:f>
              <c:numCache>
                <c:formatCode>0</c:formatCode>
                <c:ptCount val="15"/>
                <c:pt idx="0">
                  <c:v>112</c:v>
                </c:pt>
                <c:pt idx="1">
                  <c:v>112</c:v>
                </c:pt>
                <c:pt idx="2">
                  <c:v>112</c:v>
                </c:pt>
                <c:pt idx="3">
                  <c:v>112</c:v>
                </c:pt>
                <c:pt idx="4">
                  <c:v>105</c:v>
                </c:pt>
                <c:pt idx="5">
                  <c:v>133</c:v>
                </c:pt>
                <c:pt idx="6">
                  <c:v>112</c:v>
                </c:pt>
                <c:pt idx="7">
                  <c:v>133</c:v>
                </c:pt>
                <c:pt idx="8">
                  <c:v>112</c:v>
                </c:pt>
                <c:pt idx="9">
                  <c:v>133</c:v>
                </c:pt>
                <c:pt idx="10">
                  <c:v>105</c:v>
                </c:pt>
                <c:pt idx="11">
                  <c:v>70</c:v>
                </c:pt>
                <c:pt idx="12">
                  <c:v>133</c:v>
                </c:pt>
                <c:pt idx="13">
                  <c:v>133</c:v>
                </c:pt>
                <c:pt idx="14">
                  <c:v>112</c:v>
                </c:pt>
              </c:numCache>
            </c:numRef>
          </c:val>
          <c:extLst>
            <c:ext xmlns:c16="http://schemas.microsoft.com/office/drawing/2014/chart" uri="{C3380CC4-5D6E-409C-BE32-E72D297353CC}">
              <c16:uniqueId val="{00000003-65E1-4D93-AD63-5FE8417D2ACC}"/>
            </c:ext>
          </c:extLst>
        </c:ser>
        <c:dLbls>
          <c:showLegendKey val="0"/>
          <c:showVal val="0"/>
          <c:showCatName val="0"/>
          <c:showSerName val="0"/>
          <c:showPercent val="0"/>
          <c:showBubbleSize val="0"/>
        </c:dLbls>
        <c:gapWidth val="150"/>
        <c:overlap val="100"/>
        <c:axId val="677711952"/>
        <c:axId val="557177072"/>
      </c:barChart>
      <c:catAx>
        <c:axId val="677711952"/>
        <c:scaling>
          <c:orientation val="maxMin"/>
        </c:scaling>
        <c:delete val="0"/>
        <c:axPos val="l"/>
        <c:numFmt formatCode="General" sourceLinked="1"/>
        <c:majorTickMark val="out"/>
        <c:minorTickMark val="none"/>
        <c:tickLblPos val="nextTo"/>
        <c:crossAx val="557177072"/>
        <c:crosses val="autoZero"/>
        <c:auto val="1"/>
        <c:lblAlgn val="ctr"/>
        <c:lblOffset val="100"/>
        <c:noMultiLvlLbl val="0"/>
      </c:catAx>
      <c:valAx>
        <c:axId val="557177072"/>
        <c:scaling>
          <c:orientation val="minMax"/>
        </c:scaling>
        <c:delete val="0"/>
        <c:axPos val="t"/>
        <c:majorGridlines/>
        <c:title>
          <c:tx>
            <c:rich>
              <a:bodyPr/>
              <a:lstStyle/>
              <a:p>
                <a:pPr>
                  <a:defRPr/>
                </a:pPr>
                <a:r>
                  <a:rPr lang="es-MX"/>
                  <a:t>Dias desde inicio del programa</a:t>
                </a:r>
              </a:p>
            </c:rich>
          </c:tx>
          <c:overlay val="0"/>
        </c:title>
        <c:numFmt formatCode="0" sourceLinked="1"/>
        <c:majorTickMark val="out"/>
        <c:minorTickMark val="none"/>
        <c:tickLblPos val="nextTo"/>
        <c:crossAx val="67771195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MX"/>
              <a:t>Gantt de fases - Site seleccionado</a:t>
            </a:r>
          </a:p>
        </c:rich>
      </c:tx>
      <c:overlay val="0"/>
    </c:title>
    <c:autoTitleDeleted val="0"/>
    <c:plotArea>
      <c:layout/>
      <c:barChart>
        <c:barDir val="bar"/>
        <c:grouping val="stacked"/>
        <c:varyColors val="0"/>
        <c:ser>
          <c:idx val="0"/>
          <c:order val="0"/>
          <c:tx>
            <c:v>Inicio (offset)</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'06_SITE_VIEW'!$E$38:$E$45</c:f>
              <c:strCache>
                <c:ptCount val="8"/>
                <c:pt idx="0">
                  <c:v>Site Readiness</c:v>
                </c:pt>
                <c:pt idx="1">
                  <c:v>Design Adaptation</c:v>
                </c:pt>
                <c:pt idx="2">
                  <c:v>Functional Review</c:v>
                </c:pt>
                <c:pt idx="3">
                  <c:v>UAT</c:v>
                </c:pt>
                <c:pt idx="4">
                  <c:v>Training</c:v>
                </c:pt>
                <c:pt idx="5">
                  <c:v>DIALT</c:v>
                </c:pt>
                <c:pt idx="6">
                  <c:v>Go Live</c:v>
                </c:pt>
                <c:pt idx="7">
                  <c:v>Hypercare</c:v>
                </c:pt>
              </c:strCache>
            </c:strRef>
          </c:cat>
          <c:val>
            <c:numRef>
              <c:f>'06_SITE_VIEW'!$F$38:$F$45</c:f>
              <c:numCache>
                <c:formatCode>0</c:formatCode>
                <c:ptCount val="8"/>
                <c:pt idx="0">
                  <c:v>0</c:v>
                </c:pt>
                <c:pt idx="1">
                  <c:v>28</c:v>
                </c:pt>
                <c:pt idx="2">
                  <c:v>35</c:v>
                </c:pt>
                <c:pt idx="3">
                  <c:v>42</c:v>
                </c:pt>
                <c:pt idx="4">
                  <c:v>56</c:v>
                </c:pt>
                <c:pt idx="5">
                  <c:v>70</c:v>
                </c:pt>
                <c:pt idx="6">
                  <c:v>77</c:v>
                </c:pt>
                <c:pt idx="7">
                  <c:v>84</c:v>
                </c:pt>
              </c:numCache>
            </c:numRef>
          </c:val>
          <c:extLst>
            <c:ext xmlns:c16="http://schemas.microsoft.com/office/drawing/2014/chart" uri="{C3380CC4-5D6E-409C-BE32-E72D297353CC}">
              <c16:uniqueId val="{00000001-039C-4BB7-AF1F-20F3C3776C96}"/>
            </c:ext>
          </c:extLst>
        </c:ser>
        <c:ser>
          <c:idx val="1"/>
          <c:order val="1"/>
          <c:tx>
            <c:v>Duracion (dias)</c:v>
          </c:tx>
          <c:spPr>
            <a:solidFill>
              <a:srgbClr val="9B5A14"/>
            </a:solidFill>
          </c:spPr>
          <c:invertIfNegative val="0"/>
          <c:cat>
            <c:strRef>
              <c:f>'06_SITE_VIEW'!$E$38:$E$45</c:f>
              <c:strCache>
                <c:ptCount val="8"/>
                <c:pt idx="0">
                  <c:v>Site Readiness</c:v>
                </c:pt>
                <c:pt idx="1">
                  <c:v>Design Adaptation</c:v>
                </c:pt>
                <c:pt idx="2">
                  <c:v>Functional Review</c:v>
                </c:pt>
                <c:pt idx="3">
                  <c:v>UAT</c:v>
                </c:pt>
                <c:pt idx="4">
                  <c:v>Training</c:v>
                </c:pt>
                <c:pt idx="5">
                  <c:v>DIALT</c:v>
                </c:pt>
                <c:pt idx="6">
                  <c:v>Go Live</c:v>
                </c:pt>
                <c:pt idx="7">
                  <c:v>Hypercare</c:v>
                </c:pt>
              </c:strCache>
            </c:strRef>
          </c:cat>
          <c:val>
            <c:numRef>
              <c:f>'06_SITE_VIEW'!$G$38:$G$45</c:f>
              <c:numCache>
                <c:formatCode>0</c:formatCode>
                <c:ptCount val="8"/>
                <c:pt idx="0">
                  <c:v>28</c:v>
                </c:pt>
                <c:pt idx="1">
                  <c:v>7</c:v>
                </c:pt>
                <c:pt idx="2">
                  <c:v>7</c:v>
                </c:pt>
                <c:pt idx="3">
                  <c:v>14</c:v>
                </c:pt>
                <c:pt idx="4">
                  <c:v>14</c:v>
                </c:pt>
                <c:pt idx="5">
                  <c:v>7</c:v>
                </c:pt>
                <c:pt idx="6">
                  <c:v>7</c:v>
                </c:pt>
                <c:pt idx="7">
                  <c:v>28</c:v>
                </c:pt>
              </c:numCache>
            </c:numRef>
          </c:val>
          <c:extLst>
            <c:ext xmlns:c16="http://schemas.microsoft.com/office/drawing/2014/chart" uri="{C3380CC4-5D6E-409C-BE32-E72D297353CC}">
              <c16:uniqueId val="{00000002-039C-4BB7-AF1F-20F3C3776C96}"/>
            </c:ext>
          </c:extLst>
        </c:ser>
        <c:dLbls>
          <c:showLegendKey val="0"/>
          <c:showVal val="0"/>
          <c:showCatName val="0"/>
          <c:showSerName val="0"/>
          <c:showPercent val="0"/>
          <c:showBubbleSize val="0"/>
        </c:dLbls>
        <c:gapWidth val="150"/>
        <c:overlap val="100"/>
        <c:axId val="140505247"/>
        <c:axId val="20940431"/>
      </c:barChart>
      <c:catAx>
        <c:axId val="140505247"/>
        <c:scaling>
          <c:orientation val="maxMin"/>
        </c:scaling>
        <c:delete val="0"/>
        <c:axPos val="l"/>
        <c:numFmt formatCode="General" sourceLinked="1"/>
        <c:majorTickMark val="out"/>
        <c:minorTickMark val="none"/>
        <c:tickLblPos val="nextTo"/>
        <c:crossAx val="20940431"/>
        <c:crosses val="autoZero"/>
        <c:auto val="1"/>
        <c:lblAlgn val="ctr"/>
        <c:lblOffset val="100"/>
        <c:noMultiLvlLbl val="0"/>
      </c:catAx>
      <c:valAx>
        <c:axId val="20940431"/>
        <c:scaling>
          <c:orientation val="minMax"/>
        </c:scaling>
        <c:delete val="0"/>
        <c:axPos val="t"/>
        <c:majorGridlines/>
        <c:title>
          <c:tx>
            <c:rich>
              <a:bodyPr/>
              <a:lstStyle/>
              <a:p>
                <a:pPr>
                  <a:defRPr/>
                </a:pPr>
                <a:r>
                  <a:rPr lang="es-MX"/>
                  <a:t>Dias desde inicio del site</a:t>
                </a:r>
              </a:p>
            </c:rich>
          </c:tx>
          <c:overlay val="0"/>
        </c:title>
        <c:numFmt formatCode="0" sourceLinked="1"/>
        <c:majorTickMark val="out"/>
        <c:minorTickMark val="none"/>
        <c:tickLblPos val="nextTo"/>
        <c:crossAx val="14050524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383540</xdr:colOff>
      <xdr:row>9</xdr:row>
      <xdr:rowOff>0</xdr:rowOff>
    </xdr:from>
    <xdr:to>
      <xdr:col>11</xdr:col>
      <xdr:colOff>1056640</xdr:colOff>
      <xdr:row>36</xdr:row>
      <xdr:rowOff>22860</xdr:rowOff>
    </xdr:to>
    <xdr:graphicFrame macro="">
      <xdr:nvGraphicFramePr>
        <xdr:cNvPr id="7" name="Gráfico 6">
          <a:extLst>
            <a:ext uri="{FF2B5EF4-FFF2-40B4-BE49-F238E27FC236}">
              <a16:creationId xmlns:a16="http://schemas.microsoft.com/office/drawing/2014/main" id="{9E0CE1EB-6F1B-A401-0CB9-0BFC4DD7A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175931</xdr:colOff>
      <xdr:row>14</xdr:row>
      <xdr:rowOff>14479</xdr:rowOff>
    </xdr:from>
    <xdr:to>
      <xdr:col>7</xdr:col>
      <xdr:colOff>175931</xdr:colOff>
      <xdr:row>35</xdr:row>
      <xdr:rowOff>251460</xdr:rowOff>
    </xdr:to>
    <xdr:cxnSp macro="">
      <xdr:nvCxnSpPr>
        <xdr:cNvPr id="8" name="Conector recto 7">
          <a:extLst>
            <a:ext uri="{FF2B5EF4-FFF2-40B4-BE49-F238E27FC236}">
              <a16:creationId xmlns:a16="http://schemas.microsoft.com/office/drawing/2014/main" id="{A47E8FB3-9F2F-C57E-82E3-7ADFA0E40093}"/>
            </a:ext>
          </a:extLst>
        </xdr:cNvPr>
        <xdr:cNvCxnSpPr/>
      </xdr:nvCxnSpPr>
      <xdr:spPr>
        <a:xfrm>
          <a:off x="10074311" y="2917699"/>
          <a:ext cx="0" cy="4214621"/>
        </a:xfrm>
        <a:prstGeom prst="line">
          <a:avLst/>
        </a:prstGeom>
        <a:ln w="28575">
          <a:solidFill>
            <a:srgbClr val="C80000"/>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269911</xdr:colOff>
      <xdr:row>12</xdr:row>
      <xdr:rowOff>177039</xdr:rowOff>
    </xdr:from>
    <xdr:to>
      <xdr:col>7</xdr:col>
      <xdr:colOff>874431</xdr:colOff>
      <xdr:row>13</xdr:row>
      <xdr:rowOff>171959</xdr:rowOff>
    </xdr:to>
    <xdr:sp macro="" textlink="">
      <xdr:nvSpPr>
        <xdr:cNvPr id="9" name="CuadroTexto 8">
          <a:extLst>
            <a:ext uri="{FF2B5EF4-FFF2-40B4-BE49-F238E27FC236}">
              <a16:creationId xmlns:a16="http://schemas.microsoft.com/office/drawing/2014/main" id="{83445645-CAF6-50A7-3167-58FC7DBFBA32}"/>
            </a:ext>
          </a:extLst>
        </xdr:cNvPr>
        <xdr:cNvSpPr txBox="1"/>
      </xdr:nvSpPr>
      <xdr:spPr>
        <a:xfrm>
          <a:off x="9375811" y="2714499"/>
          <a:ext cx="1397000" cy="177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s-MX" sz="800" b="1">
              <a:solidFill>
                <a:srgbClr val="C80000"/>
              </a:solidFill>
            </a:rPr>
            <a:t>Limite 8 meses</a:t>
          </a:r>
        </a:p>
      </xdr:txBody>
    </xdr:sp>
    <xdr:clientData/>
  </xdr:twoCellAnchor>
  <xdr:twoCellAnchor>
    <xdr:from>
      <xdr:col>5</xdr:col>
      <xdr:colOff>576580</xdr:colOff>
      <xdr:row>53</xdr:row>
      <xdr:rowOff>0</xdr:rowOff>
    </xdr:from>
    <xdr:to>
      <xdr:col>12</xdr:col>
      <xdr:colOff>716280</xdr:colOff>
      <xdr:row>77</xdr:row>
      <xdr:rowOff>71120</xdr:rowOff>
    </xdr:to>
    <xdr:graphicFrame macro="">
      <xdr:nvGraphicFramePr>
        <xdr:cNvPr id="10" name="Gráfico 9">
          <a:extLst>
            <a:ext uri="{FF2B5EF4-FFF2-40B4-BE49-F238E27FC236}">
              <a16:creationId xmlns:a16="http://schemas.microsoft.com/office/drawing/2014/main" id="{0F6D9BFF-C0D1-A77A-7D9B-CD294358E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322580</xdr:colOff>
      <xdr:row>17</xdr:row>
      <xdr:rowOff>5080</xdr:rowOff>
    </xdr:from>
    <xdr:to>
      <xdr:col>15</xdr:col>
      <xdr:colOff>302260</xdr:colOff>
      <xdr:row>35</xdr:row>
      <xdr:rowOff>15240</xdr:rowOff>
    </xdr:to>
    <xdr:graphicFrame macro="">
      <xdr:nvGraphicFramePr>
        <xdr:cNvPr id="2" name="Gráfico 1">
          <a:extLst>
            <a:ext uri="{FF2B5EF4-FFF2-40B4-BE49-F238E27FC236}">
              <a16:creationId xmlns:a16="http://schemas.microsoft.com/office/drawing/2014/main" id="{BFB06003-FA37-AE1C-49E3-28ECA12B7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59D7-BE7B-4C8A-A979-D0D9D8C14E64}">
  <dimension ref="B2:I22"/>
  <sheetViews>
    <sheetView workbookViewId="0">
      <selection activeCell="A15" sqref="A15"/>
    </sheetView>
  </sheetViews>
  <sheetFormatPr baseColWidth="10" defaultRowHeight="14.4" x14ac:dyDescent="0.3"/>
  <cols>
    <col min="2" max="2" width="14.33203125" bestFit="1" customWidth="1"/>
  </cols>
  <sheetData>
    <row r="2" spans="2:9" x14ac:dyDescent="0.3">
      <c r="B2" t="s">
        <v>103</v>
      </c>
      <c r="C2" t="s">
        <v>104</v>
      </c>
    </row>
    <row r="3" spans="2:9" x14ac:dyDescent="0.3">
      <c r="B3" t="s">
        <v>105</v>
      </c>
      <c r="C3" t="s">
        <v>106</v>
      </c>
    </row>
    <row r="5" spans="2:9" x14ac:dyDescent="0.3">
      <c r="B5" s="23">
        <v>1</v>
      </c>
      <c r="C5" t="s">
        <v>96</v>
      </c>
    </row>
    <row r="6" spans="2:9" x14ac:dyDescent="0.3">
      <c r="B6" s="23">
        <v>2</v>
      </c>
      <c r="C6" t="s">
        <v>97</v>
      </c>
    </row>
    <row r="7" spans="2:9" x14ac:dyDescent="0.3">
      <c r="B7" s="23">
        <v>3</v>
      </c>
      <c r="C7" t="s">
        <v>98</v>
      </c>
    </row>
    <row r="8" spans="2:9" x14ac:dyDescent="0.3">
      <c r="B8" s="23">
        <v>4</v>
      </c>
      <c r="C8" t="s">
        <v>101</v>
      </c>
    </row>
    <row r="9" spans="2:9" x14ac:dyDescent="0.3">
      <c r="B9" s="23">
        <v>5</v>
      </c>
      <c r="C9" t="s">
        <v>102</v>
      </c>
    </row>
    <row r="11" spans="2:9" x14ac:dyDescent="0.3">
      <c r="B11" t="s">
        <v>107</v>
      </c>
      <c r="H11" t="s">
        <v>116</v>
      </c>
      <c r="I11" t="s">
        <v>115</v>
      </c>
    </row>
    <row r="12" spans="2:9" x14ac:dyDescent="0.3">
      <c r="H12" s="28">
        <f>+H13+H14</f>
        <v>1</v>
      </c>
      <c r="I12" s="28">
        <f>+I13+I14</f>
        <v>0.84375</v>
      </c>
    </row>
    <row r="13" spans="2:9" x14ac:dyDescent="0.3">
      <c r="C13" t="s">
        <v>108</v>
      </c>
      <c r="H13" s="29">
        <v>0.5</v>
      </c>
      <c r="I13" s="29">
        <v>0.5</v>
      </c>
    </row>
    <row r="14" spans="2:9" x14ac:dyDescent="0.3">
      <c r="C14" t="s">
        <v>114</v>
      </c>
      <c r="H14" s="29">
        <v>0.5</v>
      </c>
      <c r="I14" s="30">
        <f>+I22</f>
        <v>0.34375</v>
      </c>
    </row>
    <row r="15" spans="2:9" x14ac:dyDescent="0.3">
      <c r="H15" t="s">
        <v>116</v>
      </c>
      <c r="I15" t="s">
        <v>115</v>
      </c>
    </row>
    <row r="16" spans="2:9" x14ac:dyDescent="0.3">
      <c r="C16" s="24" t="s">
        <v>111</v>
      </c>
      <c r="H16" s="31">
        <v>4</v>
      </c>
      <c r="I16" s="23">
        <v>2</v>
      </c>
    </row>
    <row r="17" spans="3:9" x14ac:dyDescent="0.3">
      <c r="C17" s="24" t="s">
        <v>112</v>
      </c>
      <c r="H17" s="31">
        <v>4</v>
      </c>
      <c r="I17" s="23">
        <v>3</v>
      </c>
    </row>
    <row r="18" spans="3:9" x14ac:dyDescent="0.3">
      <c r="C18" s="24" t="s">
        <v>113</v>
      </c>
      <c r="H18" s="31">
        <v>4</v>
      </c>
      <c r="I18" s="23">
        <v>3</v>
      </c>
    </row>
    <row r="19" spans="3:9" x14ac:dyDescent="0.3">
      <c r="C19" s="24" t="s">
        <v>109</v>
      </c>
      <c r="H19" s="31">
        <v>2</v>
      </c>
      <c r="I19" s="23">
        <v>1</v>
      </c>
    </row>
    <row r="20" spans="3:9" x14ac:dyDescent="0.3">
      <c r="C20" s="24" t="s">
        <v>110</v>
      </c>
      <c r="H20" s="31">
        <v>2</v>
      </c>
      <c r="I20" s="23">
        <v>2</v>
      </c>
    </row>
    <row r="21" spans="3:9" x14ac:dyDescent="0.3">
      <c r="H21" s="25">
        <f>+SUM(H16:H20)</f>
        <v>16</v>
      </c>
      <c r="I21" s="25">
        <f>+SUM(I16:I20)</f>
        <v>11</v>
      </c>
    </row>
    <row r="22" spans="3:9" x14ac:dyDescent="0.3">
      <c r="H22" s="26">
        <v>0.5</v>
      </c>
      <c r="I22" s="27">
        <f>+I21/H21*H22</f>
        <v>0.34375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zoomScale="80" zoomScaleNormal="80" workbookViewId="0">
      <pane xSplit="2" ySplit="1" topLeftCell="C2" activePane="bottomRight" state="frozen"/>
      <selection pane="topRight" activeCell="C1" sqref="C1"/>
      <selection pane="bottomLeft" activeCell="A2" sqref="A2"/>
      <selection pane="bottomRight" activeCell="D20" sqref="D20"/>
    </sheetView>
  </sheetViews>
  <sheetFormatPr baseColWidth="10" defaultColWidth="10.88671875" defaultRowHeight="13.8" x14ac:dyDescent="0.3"/>
  <cols>
    <col min="1" max="1" width="10.88671875" style="3" customWidth="1"/>
    <col min="2" max="2" width="12.21875" style="4" bestFit="1" customWidth="1"/>
    <col min="3" max="5" width="12.21875" style="4" customWidth="1"/>
    <col min="6" max="6" width="13.88671875" style="3" customWidth="1"/>
    <col min="7" max="7" width="10.88671875" style="3" customWidth="1"/>
    <col min="8" max="8" width="12.21875" style="4" customWidth="1"/>
    <col min="9" max="9" width="13.44140625" style="3" customWidth="1"/>
    <col min="10" max="11" width="10.88671875" style="3" customWidth="1"/>
    <col min="12" max="13" width="11.88671875" style="3" customWidth="1"/>
    <col min="14" max="14" width="10.88671875" style="3" customWidth="1"/>
    <col min="15" max="16384" width="10.88671875" style="3"/>
  </cols>
  <sheetData>
    <row r="1" spans="1:20" s="1" customFormat="1" ht="32.549999999999997" customHeight="1" x14ac:dyDescent="0.3">
      <c r="A1" s="5" t="s">
        <v>36</v>
      </c>
      <c r="B1" s="6" t="s">
        <v>37</v>
      </c>
      <c r="C1" s="6" t="s">
        <v>1</v>
      </c>
      <c r="D1" s="6" t="s">
        <v>38</v>
      </c>
      <c r="E1" s="6" t="s">
        <v>39</v>
      </c>
      <c r="F1" s="6" t="s">
        <v>40</v>
      </c>
      <c r="G1" s="6" t="s">
        <v>41</v>
      </c>
      <c r="H1" s="6" t="s">
        <v>42</v>
      </c>
      <c r="I1" s="6" t="s">
        <v>43</v>
      </c>
      <c r="J1" s="6" t="s">
        <v>44</v>
      </c>
      <c r="K1" s="6" t="s">
        <v>45</v>
      </c>
      <c r="L1" s="6" t="s">
        <v>46</v>
      </c>
      <c r="M1" s="6" t="s">
        <v>47</v>
      </c>
      <c r="N1" s="6" t="s">
        <v>48</v>
      </c>
      <c r="O1" s="6" t="s">
        <v>49</v>
      </c>
      <c r="P1" s="6" t="s">
        <v>50</v>
      </c>
      <c r="Q1" s="6" t="s">
        <v>51</v>
      </c>
      <c r="R1" s="6" t="s">
        <v>52</v>
      </c>
      <c r="S1" s="6" t="s">
        <v>53</v>
      </c>
      <c r="T1" s="6" t="s">
        <v>54</v>
      </c>
    </row>
    <row r="2" spans="1:20" ht="13.05" customHeight="1" x14ac:dyDescent="0.3">
      <c r="A2" s="17" t="s">
        <v>93</v>
      </c>
      <c r="B2" s="7" t="s">
        <v>2</v>
      </c>
      <c r="C2" s="14">
        <v>2</v>
      </c>
      <c r="D2" s="8">
        <v>3.72</v>
      </c>
      <c r="E2" s="8">
        <v>1.43</v>
      </c>
      <c r="F2" s="9">
        <v>6400</v>
      </c>
      <c r="G2" s="10">
        <v>0.38440860215053763</v>
      </c>
      <c r="H2" s="11">
        <v>3</v>
      </c>
      <c r="I2" s="11">
        <v>1</v>
      </c>
      <c r="J2" s="9">
        <v>9100</v>
      </c>
      <c r="K2" s="10">
        <v>0.81500000000000006</v>
      </c>
      <c r="L2" s="10">
        <v>0.89</v>
      </c>
      <c r="M2" s="11" t="s">
        <v>55</v>
      </c>
      <c r="N2" s="11" t="s">
        <v>56</v>
      </c>
      <c r="O2" s="11" t="s">
        <v>56</v>
      </c>
      <c r="P2" s="11">
        <v>18</v>
      </c>
      <c r="Q2" s="12">
        <v>38</v>
      </c>
      <c r="R2" s="10">
        <v>0.85</v>
      </c>
      <c r="S2" s="13">
        <v>15</v>
      </c>
      <c r="T2" s="13">
        <v>5</v>
      </c>
    </row>
    <row r="3" spans="1:20" ht="13.05" customHeight="1" x14ac:dyDescent="0.3">
      <c r="A3" s="17" t="s">
        <v>93</v>
      </c>
      <c r="B3" s="7" t="s">
        <v>69</v>
      </c>
      <c r="C3" s="14">
        <v>2</v>
      </c>
      <c r="D3" s="8">
        <v>6.46</v>
      </c>
      <c r="E3" s="8">
        <v>4.7699999999999996</v>
      </c>
      <c r="F3" s="9">
        <v>11160</v>
      </c>
      <c r="G3" s="10">
        <v>0.73839009287925694</v>
      </c>
      <c r="H3" s="11">
        <v>6</v>
      </c>
      <c r="I3" s="11">
        <v>2</v>
      </c>
      <c r="J3" s="9">
        <v>15572</v>
      </c>
      <c r="K3" s="10">
        <v>0.94</v>
      </c>
      <c r="L3" s="10">
        <v>0</v>
      </c>
      <c r="M3" s="11" t="s">
        <v>56</v>
      </c>
      <c r="N3" s="11" t="s">
        <v>56</v>
      </c>
      <c r="O3" s="11" t="s">
        <v>56</v>
      </c>
      <c r="P3" s="11">
        <v>30</v>
      </c>
      <c r="Q3" s="12">
        <v>90</v>
      </c>
      <c r="R3" s="10">
        <v>0</v>
      </c>
      <c r="S3" s="13">
        <v>29</v>
      </c>
      <c r="T3" s="13">
        <v>6</v>
      </c>
    </row>
    <row r="4" spans="1:20" ht="13.05" customHeight="1" x14ac:dyDescent="0.3">
      <c r="A4" s="17" t="s">
        <v>93</v>
      </c>
      <c r="B4" s="7" t="s">
        <v>3</v>
      </c>
      <c r="C4" s="14">
        <v>2</v>
      </c>
      <c r="D4" s="8">
        <v>6.46</v>
      </c>
      <c r="E4" s="8">
        <v>4.7699999999999996</v>
      </c>
      <c r="F4" s="9">
        <v>11160</v>
      </c>
      <c r="G4" s="10">
        <v>0.73839009287925694</v>
      </c>
      <c r="H4" s="11">
        <v>6</v>
      </c>
      <c r="I4" s="11">
        <v>2</v>
      </c>
      <c r="J4" s="9">
        <v>15572</v>
      </c>
      <c r="K4" s="10">
        <v>0.94</v>
      </c>
      <c r="L4" s="10">
        <v>0</v>
      </c>
      <c r="M4" s="11" t="s">
        <v>56</v>
      </c>
      <c r="N4" s="11" t="s">
        <v>56</v>
      </c>
      <c r="O4" s="11" t="s">
        <v>56</v>
      </c>
      <c r="P4" s="11">
        <v>30</v>
      </c>
      <c r="Q4" s="12">
        <v>90</v>
      </c>
      <c r="R4" s="10">
        <v>0</v>
      </c>
      <c r="S4" s="13">
        <v>29</v>
      </c>
      <c r="T4" s="13">
        <v>6</v>
      </c>
    </row>
    <row r="5" spans="1:20" ht="13.05" customHeight="1" x14ac:dyDescent="0.3">
      <c r="A5" s="17" t="s">
        <v>93</v>
      </c>
      <c r="B5" s="7" t="s">
        <v>4</v>
      </c>
      <c r="C5" s="14">
        <v>2</v>
      </c>
      <c r="D5" s="8">
        <v>6.59</v>
      </c>
      <c r="E5" s="8">
        <v>4.58</v>
      </c>
      <c r="F5" s="9">
        <v>11520</v>
      </c>
      <c r="G5" s="10">
        <v>0.69499241274658574</v>
      </c>
      <c r="H5" s="11">
        <v>5</v>
      </c>
      <c r="I5" s="11">
        <v>2</v>
      </c>
      <c r="J5" s="9">
        <v>17742</v>
      </c>
      <c r="K5" s="10">
        <v>0.78</v>
      </c>
      <c r="L5" s="10">
        <v>0</v>
      </c>
      <c r="M5" s="11" t="s">
        <v>56</v>
      </c>
      <c r="N5" s="11" t="s">
        <v>55</v>
      </c>
      <c r="O5" s="11" t="s">
        <v>56</v>
      </c>
      <c r="P5" s="11">
        <v>37</v>
      </c>
      <c r="Q5" s="12">
        <v>80</v>
      </c>
      <c r="R5" s="10">
        <v>0</v>
      </c>
      <c r="S5" s="13">
        <v>15</v>
      </c>
      <c r="T5" s="13">
        <v>4</v>
      </c>
    </row>
    <row r="6" spans="1:20" ht="13.05" customHeight="1" x14ac:dyDescent="0.3">
      <c r="A6" s="17" t="s">
        <v>93</v>
      </c>
      <c r="B6" s="7" t="s">
        <v>6</v>
      </c>
      <c r="C6" s="14">
        <v>3</v>
      </c>
      <c r="D6" s="8">
        <v>2.75</v>
      </c>
      <c r="E6" s="8">
        <v>2.12</v>
      </c>
      <c r="F6" s="9">
        <v>6848</v>
      </c>
      <c r="G6" s="10">
        <v>0.77090909090909099</v>
      </c>
      <c r="H6" s="11">
        <v>2</v>
      </c>
      <c r="I6" s="11">
        <v>3</v>
      </c>
      <c r="J6" s="9">
        <v>5239</v>
      </c>
      <c r="K6" s="10">
        <v>0.85499999999999998</v>
      </c>
      <c r="L6" s="10">
        <v>0.9</v>
      </c>
      <c r="M6" s="11" t="s">
        <v>55</v>
      </c>
      <c r="N6" s="11" t="s">
        <v>56</v>
      </c>
      <c r="O6" s="11" t="s">
        <v>55</v>
      </c>
      <c r="P6" s="11">
        <v>14</v>
      </c>
      <c r="Q6" s="12">
        <v>42</v>
      </c>
      <c r="R6" s="10">
        <v>0</v>
      </c>
      <c r="S6" s="13">
        <v>14</v>
      </c>
      <c r="T6" s="13">
        <v>4</v>
      </c>
    </row>
    <row r="7" spans="1:20" ht="13.05" customHeight="1" x14ac:dyDescent="0.3">
      <c r="A7" s="17" t="s">
        <v>93</v>
      </c>
      <c r="B7" s="7" t="s">
        <v>7</v>
      </c>
      <c r="C7" s="14">
        <v>1</v>
      </c>
      <c r="D7" s="8">
        <v>13.2</v>
      </c>
      <c r="E7" s="8">
        <v>12.19</v>
      </c>
      <c r="F7" s="9">
        <v>29946</v>
      </c>
      <c r="G7" s="10">
        <v>0.92348484848484846</v>
      </c>
      <c r="H7" s="11">
        <v>9</v>
      </c>
      <c r="I7" s="11">
        <v>2</v>
      </c>
      <c r="J7" s="9">
        <v>36333</v>
      </c>
      <c r="K7" s="10">
        <v>1</v>
      </c>
      <c r="L7" s="10">
        <v>0.93</v>
      </c>
      <c r="M7" s="11" t="s">
        <v>55</v>
      </c>
      <c r="N7" s="11" t="s">
        <v>55</v>
      </c>
      <c r="O7" s="11" t="s">
        <v>55</v>
      </c>
      <c r="P7" s="11">
        <v>76</v>
      </c>
      <c r="Q7" s="12">
        <v>213</v>
      </c>
      <c r="R7" s="10">
        <v>0</v>
      </c>
      <c r="S7" s="13">
        <v>85</v>
      </c>
      <c r="T7" s="13">
        <v>8</v>
      </c>
    </row>
    <row r="8" spans="1:20" ht="13.05" customHeight="1" x14ac:dyDescent="0.3">
      <c r="A8" s="17" t="s">
        <v>93</v>
      </c>
      <c r="B8" s="7" t="s">
        <v>8</v>
      </c>
      <c r="C8" s="14">
        <v>2</v>
      </c>
      <c r="D8" s="8">
        <v>4.7699999999999996</v>
      </c>
      <c r="E8" s="8">
        <v>3.82</v>
      </c>
      <c r="F8" s="9">
        <v>9900</v>
      </c>
      <c r="G8" s="10">
        <v>0.80083857442348017</v>
      </c>
      <c r="H8" s="11">
        <v>4</v>
      </c>
      <c r="I8" s="11">
        <v>1</v>
      </c>
      <c r="J8" s="9">
        <v>14897</v>
      </c>
      <c r="K8" s="10">
        <v>1.05</v>
      </c>
      <c r="L8" s="10">
        <v>0</v>
      </c>
      <c r="M8" s="11" t="s">
        <v>56</v>
      </c>
      <c r="N8" s="11" t="s">
        <v>56</v>
      </c>
      <c r="O8" s="11" t="s">
        <v>55</v>
      </c>
      <c r="P8" s="11">
        <v>32</v>
      </c>
      <c r="Q8" s="12">
        <v>75</v>
      </c>
      <c r="R8" s="10">
        <v>0</v>
      </c>
      <c r="S8" s="13">
        <v>32</v>
      </c>
      <c r="T8" s="13">
        <v>6</v>
      </c>
    </row>
    <row r="9" spans="1:20" ht="13.05" customHeight="1" x14ac:dyDescent="0.3">
      <c r="A9" s="17" t="s">
        <v>94</v>
      </c>
      <c r="B9" s="7" t="s">
        <v>9</v>
      </c>
      <c r="C9" s="14">
        <v>1</v>
      </c>
      <c r="D9" s="8">
        <v>14.262347627</v>
      </c>
      <c r="E9" s="8">
        <v>14.221547376</v>
      </c>
      <c r="F9" s="9">
        <v>11189</v>
      </c>
      <c r="G9" s="10">
        <v>0.99713930328533296</v>
      </c>
      <c r="H9" s="11">
        <v>3</v>
      </c>
      <c r="I9" s="11">
        <v>1</v>
      </c>
      <c r="J9" s="9">
        <v>28576</v>
      </c>
      <c r="K9" s="10">
        <v>1.04</v>
      </c>
      <c r="L9" s="10">
        <v>1</v>
      </c>
      <c r="M9" s="11" t="s">
        <v>55</v>
      </c>
      <c r="N9" s="11" t="s">
        <v>55</v>
      </c>
      <c r="O9" s="11" t="s">
        <v>55</v>
      </c>
      <c r="P9" s="11">
        <v>32</v>
      </c>
      <c r="Q9" s="12">
        <v>117</v>
      </c>
      <c r="R9" s="10">
        <v>1</v>
      </c>
      <c r="S9" s="13">
        <v>40</v>
      </c>
      <c r="T9" s="13">
        <v>5</v>
      </c>
    </row>
    <row r="10" spans="1:20" ht="13.05" customHeight="1" x14ac:dyDescent="0.3">
      <c r="A10" s="17" t="s">
        <v>94</v>
      </c>
      <c r="B10" s="7" t="s">
        <v>10</v>
      </c>
      <c r="C10" s="14">
        <v>2</v>
      </c>
      <c r="D10" s="8">
        <v>7.9588732209999993</v>
      </c>
      <c r="E10" s="8">
        <v>3.0928813229999998</v>
      </c>
      <c r="F10" s="9">
        <v>1822.303780952544</v>
      </c>
      <c r="G10" s="10">
        <v>0.38860793948058298</v>
      </c>
      <c r="H10" s="11">
        <v>4</v>
      </c>
      <c r="I10" s="11">
        <v>1</v>
      </c>
      <c r="J10" s="9">
        <v>14097</v>
      </c>
      <c r="K10" s="10">
        <v>0.88</v>
      </c>
      <c r="L10" s="10">
        <v>0.5</v>
      </c>
      <c r="M10" s="11" t="s">
        <v>55</v>
      </c>
      <c r="N10" s="11" t="s">
        <v>55</v>
      </c>
      <c r="O10" s="11" t="s">
        <v>55</v>
      </c>
      <c r="P10" s="11">
        <v>10</v>
      </c>
      <c r="Q10" s="12">
        <v>32</v>
      </c>
      <c r="R10" s="10">
        <v>0.7</v>
      </c>
      <c r="S10" s="13">
        <v>20</v>
      </c>
      <c r="T10" s="13">
        <v>4</v>
      </c>
    </row>
    <row r="11" spans="1:20" ht="13.05" customHeight="1" x14ac:dyDescent="0.3">
      <c r="A11" s="17" t="s">
        <v>94</v>
      </c>
      <c r="B11" s="7" t="s">
        <v>11</v>
      </c>
      <c r="C11" s="14">
        <v>1</v>
      </c>
      <c r="D11" s="8">
        <v>13.689520912000001</v>
      </c>
      <c r="E11" s="8">
        <v>10.31654573699999</v>
      </c>
      <c r="F11" s="9">
        <v>11164.559621367751</v>
      </c>
      <c r="G11" s="10">
        <v>0.75360896873729821</v>
      </c>
      <c r="H11" s="11">
        <v>10</v>
      </c>
      <c r="I11" s="11">
        <v>4</v>
      </c>
      <c r="J11" s="9">
        <v>13978</v>
      </c>
      <c r="K11" s="10">
        <v>0.96</v>
      </c>
      <c r="L11" s="10">
        <v>0.8</v>
      </c>
      <c r="M11" s="11" t="s">
        <v>56</v>
      </c>
      <c r="N11" s="11" t="s">
        <v>55</v>
      </c>
      <c r="O11" s="11" t="s">
        <v>55</v>
      </c>
      <c r="P11" s="11">
        <v>62</v>
      </c>
      <c r="Q11" s="12">
        <v>169</v>
      </c>
      <c r="R11" s="10">
        <v>0.5</v>
      </c>
      <c r="S11" s="13">
        <v>55</v>
      </c>
      <c r="T11" s="13">
        <v>7</v>
      </c>
    </row>
    <row r="12" spans="1:20" ht="13.05" customHeight="1" x14ac:dyDescent="0.3">
      <c r="A12" s="17" t="s">
        <v>94</v>
      </c>
      <c r="B12" s="7" t="s">
        <v>12</v>
      </c>
      <c r="C12" s="14">
        <v>3</v>
      </c>
      <c r="D12" s="8">
        <v>3.9803505460000008</v>
      </c>
      <c r="E12" s="8">
        <v>3.4122615330000001</v>
      </c>
      <c r="F12" s="9">
        <v>2911.3282824164498</v>
      </c>
      <c r="G12" s="10">
        <v>0.85727663771451135</v>
      </c>
      <c r="H12" s="11">
        <v>4</v>
      </c>
      <c r="I12" s="11">
        <v>3</v>
      </c>
      <c r="J12" s="9">
        <v>4684</v>
      </c>
      <c r="K12" s="10">
        <v>0.84</v>
      </c>
      <c r="L12" s="10">
        <v>0.8</v>
      </c>
      <c r="M12" s="11" t="s">
        <v>56</v>
      </c>
      <c r="N12" s="11" t="s">
        <v>56</v>
      </c>
      <c r="O12" s="11" t="s">
        <v>56</v>
      </c>
      <c r="P12" s="11">
        <v>17</v>
      </c>
      <c r="Q12" s="12">
        <v>42</v>
      </c>
      <c r="R12" s="10">
        <v>0.6</v>
      </c>
      <c r="S12" s="13">
        <v>16</v>
      </c>
      <c r="T12" s="13">
        <v>3</v>
      </c>
    </row>
    <row r="13" spans="1:20" ht="13.05" customHeight="1" x14ac:dyDescent="0.3">
      <c r="A13" s="17" t="s">
        <v>94</v>
      </c>
      <c r="B13" s="7" t="s">
        <v>13</v>
      </c>
      <c r="C13" s="14">
        <v>4</v>
      </c>
      <c r="D13" s="8">
        <v>2.1681612069999998</v>
      </c>
      <c r="E13" s="8">
        <v>0.72307515399999989</v>
      </c>
      <c r="F13" s="9">
        <v>699.07032063635688</v>
      </c>
      <c r="G13" s="10">
        <v>0.33349695200962048</v>
      </c>
      <c r="H13" s="11">
        <v>2</v>
      </c>
      <c r="I13" s="11">
        <v>1</v>
      </c>
      <c r="J13" s="9">
        <v>3797</v>
      </c>
      <c r="K13" s="10">
        <v>0.8</v>
      </c>
      <c r="L13" s="10">
        <v>0.8</v>
      </c>
      <c r="M13" s="11" t="s">
        <v>56</v>
      </c>
      <c r="N13" s="11" t="s">
        <v>56</v>
      </c>
      <c r="O13" s="11" t="s">
        <v>56</v>
      </c>
      <c r="P13" s="11">
        <v>4</v>
      </c>
      <c r="Q13" s="12">
        <v>15</v>
      </c>
      <c r="R13" s="10">
        <v>0.7</v>
      </c>
      <c r="S13" s="13">
        <v>5</v>
      </c>
      <c r="T13" s="13">
        <v>3</v>
      </c>
    </row>
    <row r="14" spans="1:20" ht="13.05" customHeight="1" x14ac:dyDescent="0.3">
      <c r="A14" s="17" t="s">
        <v>94</v>
      </c>
      <c r="B14" s="7" t="s">
        <v>14</v>
      </c>
      <c r="C14" s="14">
        <v>1</v>
      </c>
      <c r="D14" s="8">
        <v>30.368177152999991</v>
      </c>
      <c r="E14" s="8">
        <v>20.955335884</v>
      </c>
      <c r="F14" s="9">
        <v>23650.213350626869</v>
      </c>
      <c r="G14" s="10">
        <v>0.69004259881729113</v>
      </c>
      <c r="H14" s="11">
        <v>14</v>
      </c>
      <c r="I14" s="11">
        <v>2</v>
      </c>
      <c r="J14" s="9">
        <v>85322</v>
      </c>
      <c r="K14" s="10">
        <v>1.08</v>
      </c>
      <c r="L14" s="10">
        <v>0.8</v>
      </c>
      <c r="M14" s="11" t="s">
        <v>55</v>
      </c>
      <c r="N14" s="11" t="s">
        <v>55</v>
      </c>
      <c r="O14" s="11" t="s">
        <v>55</v>
      </c>
      <c r="P14" s="11">
        <v>100</v>
      </c>
      <c r="Q14" s="12">
        <v>345</v>
      </c>
      <c r="R14" s="10">
        <v>0.6</v>
      </c>
      <c r="S14" s="13">
        <v>135</v>
      </c>
      <c r="T14" s="13">
        <v>15</v>
      </c>
    </row>
    <row r="15" spans="1:20" ht="13.05" customHeight="1" x14ac:dyDescent="0.3">
      <c r="A15" s="17" t="s">
        <v>94</v>
      </c>
      <c r="B15" s="7" t="s">
        <v>15</v>
      </c>
      <c r="C15" s="14">
        <v>1</v>
      </c>
      <c r="D15" s="8">
        <v>13.63726149800001</v>
      </c>
      <c r="E15" s="8">
        <v>10.618098852999999</v>
      </c>
      <c r="F15" s="9">
        <v>11442.730605744509</v>
      </c>
      <c r="G15" s="10">
        <v>0.77860931643477016</v>
      </c>
      <c r="H15" s="11">
        <v>11</v>
      </c>
      <c r="I15" s="11">
        <v>1</v>
      </c>
      <c r="J15" s="9">
        <v>69016</v>
      </c>
      <c r="K15" s="10">
        <v>0.88</v>
      </c>
      <c r="L15" s="10">
        <v>0.8</v>
      </c>
      <c r="M15" s="11" t="s">
        <v>56</v>
      </c>
      <c r="N15" s="11" t="s">
        <v>55</v>
      </c>
      <c r="O15" s="11" t="s">
        <v>56</v>
      </c>
      <c r="P15" s="11">
        <v>52</v>
      </c>
      <c r="Q15" s="12">
        <v>166</v>
      </c>
      <c r="R15" s="10">
        <v>0.5</v>
      </c>
      <c r="S15" s="13">
        <v>60</v>
      </c>
      <c r="T15" s="13">
        <v>6</v>
      </c>
    </row>
    <row r="16" spans="1:20" ht="13.05" customHeight="1" x14ac:dyDescent="0.3">
      <c r="A16" s="17" t="s">
        <v>94</v>
      </c>
      <c r="B16" s="7" t="s">
        <v>16</v>
      </c>
      <c r="C16" s="14">
        <v>2</v>
      </c>
      <c r="D16" s="8">
        <v>5.0027996349999997</v>
      </c>
      <c r="E16" s="8">
        <v>4.5090292190000003</v>
      </c>
      <c r="F16" s="9">
        <v>4946.4670233488687</v>
      </c>
      <c r="G16" s="10">
        <v>0.90130118093366351</v>
      </c>
      <c r="H16" s="11">
        <v>5</v>
      </c>
      <c r="I16" s="11">
        <v>3</v>
      </c>
      <c r="J16" s="9">
        <v>9601</v>
      </c>
      <c r="K16" s="10">
        <v>1.05</v>
      </c>
      <c r="L16" s="10">
        <v>0.6</v>
      </c>
      <c r="M16" s="11" t="s">
        <v>56</v>
      </c>
      <c r="N16" s="11" t="s">
        <v>55</v>
      </c>
      <c r="O16" s="11" t="s">
        <v>56</v>
      </c>
      <c r="P16" s="11">
        <v>19</v>
      </c>
      <c r="Q16" s="12">
        <v>54</v>
      </c>
      <c r="R16" s="10">
        <v>0.7</v>
      </c>
      <c r="S16" s="13">
        <v>18</v>
      </c>
      <c r="T16" s="13">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
  <sheetViews>
    <sheetView zoomScale="90" zoomScaleNormal="90" workbookViewId="0">
      <pane xSplit="2" ySplit="1" topLeftCell="F2" activePane="bottomRight" state="frozen"/>
      <selection pane="topRight" activeCell="C1" sqref="C1"/>
      <selection pane="bottomLeft" activeCell="A2" sqref="A2"/>
      <selection pane="bottomRight" activeCell="A16" sqref="A16"/>
    </sheetView>
  </sheetViews>
  <sheetFormatPr baseColWidth="10" defaultColWidth="10.88671875" defaultRowHeight="13.8" x14ac:dyDescent="0.3"/>
  <cols>
    <col min="1" max="1" width="10.88671875" style="3" customWidth="1"/>
    <col min="2" max="2" width="12.21875" style="4" bestFit="1" customWidth="1"/>
    <col min="3" max="3" width="12.21875" style="4" customWidth="1"/>
    <col min="4" max="4" width="13.6640625" style="4" customWidth="1"/>
    <col min="5" max="5" width="13.88671875" style="3" customWidth="1"/>
    <col min="6" max="6" width="10.88671875" style="3" customWidth="1"/>
    <col min="7" max="7" width="12.21875" style="4" customWidth="1"/>
    <col min="8" max="9" width="13.44140625" style="3" customWidth="1"/>
    <col min="10" max="10" width="12.77734375" style="3" customWidth="1"/>
    <col min="11" max="12" width="10.88671875" style="3" customWidth="1"/>
    <col min="13" max="14" width="11.88671875" style="3" customWidth="1"/>
    <col min="15" max="15" width="10.88671875" style="3" customWidth="1"/>
    <col min="16" max="16384" width="10.88671875" style="3"/>
  </cols>
  <sheetData>
    <row r="1" spans="1:18" s="1" customFormat="1" ht="32.549999999999997" customHeight="1" x14ac:dyDescent="0.3">
      <c r="A1" s="5" t="s">
        <v>36</v>
      </c>
      <c r="B1" s="6" t="s">
        <v>37</v>
      </c>
      <c r="C1" s="6" t="s">
        <v>57</v>
      </c>
      <c r="D1" s="6" t="s">
        <v>58</v>
      </c>
      <c r="E1" s="6" t="s">
        <v>59</v>
      </c>
      <c r="F1" s="6" t="s">
        <v>60</v>
      </c>
      <c r="G1" s="6" t="s">
        <v>61</v>
      </c>
      <c r="H1" s="6" t="s">
        <v>62</v>
      </c>
      <c r="I1" s="6" t="s">
        <v>63</v>
      </c>
      <c r="J1" s="6" t="s">
        <v>64</v>
      </c>
      <c r="K1" s="6" t="s">
        <v>65</v>
      </c>
      <c r="L1" s="6" t="s">
        <v>66</v>
      </c>
      <c r="M1" s="6" t="s">
        <v>67</v>
      </c>
      <c r="N1" s="6" t="s">
        <v>68</v>
      </c>
    </row>
    <row r="2" spans="1:18" ht="13.05" customHeight="1" x14ac:dyDescent="0.3">
      <c r="A2" s="17" t="s">
        <v>93</v>
      </c>
      <c r="B2" s="7" t="s">
        <v>2</v>
      </c>
      <c r="C2" s="9">
        <v>18511</v>
      </c>
      <c r="D2" s="8">
        <v>15000</v>
      </c>
      <c r="E2" s="9">
        <v>0</v>
      </c>
      <c r="F2" s="9">
        <v>6668.7957000000006</v>
      </c>
      <c r="G2" s="9">
        <v>11370.37131230926</v>
      </c>
      <c r="H2" s="9">
        <v>14425.153367243131</v>
      </c>
      <c r="I2" s="20">
        <f t="shared" ref="I2:I16" si="0">SUM(D2:H2)</f>
        <v>47464.320379552395</v>
      </c>
      <c r="J2" s="9">
        <v>7144.760000000002</v>
      </c>
      <c r="K2" s="9">
        <v>0</v>
      </c>
      <c r="L2" s="9">
        <v>44451</v>
      </c>
      <c r="M2" s="9">
        <v>43451</v>
      </c>
      <c r="N2" s="9">
        <v>0</v>
      </c>
      <c r="O2" s="2"/>
    </row>
    <row r="3" spans="1:18" ht="13.05" customHeight="1" x14ac:dyDescent="0.3">
      <c r="A3" s="17" t="s">
        <v>93</v>
      </c>
      <c r="B3" s="7" t="s">
        <v>69</v>
      </c>
      <c r="C3" s="9">
        <v>26878</v>
      </c>
      <c r="D3" s="8">
        <v>15000</v>
      </c>
      <c r="E3" s="9">
        <v>70212.869047619053</v>
      </c>
      <c r="F3" s="9">
        <v>9262.2162499999995</v>
      </c>
      <c r="G3" s="9">
        <v>27796.937955834379</v>
      </c>
      <c r="H3" s="9">
        <v>21152.791810293478</v>
      </c>
      <c r="I3" s="20">
        <f t="shared" si="0"/>
        <v>143424.81506374691</v>
      </c>
      <c r="J3" s="9">
        <v>81930.072</v>
      </c>
      <c r="K3" s="9">
        <v>142702.70270270269</v>
      </c>
      <c r="L3" s="9">
        <v>287249</v>
      </c>
      <c r="M3" s="9">
        <v>220687</v>
      </c>
      <c r="N3" s="9">
        <v>110343.5</v>
      </c>
      <c r="O3" s="2"/>
    </row>
    <row r="4" spans="1:18" ht="13.05" customHeight="1" x14ac:dyDescent="0.3">
      <c r="A4" s="17" t="s">
        <v>93</v>
      </c>
      <c r="B4" s="7" t="s">
        <v>3</v>
      </c>
      <c r="C4" s="9">
        <v>61087</v>
      </c>
      <c r="D4" s="8">
        <v>25000</v>
      </c>
      <c r="E4" s="9">
        <v>84255.442857142858</v>
      </c>
      <c r="F4" s="9">
        <v>11114.6595</v>
      </c>
      <c r="G4" s="9">
        <v>23591.833206203912</v>
      </c>
      <c r="H4" s="9">
        <v>18886.421259190611</v>
      </c>
      <c r="I4" s="20">
        <f t="shared" si="0"/>
        <v>162848.35682253737</v>
      </c>
      <c r="J4" s="9">
        <v>212307.9</v>
      </c>
      <c r="K4" s="9">
        <v>259459.4594594595</v>
      </c>
      <c r="L4" s="9">
        <v>378909</v>
      </c>
      <c r="M4" s="9">
        <v>157740</v>
      </c>
      <c r="N4" s="9">
        <v>112671.42857142859</v>
      </c>
      <c r="O4" s="2"/>
    </row>
    <row r="5" spans="1:18" ht="13.05" customHeight="1" x14ac:dyDescent="0.3">
      <c r="A5" s="17" t="s">
        <v>93</v>
      </c>
      <c r="B5" s="7" t="s">
        <v>4</v>
      </c>
      <c r="C5" s="9">
        <v>70898</v>
      </c>
      <c r="D5" s="8">
        <v>25000</v>
      </c>
      <c r="E5" s="9">
        <v>103915.04619047621</v>
      </c>
      <c r="F5" s="9">
        <v>13708.08005</v>
      </c>
      <c r="G5" s="9">
        <v>44202.766336130182</v>
      </c>
      <c r="H5" s="9">
        <v>19286.81338988545</v>
      </c>
      <c r="I5" s="20">
        <f t="shared" si="0"/>
        <v>206112.70596649183</v>
      </c>
      <c r="J5" s="9">
        <v>184000.18</v>
      </c>
      <c r="K5" s="9">
        <v>220540.5405405405</v>
      </c>
      <c r="L5" s="9">
        <v>411279</v>
      </c>
      <c r="M5" s="9">
        <v>368914</v>
      </c>
      <c r="N5" s="9">
        <v>230571.25</v>
      </c>
      <c r="O5" s="2"/>
    </row>
    <row r="6" spans="1:18" ht="13.05" customHeight="1" x14ac:dyDescent="0.3">
      <c r="A6" s="17" t="s">
        <v>93</v>
      </c>
      <c r="B6" s="7" t="s">
        <v>6</v>
      </c>
      <c r="C6" s="9">
        <v>14809</v>
      </c>
      <c r="D6" s="8">
        <v>15000</v>
      </c>
      <c r="E6" s="9">
        <v>0</v>
      </c>
      <c r="F6" s="9">
        <v>5927.8184000000001</v>
      </c>
      <c r="G6" s="9">
        <v>10505.161454360539</v>
      </c>
      <c r="H6" s="9">
        <v>11709.58118069818</v>
      </c>
      <c r="I6" s="20">
        <f t="shared" si="0"/>
        <v>43142.561035058723</v>
      </c>
      <c r="J6" s="9">
        <v>73600.071999999986</v>
      </c>
      <c r="K6" s="9">
        <v>103783.7837837838</v>
      </c>
      <c r="L6" s="9">
        <v>219880</v>
      </c>
      <c r="M6" s="9">
        <v>206497</v>
      </c>
      <c r="N6" s="9">
        <v>77436.375</v>
      </c>
      <c r="O6" s="2"/>
    </row>
    <row r="7" spans="1:18" ht="13.05" customHeight="1" x14ac:dyDescent="0.3">
      <c r="A7" s="17" t="s">
        <v>93</v>
      </c>
      <c r="B7" s="7" t="s">
        <v>7</v>
      </c>
      <c r="C7" s="9">
        <v>76636</v>
      </c>
      <c r="D7" s="8">
        <v>35000</v>
      </c>
      <c r="E7" s="9">
        <v>213447.12190476191</v>
      </c>
      <c r="F7" s="9">
        <v>28157.1374</v>
      </c>
      <c r="G7" s="9">
        <v>43677.87583195186</v>
      </c>
      <c r="H7" s="9">
        <v>49482.423699079387</v>
      </c>
      <c r="I7" s="20">
        <f t="shared" si="0"/>
        <v>369764.55883579311</v>
      </c>
      <c r="J7" s="9">
        <v>302730.288</v>
      </c>
      <c r="K7" s="9">
        <v>376216.21621621621</v>
      </c>
      <c r="L7" s="9">
        <v>523835</v>
      </c>
      <c r="M7" s="9">
        <v>297466</v>
      </c>
      <c r="N7" s="9">
        <v>220345.1851851852</v>
      </c>
      <c r="O7" s="2"/>
    </row>
    <row r="8" spans="1:18" ht="13.05" customHeight="1" x14ac:dyDescent="0.3">
      <c r="A8" s="17" t="s">
        <v>93</v>
      </c>
      <c r="B8" s="7" t="s">
        <v>8</v>
      </c>
      <c r="C8" s="9">
        <v>30543</v>
      </c>
      <c r="D8" s="8">
        <v>25000</v>
      </c>
      <c r="E8" s="9">
        <v>98298.016666666677</v>
      </c>
      <c r="F8" s="9">
        <v>12967.10275</v>
      </c>
      <c r="G8" s="9">
        <v>39945.634375794558</v>
      </c>
      <c r="H8" s="9">
        <v>13220.49488143342</v>
      </c>
      <c r="I8" s="20">
        <f t="shared" si="0"/>
        <v>189431.24867389468</v>
      </c>
      <c r="J8" s="9">
        <v>147200.144</v>
      </c>
      <c r="K8" s="9">
        <v>181621.6216216216</v>
      </c>
      <c r="L8" s="9">
        <v>277152</v>
      </c>
      <c r="M8" s="9">
        <v>123137</v>
      </c>
      <c r="N8" s="9">
        <v>94720.769230769234</v>
      </c>
      <c r="O8" s="2"/>
    </row>
    <row r="9" spans="1:18" ht="13.05" customHeight="1" x14ac:dyDescent="0.3">
      <c r="A9" s="17" t="s">
        <v>94</v>
      </c>
      <c r="B9" s="7" t="s">
        <v>9</v>
      </c>
      <c r="C9" s="9">
        <v>70420</v>
      </c>
      <c r="D9" s="8">
        <v>50000</v>
      </c>
      <c r="E9" s="9">
        <v>0</v>
      </c>
      <c r="F9" s="9">
        <f>9600*0</f>
        <v>0</v>
      </c>
      <c r="G9" s="9">
        <f>27945*0</f>
        <v>0</v>
      </c>
      <c r="H9" s="9">
        <f>34200*0</f>
        <v>0</v>
      </c>
      <c r="I9" s="20">
        <f t="shared" si="0"/>
        <v>50000</v>
      </c>
      <c r="J9" s="9">
        <v>0</v>
      </c>
      <c r="K9" s="9">
        <v>0</v>
      </c>
      <c r="L9" s="9">
        <v>0</v>
      </c>
      <c r="M9" s="9">
        <v>0</v>
      </c>
      <c r="N9" s="9">
        <v>0</v>
      </c>
      <c r="O9" s="2"/>
      <c r="P9" s="15"/>
    </row>
    <row r="10" spans="1:18" ht="13.05" customHeight="1" x14ac:dyDescent="0.3">
      <c r="A10" s="17" t="s">
        <v>94</v>
      </c>
      <c r="B10" s="7" t="s">
        <v>10</v>
      </c>
      <c r="C10" s="9">
        <v>15920</v>
      </c>
      <c r="D10" s="8">
        <v>15000</v>
      </c>
      <c r="E10" s="9">
        <v>0</v>
      </c>
      <c r="F10" s="9">
        <v>3600</v>
      </c>
      <c r="G10" s="9">
        <v>12547</v>
      </c>
      <c r="H10" s="9">
        <v>3600</v>
      </c>
      <c r="I10" s="20">
        <f t="shared" si="0"/>
        <v>34747</v>
      </c>
      <c r="J10" s="9">
        <v>0</v>
      </c>
      <c r="K10" s="9">
        <v>0</v>
      </c>
      <c r="L10" s="9">
        <v>133781</v>
      </c>
      <c r="M10" s="9">
        <v>115803</v>
      </c>
      <c r="N10" s="9">
        <v>100862</v>
      </c>
      <c r="O10" s="2"/>
      <c r="P10" s="15"/>
      <c r="Q10" s="15"/>
      <c r="R10" s="15"/>
    </row>
    <row r="11" spans="1:18" ht="13.05" customHeight="1" x14ac:dyDescent="0.3">
      <c r="A11" s="17" t="s">
        <v>94</v>
      </c>
      <c r="B11" s="7" t="s">
        <v>11</v>
      </c>
      <c r="C11" s="9">
        <v>90320</v>
      </c>
      <c r="D11" s="8">
        <v>25000</v>
      </c>
      <c r="E11" s="9">
        <v>0</v>
      </c>
      <c r="F11" s="9">
        <v>15600</v>
      </c>
      <c r="G11" s="9">
        <v>57883</v>
      </c>
      <c r="H11" s="9">
        <v>8100</v>
      </c>
      <c r="I11" s="20">
        <f t="shared" si="0"/>
        <v>106583</v>
      </c>
      <c r="J11" s="9">
        <v>308459.675475</v>
      </c>
      <c r="K11" s="9">
        <v>0</v>
      </c>
      <c r="L11" s="9">
        <v>487872</v>
      </c>
      <c r="M11" s="9">
        <v>364795</v>
      </c>
      <c r="N11" s="9">
        <v>154945.83496052149</v>
      </c>
      <c r="O11" s="2"/>
      <c r="P11" s="15"/>
      <c r="Q11" s="15"/>
      <c r="R11" s="15"/>
    </row>
    <row r="12" spans="1:18" ht="13.05" customHeight="1" x14ac:dyDescent="0.3">
      <c r="A12" s="17" t="s">
        <v>94</v>
      </c>
      <c r="B12" s="7" t="s">
        <v>12</v>
      </c>
      <c r="C12" s="9">
        <v>24480</v>
      </c>
      <c r="D12" s="8">
        <v>15000</v>
      </c>
      <c r="E12" s="9">
        <v>0</v>
      </c>
      <c r="F12" s="9">
        <v>5560</v>
      </c>
      <c r="G12" s="9">
        <v>15273</v>
      </c>
      <c r="H12" s="9">
        <v>4500</v>
      </c>
      <c r="I12" s="20">
        <f t="shared" si="0"/>
        <v>40333</v>
      </c>
      <c r="J12" s="9">
        <v>176263</v>
      </c>
      <c r="K12" s="9">
        <v>0</v>
      </c>
      <c r="L12" s="9">
        <v>180753</v>
      </c>
      <c r="M12" s="9">
        <v>185549</v>
      </c>
      <c r="N12" s="9">
        <v>94573.81180473353</v>
      </c>
      <c r="O12" s="2"/>
      <c r="P12" s="15"/>
      <c r="Q12" s="15"/>
      <c r="R12" s="15"/>
    </row>
    <row r="13" spans="1:18" ht="13.05" customHeight="1" x14ac:dyDescent="0.3">
      <c r="A13" s="17" t="s">
        <v>94</v>
      </c>
      <c r="B13" s="7" t="s">
        <v>13</v>
      </c>
      <c r="C13" s="9">
        <v>10180</v>
      </c>
      <c r="D13" s="8">
        <v>5000</v>
      </c>
      <c r="E13" s="9">
        <v>0</v>
      </c>
      <c r="F13" s="9">
        <v>1440</v>
      </c>
      <c r="G13" s="9">
        <v>3746</v>
      </c>
      <c r="H13" s="9">
        <v>1800</v>
      </c>
      <c r="I13" s="20">
        <f t="shared" si="0"/>
        <v>11986</v>
      </c>
      <c r="J13" s="9">
        <v>88131</v>
      </c>
      <c r="K13" s="9">
        <v>0</v>
      </c>
      <c r="L13" s="9">
        <v>116598</v>
      </c>
      <c r="M13" s="9">
        <v>73392</v>
      </c>
      <c r="N13" s="9">
        <v>43642.31584092883</v>
      </c>
      <c r="O13" s="2"/>
      <c r="P13" s="15"/>
      <c r="Q13" s="15"/>
      <c r="R13" s="15"/>
    </row>
    <row r="14" spans="1:18" ht="13.05" customHeight="1" x14ac:dyDescent="0.3">
      <c r="A14" s="17" t="s">
        <v>94</v>
      </c>
      <c r="B14" s="7" t="s">
        <v>14</v>
      </c>
      <c r="C14" s="9">
        <v>109140</v>
      </c>
      <c r="D14" s="8">
        <v>50000</v>
      </c>
      <c r="E14" s="9">
        <v>369489</v>
      </c>
      <c r="F14" s="9">
        <v>44000</v>
      </c>
      <c r="G14" s="9">
        <v>73532</v>
      </c>
      <c r="H14" s="9">
        <v>20700</v>
      </c>
      <c r="I14" s="20">
        <f t="shared" si="0"/>
        <v>557721</v>
      </c>
      <c r="J14" s="9">
        <v>1189773</v>
      </c>
      <c r="K14" s="9">
        <v>0</v>
      </c>
      <c r="L14" s="9">
        <v>333663</v>
      </c>
      <c r="M14" s="9">
        <v>267903</v>
      </c>
      <c r="N14" s="9">
        <v>136549.4176951831</v>
      </c>
      <c r="O14" s="2"/>
      <c r="P14" s="15"/>
      <c r="Q14" s="15"/>
      <c r="R14" s="15"/>
    </row>
    <row r="15" spans="1:18" ht="13.05" customHeight="1" x14ac:dyDescent="0.3">
      <c r="A15" s="17" t="s">
        <v>94</v>
      </c>
      <c r="B15" s="7" t="s">
        <v>15</v>
      </c>
      <c r="C15" s="9">
        <v>56820</v>
      </c>
      <c r="D15" s="8">
        <v>35000</v>
      </c>
      <c r="E15" s="9">
        <v>0</v>
      </c>
      <c r="F15" s="9">
        <v>18560</v>
      </c>
      <c r="G15" s="9">
        <v>58580</v>
      </c>
      <c r="H15" s="9">
        <v>9000</v>
      </c>
      <c r="I15" s="20">
        <f t="shared" si="0"/>
        <v>121140</v>
      </c>
      <c r="J15" s="9">
        <v>925379</v>
      </c>
      <c r="K15" s="9">
        <v>0</v>
      </c>
      <c r="L15" s="9">
        <v>319639</v>
      </c>
      <c r="M15" s="9">
        <v>286043</v>
      </c>
      <c r="N15" s="9">
        <v>121496.1045782219</v>
      </c>
      <c r="O15" s="2"/>
      <c r="P15" s="15"/>
      <c r="Q15" s="15"/>
      <c r="R15" s="15"/>
    </row>
    <row r="16" spans="1:18" ht="13.05" customHeight="1" x14ac:dyDescent="0.3">
      <c r="A16" s="17" t="s">
        <v>94</v>
      </c>
      <c r="B16" s="7" t="s">
        <v>16</v>
      </c>
      <c r="C16" s="9">
        <v>27560</v>
      </c>
      <c r="D16" s="8">
        <v>15000</v>
      </c>
      <c r="E16" s="9">
        <v>0</v>
      </c>
      <c r="F16" s="9">
        <v>5320</v>
      </c>
      <c r="G16" s="9">
        <v>20351</v>
      </c>
      <c r="H16" s="9">
        <v>3600</v>
      </c>
      <c r="I16" s="20">
        <f t="shared" si="0"/>
        <v>44271</v>
      </c>
      <c r="J16" s="9">
        <v>88131</v>
      </c>
      <c r="K16" s="9">
        <v>0</v>
      </c>
      <c r="L16" s="9">
        <v>139767</v>
      </c>
      <c r="M16" s="9">
        <v>134417</v>
      </c>
      <c r="N16" s="9">
        <v>79930.635060907603</v>
      </c>
      <c r="O16" s="2"/>
      <c r="P16" s="15"/>
      <c r="Q16" s="15"/>
      <c r="R16" s="15"/>
    </row>
    <row r="18" spans="5:10" ht="13.05" customHeight="1" x14ac:dyDescent="0.3">
      <c r="E18" s="21"/>
      <c r="F18" s="21"/>
      <c r="I18" s="21"/>
      <c r="J18" s="21"/>
    </row>
    <row r="19" spans="5:10" ht="13.05" customHeight="1" x14ac:dyDescent="0.3">
      <c r="J19"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zoomScaleNormal="100" workbookViewId="0">
      <selection activeCell="H3" sqref="H3"/>
    </sheetView>
  </sheetViews>
  <sheetFormatPr baseColWidth="10" defaultColWidth="10.88671875" defaultRowHeight="13.8" x14ac:dyDescent="0.3"/>
  <cols>
    <col min="1" max="1" width="26.77734375" style="4" customWidth="1"/>
    <col min="2" max="3" width="14.88671875" style="4" customWidth="1"/>
    <col min="4" max="4" width="15.77734375" style="4" customWidth="1"/>
    <col min="5" max="5" width="20.33203125" style="4" customWidth="1"/>
    <col min="6" max="6" width="22.5546875" style="4" bestFit="1" customWidth="1"/>
    <col min="7" max="7" width="10.21875" style="4" customWidth="1"/>
    <col min="8" max="8" width="9.88671875" style="4" bestFit="1" customWidth="1"/>
    <col min="9" max="9" width="10.88671875" style="3" customWidth="1"/>
    <col min="10" max="10" width="18.6640625" style="3" customWidth="1"/>
    <col min="11" max="11" width="10.88671875" style="3" customWidth="1"/>
    <col min="12" max="16384" width="10.88671875" style="3"/>
  </cols>
  <sheetData>
    <row r="1" spans="1:15" x14ac:dyDescent="0.3">
      <c r="A1" s="18" t="s">
        <v>70</v>
      </c>
      <c r="B1" s="18" t="s">
        <v>71</v>
      </c>
      <c r="C1" s="18" t="s">
        <v>72</v>
      </c>
      <c r="D1" s="18" t="s">
        <v>73</v>
      </c>
      <c r="E1" s="18" t="s">
        <v>74</v>
      </c>
      <c r="F1" s="18" t="s">
        <v>95</v>
      </c>
      <c r="G1" s="18" t="s">
        <v>100</v>
      </c>
      <c r="H1" s="18" t="s">
        <v>99</v>
      </c>
    </row>
    <row r="2" spans="1:15" x14ac:dyDescent="0.3">
      <c r="A2" s="11" t="s">
        <v>25</v>
      </c>
      <c r="B2" s="11" t="s">
        <v>75</v>
      </c>
      <c r="C2" s="11" t="s">
        <v>55</v>
      </c>
      <c r="D2" s="11" t="s">
        <v>76</v>
      </c>
      <c r="E2" s="19" t="s">
        <v>77</v>
      </c>
      <c r="F2" s="22">
        <v>36000</v>
      </c>
      <c r="G2" s="11">
        <v>1</v>
      </c>
      <c r="H2" s="11">
        <v>5</v>
      </c>
      <c r="N2" s="3" t="s">
        <v>34</v>
      </c>
      <c r="O2" s="3" t="s">
        <v>78</v>
      </c>
    </row>
    <row r="3" spans="1:15" x14ac:dyDescent="0.3">
      <c r="A3" s="11" t="s">
        <v>79</v>
      </c>
      <c r="B3" s="11" t="s">
        <v>80</v>
      </c>
      <c r="C3" s="11" t="s">
        <v>55</v>
      </c>
      <c r="D3" s="11" t="s">
        <v>76</v>
      </c>
      <c r="E3" s="19" t="s">
        <v>77</v>
      </c>
      <c r="F3" s="22">
        <v>35000</v>
      </c>
      <c r="G3" s="11">
        <v>1</v>
      </c>
      <c r="H3" s="11">
        <v>5</v>
      </c>
    </row>
    <row r="4" spans="1:15" x14ac:dyDescent="0.3">
      <c r="A4" s="11" t="s">
        <v>81</v>
      </c>
      <c r="B4" s="11" t="s">
        <v>80</v>
      </c>
      <c r="C4" s="11" t="s">
        <v>82</v>
      </c>
      <c r="D4" s="11" t="s">
        <v>76</v>
      </c>
      <c r="E4" s="19" t="s">
        <v>77</v>
      </c>
      <c r="F4" s="22">
        <v>25000</v>
      </c>
      <c r="G4" s="11">
        <v>1</v>
      </c>
      <c r="H4" s="11">
        <v>5</v>
      </c>
    </row>
    <row r="5" spans="1:15" x14ac:dyDescent="0.3">
      <c r="A5" s="11" t="s">
        <v>83</v>
      </c>
      <c r="B5" s="11" t="s">
        <v>80</v>
      </c>
      <c r="C5" s="11" t="s">
        <v>82</v>
      </c>
      <c r="D5" s="11" t="s">
        <v>76</v>
      </c>
      <c r="E5" s="19" t="s">
        <v>77</v>
      </c>
      <c r="F5" s="22">
        <v>25000</v>
      </c>
      <c r="G5" s="11">
        <v>1</v>
      </c>
      <c r="H5" s="11">
        <v>5</v>
      </c>
    </row>
    <row r="6" spans="1:15" x14ac:dyDescent="0.3">
      <c r="A6" s="11" t="s">
        <v>19</v>
      </c>
      <c r="B6" s="11" t="s">
        <v>84</v>
      </c>
      <c r="C6" s="11" t="s">
        <v>56</v>
      </c>
      <c r="D6" s="11" t="s">
        <v>76</v>
      </c>
      <c r="E6" s="19" t="s">
        <v>77</v>
      </c>
      <c r="F6" s="22">
        <v>16000</v>
      </c>
      <c r="G6" s="11">
        <v>1</v>
      </c>
      <c r="H6" s="11">
        <v>5</v>
      </c>
    </row>
    <row r="7" spans="1:15" x14ac:dyDescent="0.3">
      <c r="A7" s="11" t="s">
        <v>19</v>
      </c>
      <c r="B7" s="11" t="s">
        <v>84</v>
      </c>
      <c r="C7" s="11" t="s">
        <v>56</v>
      </c>
      <c r="D7" s="11" t="s">
        <v>85</v>
      </c>
      <c r="E7" s="19" t="s">
        <v>77</v>
      </c>
      <c r="F7" s="22">
        <v>16000</v>
      </c>
      <c r="G7" s="11">
        <v>1</v>
      </c>
      <c r="H7" s="11">
        <v>5</v>
      </c>
    </row>
    <row r="8" spans="1:15" x14ac:dyDescent="0.3">
      <c r="A8" s="11" t="s">
        <v>22</v>
      </c>
      <c r="B8" s="11" t="s">
        <v>84</v>
      </c>
      <c r="C8" s="11" t="s">
        <v>56</v>
      </c>
      <c r="D8" s="11" t="s">
        <v>76</v>
      </c>
      <c r="E8" s="11" t="s">
        <v>77</v>
      </c>
      <c r="F8" s="22">
        <v>42000</v>
      </c>
      <c r="G8" s="11">
        <v>1</v>
      </c>
      <c r="H8" s="11">
        <v>5</v>
      </c>
    </row>
    <row r="9" spans="1:15" x14ac:dyDescent="0.3">
      <c r="A9" s="11" t="s">
        <v>22</v>
      </c>
      <c r="B9" s="11" t="s">
        <v>84</v>
      </c>
      <c r="C9" s="11" t="s">
        <v>56</v>
      </c>
      <c r="D9" s="11" t="s">
        <v>85</v>
      </c>
      <c r="E9" s="11" t="s">
        <v>86</v>
      </c>
      <c r="F9" s="22">
        <v>43000</v>
      </c>
      <c r="G9" s="11">
        <v>1</v>
      </c>
      <c r="H9" s="11">
        <v>5</v>
      </c>
    </row>
    <row r="10" spans="1:15" x14ac:dyDescent="0.3">
      <c r="A10" s="11" t="s">
        <v>20</v>
      </c>
      <c r="B10" s="11" t="s">
        <v>84</v>
      </c>
      <c r="C10" s="11" t="s">
        <v>56</v>
      </c>
      <c r="D10" s="11" t="s">
        <v>76</v>
      </c>
      <c r="E10" s="11" t="s">
        <v>77</v>
      </c>
      <c r="F10" s="22">
        <v>35000</v>
      </c>
      <c r="G10" s="11">
        <v>1</v>
      </c>
      <c r="H10" s="11">
        <v>5</v>
      </c>
    </row>
    <row r="11" spans="1:15" x14ac:dyDescent="0.3">
      <c r="A11" s="11" t="s">
        <v>20</v>
      </c>
      <c r="B11" s="11" t="s">
        <v>84</v>
      </c>
      <c r="C11" s="11" t="s">
        <v>56</v>
      </c>
      <c r="D11" s="11" t="s">
        <v>85</v>
      </c>
      <c r="E11" s="11" t="s">
        <v>86</v>
      </c>
      <c r="F11" s="22">
        <v>35000</v>
      </c>
      <c r="G11" s="11">
        <v>1</v>
      </c>
      <c r="H11" s="11">
        <v>5</v>
      </c>
    </row>
    <row r="12" spans="1:15" x14ac:dyDescent="0.3">
      <c r="A12" s="11" t="s">
        <v>23</v>
      </c>
      <c r="B12" s="11" t="s">
        <v>75</v>
      </c>
      <c r="C12" s="11" t="s">
        <v>55</v>
      </c>
      <c r="D12" s="11" t="s">
        <v>76</v>
      </c>
      <c r="E12" s="11" t="s">
        <v>77</v>
      </c>
      <c r="F12" s="22">
        <v>62000</v>
      </c>
      <c r="G12" s="11">
        <v>1</v>
      </c>
      <c r="H12" s="11">
        <v>5</v>
      </c>
    </row>
    <row r="13" spans="1:15" x14ac:dyDescent="0.3">
      <c r="A13" s="11" t="s">
        <v>24</v>
      </c>
      <c r="B13" s="11" t="s">
        <v>75</v>
      </c>
      <c r="C13" s="11" t="s">
        <v>55</v>
      </c>
      <c r="D13" s="11" t="s">
        <v>76</v>
      </c>
      <c r="E13" s="11" t="s">
        <v>86</v>
      </c>
      <c r="F13" s="22">
        <v>55000</v>
      </c>
      <c r="G13" s="11">
        <v>1</v>
      </c>
      <c r="H13" s="11">
        <v>5</v>
      </c>
    </row>
    <row r="14" spans="1:15" x14ac:dyDescent="0.3">
      <c r="A14" s="11" t="s">
        <v>17</v>
      </c>
      <c r="B14" s="11" t="s">
        <v>75</v>
      </c>
      <c r="C14" s="11" t="s">
        <v>55</v>
      </c>
      <c r="D14" s="11" t="s">
        <v>76</v>
      </c>
      <c r="E14" s="11" t="s">
        <v>77</v>
      </c>
      <c r="F14" s="22">
        <v>48000</v>
      </c>
      <c r="G14" s="11">
        <v>1</v>
      </c>
      <c r="H14" s="11">
        <v>5</v>
      </c>
    </row>
    <row r="15" spans="1:15" x14ac:dyDescent="0.3">
      <c r="A15" s="11" t="s">
        <v>18</v>
      </c>
      <c r="B15" s="11" t="s">
        <v>75</v>
      </c>
      <c r="C15" s="11" t="s">
        <v>55</v>
      </c>
      <c r="D15" s="11" t="s">
        <v>76</v>
      </c>
      <c r="E15" s="11" t="s">
        <v>86</v>
      </c>
      <c r="F15" s="22">
        <v>45000</v>
      </c>
      <c r="G15" s="11">
        <v>1</v>
      </c>
      <c r="H15" s="11">
        <v>5</v>
      </c>
    </row>
    <row r="16" spans="1:15" x14ac:dyDescent="0.3">
      <c r="A16" s="11" t="s">
        <v>26</v>
      </c>
      <c r="B16" s="11" t="s">
        <v>75</v>
      </c>
      <c r="C16" s="11" t="s">
        <v>82</v>
      </c>
      <c r="D16" s="11" t="s">
        <v>76</v>
      </c>
      <c r="E16" s="11" t="s">
        <v>86</v>
      </c>
      <c r="F16" s="22">
        <v>35000</v>
      </c>
      <c r="G16" s="11">
        <v>1</v>
      </c>
      <c r="H16" s="11">
        <v>5</v>
      </c>
    </row>
    <row r="17" spans="1:8" x14ac:dyDescent="0.3">
      <c r="A17" s="11" t="s">
        <v>27</v>
      </c>
      <c r="B17" s="11" t="s">
        <v>84</v>
      </c>
      <c r="C17" s="11" t="s">
        <v>56</v>
      </c>
      <c r="D17" s="11" t="s">
        <v>85</v>
      </c>
      <c r="E17" s="11" t="s">
        <v>86</v>
      </c>
      <c r="F17" s="22">
        <v>28000</v>
      </c>
      <c r="G17" s="11">
        <v>1</v>
      </c>
      <c r="H17" s="11">
        <v>5</v>
      </c>
    </row>
    <row r="18" spans="1:8" x14ac:dyDescent="0.3">
      <c r="A18" s="11" t="s">
        <v>21</v>
      </c>
      <c r="B18" s="11" t="s">
        <v>75</v>
      </c>
      <c r="C18" s="11" t="s">
        <v>55</v>
      </c>
      <c r="D18" s="11" t="s">
        <v>85</v>
      </c>
      <c r="E18" s="11" t="s">
        <v>86</v>
      </c>
      <c r="F18" s="22">
        <v>36000</v>
      </c>
      <c r="G18" s="11">
        <v>2</v>
      </c>
      <c r="H18" s="11">
        <v>5</v>
      </c>
    </row>
    <row r="19" spans="1:8" x14ac:dyDescent="0.3">
      <c r="A19" s="11" t="s">
        <v>87</v>
      </c>
      <c r="B19" s="11" t="s">
        <v>75</v>
      </c>
      <c r="C19" s="11" t="s">
        <v>55</v>
      </c>
      <c r="D19" s="11" t="s">
        <v>85</v>
      </c>
      <c r="E19" s="11" t="s">
        <v>86</v>
      </c>
      <c r="F19" s="22">
        <v>22000</v>
      </c>
      <c r="G19" s="11">
        <v>2</v>
      </c>
      <c r="H19" s="11">
        <v>5</v>
      </c>
    </row>
    <row r="20" spans="1:8" x14ac:dyDescent="0.3">
      <c r="A20" s="3"/>
    </row>
    <row r="21" spans="1:8" x14ac:dyDescent="0.3">
      <c r="A2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5"/>
  <sheetViews>
    <sheetView zoomScale="145" zoomScaleNormal="145" workbookViewId="0">
      <selection activeCell="G24" sqref="G24"/>
    </sheetView>
  </sheetViews>
  <sheetFormatPr baseColWidth="10" defaultColWidth="10.88671875" defaultRowHeight="13.8" x14ac:dyDescent="0.3"/>
  <cols>
    <col min="1" max="1" width="10.88671875" style="3" customWidth="1"/>
    <col min="2" max="2" width="20.77734375" style="3" customWidth="1"/>
    <col min="3" max="3" width="12.77734375" style="4" customWidth="1"/>
    <col min="4" max="4" width="17.33203125" style="4" bestFit="1" customWidth="1"/>
    <col min="5" max="5" width="20.33203125" style="3" customWidth="1"/>
    <col min="6" max="6" width="10.88671875" style="3" customWidth="1"/>
    <col min="7" max="16384" width="10.88671875" style="3"/>
  </cols>
  <sheetData>
    <row r="1" spans="1:5" x14ac:dyDescent="0.3">
      <c r="A1" s="18" t="s">
        <v>1</v>
      </c>
      <c r="B1" s="18" t="s">
        <v>88</v>
      </c>
      <c r="C1" s="18" t="s">
        <v>89</v>
      </c>
      <c r="D1" s="18" t="s">
        <v>90</v>
      </c>
      <c r="E1" s="18" t="s">
        <v>91</v>
      </c>
    </row>
    <row r="2" spans="1:5" x14ac:dyDescent="0.3">
      <c r="A2" s="11">
        <v>1</v>
      </c>
      <c r="B2" s="13" t="s">
        <v>28</v>
      </c>
      <c r="C2" s="11">
        <v>1</v>
      </c>
      <c r="D2" s="11" t="s">
        <v>0</v>
      </c>
      <c r="E2" s="11">
        <v>5</v>
      </c>
    </row>
    <row r="3" spans="1:5" x14ac:dyDescent="0.3">
      <c r="A3" s="11">
        <v>1</v>
      </c>
      <c r="B3" s="13" t="s">
        <v>29</v>
      </c>
      <c r="C3" s="11">
        <v>2</v>
      </c>
      <c r="D3" s="11" t="s">
        <v>0</v>
      </c>
      <c r="E3" s="11">
        <v>2</v>
      </c>
    </row>
    <row r="4" spans="1:5" x14ac:dyDescent="0.3">
      <c r="A4" s="11">
        <v>1</v>
      </c>
      <c r="B4" s="13" t="s">
        <v>30</v>
      </c>
      <c r="C4" s="11">
        <v>3</v>
      </c>
      <c r="D4" s="11" t="s">
        <v>0</v>
      </c>
      <c r="E4" s="11">
        <v>1</v>
      </c>
    </row>
    <row r="5" spans="1:5" x14ac:dyDescent="0.3">
      <c r="A5" s="11">
        <v>1</v>
      </c>
      <c r="B5" s="13" t="s">
        <v>31</v>
      </c>
      <c r="C5" s="11">
        <v>4</v>
      </c>
      <c r="D5" s="11" t="s">
        <v>0</v>
      </c>
      <c r="E5" s="11">
        <v>2</v>
      </c>
    </row>
    <row r="6" spans="1:5" x14ac:dyDescent="0.3">
      <c r="A6" s="11">
        <v>1</v>
      </c>
      <c r="B6" s="13" t="s">
        <v>32</v>
      </c>
      <c r="C6" s="11">
        <v>5</v>
      </c>
      <c r="D6" s="11" t="s">
        <v>0</v>
      </c>
      <c r="E6" s="11">
        <v>3</v>
      </c>
    </row>
    <row r="7" spans="1:5" x14ac:dyDescent="0.3">
      <c r="A7" s="11">
        <v>1</v>
      </c>
      <c r="B7" s="13" t="s">
        <v>33</v>
      </c>
      <c r="C7" s="11">
        <v>6</v>
      </c>
      <c r="D7" s="11" t="s">
        <v>0</v>
      </c>
      <c r="E7" s="11">
        <v>1</v>
      </c>
    </row>
    <row r="8" spans="1:5" x14ac:dyDescent="0.3">
      <c r="A8" s="11">
        <v>1</v>
      </c>
      <c r="B8" s="13" t="s">
        <v>34</v>
      </c>
      <c r="C8" s="11">
        <v>7</v>
      </c>
      <c r="D8" s="11" t="s">
        <v>0</v>
      </c>
      <c r="E8" s="11">
        <v>1</v>
      </c>
    </row>
    <row r="9" spans="1:5" x14ac:dyDescent="0.3">
      <c r="A9" s="11">
        <v>1</v>
      </c>
      <c r="B9" s="13" t="s">
        <v>35</v>
      </c>
      <c r="C9" s="11">
        <v>8</v>
      </c>
      <c r="D9" s="11" t="s">
        <v>0</v>
      </c>
      <c r="E9" s="11">
        <v>4</v>
      </c>
    </row>
    <row r="10" spans="1:5" x14ac:dyDescent="0.3">
      <c r="A10" s="11">
        <v>2</v>
      </c>
      <c r="B10" s="13" t="s">
        <v>28</v>
      </c>
      <c r="C10" s="11">
        <v>1</v>
      </c>
      <c r="D10" s="11" t="s">
        <v>0</v>
      </c>
      <c r="E10" s="11">
        <v>4</v>
      </c>
    </row>
    <row r="11" spans="1:5" x14ac:dyDescent="0.3">
      <c r="A11" s="11">
        <v>2</v>
      </c>
      <c r="B11" s="13" t="s">
        <v>29</v>
      </c>
      <c r="C11" s="11">
        <v>2</v>
      </c>
      <c r="D11" s="11" t="s">
        <v>0</v>
      </c>
      <c r="E11" s="11">
        <v>1</v>
      </c>
    </row>
    <row r="12" spans="1:5" x14ac:dyDescent="0.3">
      <c r="A12" s="11">
        <v>2</v>
      </c>
      <c r="B12" s="13" t="s">
        <v>30</v>
      </c>
      <c r="C12" s="11">
        <v>3</v>
      </c>
      <c r="D12" s="11" t="s">
        <v>0</v>
      </c>
      <c r="E12" s="11">
        <v>1</v>
      </c>
    </row>
    <row r="13" spans="1:5" x14ac:dyDescent="0.3">
      <c r="A13" s="11">
        <v>2</v>
      </c>
      <c r="B13" s="13" t="s">
        <v>31</v>
      </c>
      <c r="C13" s="11">
        <v>4</v>
      </c>
      <c r="D13" s="11" t="s">
        <v>0</v>
      </c>
      <c r="E13" s="11">
        <v>2</v>
      </c>
    </row>
    <row r="14" spans="1:5" x14ac:dyDescent="0.3">
      <c r="A14" s="11">
        <v>2</v>
      </c>
      <c r="B14" s="13" t="s">
        <v>32</v>
      </c>
      <c r="C14" s="11">
        <v>5</v>
      </c>
      <c r="D14" s="11" t="s">
        <v>0</v>
      </c>
      <c r="E14" s="11">
        <v>2</v>
      </c>
    </row>
    <row r="15" spans="1:5" x14ac:dyDescent="0.3">
      <c r="A15" s="11">
        <v>2</v>
      </c>
      <c r="B15" s="13" t="s">
        <v>33</v>
      </c>
      <c r="C15" s="11">
        <v>6</v>
      </c>
      <c r="D15" s="11" t="s">
        <v>0</v>
      </c>
      <c r="E15" s="11">
        <v>1</v>
      </c>
    </row>
    <row r="16" spans="1:5" x14ac:dyDescent="0.3">
      <c r="A16" s="11">
        <v>2</v>
      </c>
      <c r="B16" s="13" t="s">
        <v>34</v>
      </c>
      <c r="C16" s="11">
        <v>7</v>
      </c>
      <c r="D16" s="11" t="s">
        <v>0</v>
      </c>
      <c r="E16" s="11">
        <v>1</v>
      </c>
    </row>
    <row r="17" spans="1:5" x14ac:dyDescent="0.3">
      <c r="A17" s="11">
        <v>2</v>
      </c>
      <c r="B17" s="13" t="s">
        <v>35</v>
      </c>
      <c r="C17" s="11">
        <v>8</v>
      </c>
      <c r="D17" s="11" t="s">
        <v>0</v>
      </c>
      <c r="E17" s="11">
        <v>4</v>
      </c>
    </row>
    <row r="18" spans="1:5" x14ac:dyDescent="0.3">
      <c r="A18" s="11">
        <v>3</v>
      </c>
      <c r="B18" s="13" t="s">
        <v>28</v>
      </c>
      <c r="C18" s="11">
        <v>1</v>
      </c>
      <c r="D18" s="11" t="s">
        <v>0</v>
      </c>
      <c r="E18" s="11">
        <v>4</v>
      </c>
    </row>
    <row r="19" spans="1:5" x14ac:dyDescent="0.3">
      <c r="A19" s="11">
        <v>3</v>
      </c>
      <c r="B19" s="13" t="s">
        <v>29</v>
      </c>
      <c r="C19" s="11">
        <v>2</v>
      </c>
      <c r="D19" s="11" t="s">
        <v>0</v>
      </c>
      <c r="E19" s="11">
        <v>1</v>
      </c>
    </row>
    <row r="20" spans="1:5" x14ac:dyDescent="0.3">
      <c r="A20" s="11">
        <v>3</v>
      </c>
      <c r="B20" s="13" t="s">
        <v>30</v>
      </c>
      <c r="C20" s="11">
        <v>3</v>
      </c>
      <c r="D20" s="11" t="s">
        <v>0</v>
      </c>
      <c r="E20" s="11">
        <v>1</v>
      </c>
    </row>
    <row r="21" spans="1:5" x14ac:dyDescent="0.3">
      <c r="A21" s="11">
        <v>3</v>
      </c>
      <c r="B21" s="13" t="s">
        <v>31</v>
      </c>
      <c r="C21" s="11">
        <v>4</v>
      </c>
      <c r="D21" s="11" t="s">
        <v>0</v>
      </c>
      <c r="E21" s="11">
        <v>1</v>
      </c>
    </row>
    <row r="22" spans="1:5" x14ac:dyDescent="0.3">
      <c r="A22" s="11">
        <v>3</v>
      </c>
      <c r="B22" s="13" t="s">
        <v>32</v>
      </c>
      <c r="C22" s="11">
        <v>5</v>
      </c>
      <c r="D22" s="11" t="s">
        <v>0</v>
      </c>
      <c r="E22" s="11">
        <v>2</v>
      </c>
    </row>
    <row r="23" spans="1:5" x14ac:dyDescent="0.3">
      <c r="A23" s="11">
        <v>3</v>
      </c>
      <c r="B23" s="13" t="s">
        <v>33</v>
      </c>
      <c r="C23" s="11">
        <v>6</v>
      </c>
      <c r="D23" s="11" t="s">
        <v>0</v>
      </c>
      <c r="E23" s="11">
        <v>1</v>
      </c>
    </row>
    <row r="24" spans="1:5" x14ac:dyDescent="0.3">
      <c r="A24" s="11">
        <v>3</v>
      </c>
      <c r="B24" s="13" t="s">
        <v>34</v>
      </c>
      <c r="C24" s="11">
        <v>7</v>
      </c>
      <c r="D24" s="11" t="s">
        <v>0</v>
      </c>
      <c r="E24" s="11">
        <v>1</v>
      </c>
    </row>
    <row r="25" spans="1:5" x14ac:dyDescent="0.3">
      <c r="A25" s="11">
        <v>3</v>
      </c>
      <c r="B25" s="13" t="s">
        <v>35</v>
      </c>
      <c r="C25" s="11">
        <v>8</v>
      </c>
      <c r="D25" s="11" t="s">
        <v>0</v>
      </c>
      <c r="E25" s="11">
        <v>4</v>
      </c>
    </row>
    <row r="26" spans="1:5" x14ac:dyDescent="0.3">
      <c r="A26" s="11">
        <v>4</v>
      </c>
      <c r="B26" s="13" t="s">
        <v>28</v>
      </c>
      <c r="C26" s="11">
        <v>1</v>
      </c>
      <c r="D26" s="11" t="s">
        <v>0</v>
      </c>
      <c r="E26" s="11">
        <v>2</v>
      </c>
    </row>
    <row r="27" spans="1:5" x14ac:dyDescent="0.3">
      <c r="A27" s="11">
        <v>4</v>
      </c>
      <c r="B27" s="13" t="s">
        <v>29</v>
      </c>
      <c r="C27" s="11">
        <v>2</v>
      </c>
      <c r="D27" s="11" t="s">
        <v>0</v>
      </c>
      <c r="E27" s="11">
        <v>0</v>
      </c>
    </row>
    <row r="28" spans="1:5" x14ac:dyDescent="0.3">
      <c r="A28" s="11">
        <v>4</v>
      </c>
      <c r="B28" s="13" t="s">
        <v>30</v>
      </c>
      <c r="C28" s="11">
        <v>3</v>
      </c>
      <c r="D28" s="11" t="s">
        <v>0</v>
      </c>
      <c r="E28" s="11">
        <v>1</v>
      </c>
    </row>
    <row r="29" spans="1:5" x14ac:dyDescent="0.3">
      <c r="A29" s="11">
        <v>4</v>
      </c>
      <c r="B29" s="13" t="s">
        <v>31</v>
      </c>
      <c r="C29" s="11">
        <v>4</v>
      </c>
      <c r="D29" s="11" t="s">
        <v>0</v>
      </c>
      <c r="E29" s="11">
        <v>1</v>
      </c>
    </row>
    <row r="30" spans="1:5" x14ac:dyDescent="0.3">
      <c r="A30" s="11">
        <v>4</v>
      </c>
      <c r="B30" s="13" t="s">
        <v>32</v>
      </c>
      <c r="C30" s="11">
        <v>5</v>
      </c>
      <c r="D30" s="11" t="s">
        <v>0</v>
      </c>
      <c r="E30" s="11">
        <v>1</v>
      </c>
    </row>
    <row r="31" spans="1:5" x14ac:dyDescent="0.3">
      <c r="A31" s="11">
        <v>4</v>
      </c>
      <c r="B31" s="13" t="s">
        <v>33</v>
      </c>
      <c r="C31" s="11">
        <v>6</v>
      </c>
      <c r="D31" s="11" t="s">
        <v>0</v>
      </c>
      <c r="E31" s="11">
        <v>1</v>
      </c>
    </row>
    <row r="32" spans="1:5" x14ac:dyDescent="0.3">
      <c r="A32" s="11">
        <v>4</v>
      </c>
      <c r="B32" s="13" t="s">
        <v>34</v>
      </c>
      <c r="C32" s="11">
        <v>7</v>
      </c>
      <c r="D32" s="11" t="s">
        <v>0</v>
      </c>
      <c r="E32" s="11">
        <v>1</v>
      </c>
    </row>
    <row r="33" spans="1:5" x14ac:dyDescent="0.3">
      <c r="A33" s="11">
        <v>4</v>
      </c>
      <c r="B33" s="13" t="s">
        <v>35</v>
      </c>
      <c r="C33" s="11">
        <v>8</v>
      </c>
      <c r="D33" s="11" t="s">
        <v>0</v>
      </c>
      <c r="E33" s="11">
        <v>3</v>
      </c>
    </row>
    <row r="34" spans="1:5" x14ac:dyDescent="0.3">
      <c r="A34" s="11">
        <v>1</v>
      </c>
      <c r="B34" s="13" t="s">
        <v>28</v>
      </c>
      <c r="C34" s="11">
        <v>1</v>
      </c>
      <c r="D34" s="11" t="s">
        <v>5</v>
      </c>
      <c r="E34" s="11">
        <v>4</v>
      </c>
    </row>
    <row r="35" spans="1:5" x14ac:dyDescent="0.3">
      <c r="A35" s="11">
        <v>1</v>
      </c>
      <c r="B35" s="13" t="s">
        <v>29</v>
      </c>
      <c r="C35" s="11">
        <v>2</v>
      </c>
      <c r="D35" s="11" t="s">
        <v>5</v>
      </c>
      <c r="E35" s="11">
        <v>1</v>
      </c>
    </row>
    <row r="36" spans="1:5" x14ac:dyDescent="0.3">
      <c r="A36" s="11">
        <v>1</v>
      </c>
      <c r="B36" s="13" t="s">
        <v>30</v>
      </c>
      <c r="C36" s="11">
        <v>3</v>
      </c>
      <c r="D36" s="11" t="s">
        <v>5</v>
      </c>
      <c r="E36" s="11">
        <v>1</v>
      </c>
    </row>
    <row r="37" spans="1:5" x14ac:dyDescent="0.3">
      <c r="A37" s="11">
        <v>1</v>
      </c>
      <c r="B37" s="13" t="s">
        <v>31</v>
      </c>
      <c r="C37" s="11">
        <v>4</v>
      </c>
      <c r="D37" s="11" t="s">
        <v>5</v>
      </c>
      <c r="E37" s="11">
        <v>1</v>
      </c>
    </row>
    <row r="38" spans="1:5" x14ac:dyDescent="0.3">
      <c r="A38" s="11">
        <v>1</v>
      </c>
      <c r="B38" s="13" t="s">
        <v>32</v>
      </c>
      <c r="C38" s="11">
        <v>5</v>
      </c>
      <c r="D38" s="11" t="s">
        <v>5</v>
      </c>
      <c r="E38" s="11">
        <v>2</v>
      </c>
    </row>
    <row r="39" spans="1:5" x14ac:dyDescent="0.3">
      <c r="A39" s="11">
        <v>1</v>
      </c>
      <c r="B39" s="13" t="s">
        <v>33</v>
      </c>
      <c r="C39" s="11">
        <v>6</v>
      </c>
      <c r="D39" s="11" t="s">
        <v>5</v>
      </c>
      <c r="E39" s="11">
        <v>1</v>
      </c>
    </row>
    <row r="40" spans="1:5" x14ac:dyDescent="0.3">
      <c r="A40" s="11">
        <v>1</v>
      </c>
      <c r="B40" s="13" t="s">
        <v>34</v>
      </c>
      <c r="C40" s="11">
        <v>7</v>
      </c>
      <c r="D40" s="11" t="s">
        <v>5</v>
      </c>
      <c r="E40" s="11">
        <v>1</v>
      </c>
    </row>
    <row r="41" spans="1:5" x14ac:dyDescent="0.3">
      <c r="A41" s="11">
        <v>1</v>
      </c>
      <c r="B41" s="13" t="s">
        <v>35</v>
      </c>
      <c r="C41" s="11">
        <v>8</v>
      </c>
      <c r="D41" s="11" t="s">
        <v>5</v>
      </c>
      <c r="E41" s="11">
        <v>4</v>
      </c>
    </row>
    <row r="42" spans="1:5" x14ac:dyDescent="0.3">
      <c r="A42" s="11">
        <v>2</v>
      </c>
      <c r="B42" s="13" t="s">
        <v>28</v>
      </c>
      <c r="C42" s="11">
        <v>1</v>
      </c>
      <c r="D42" s="11" t="s">
        <v>5</v>
      </c>
      <c r="E42" s="11">
        <v>4</v>
      </c>
    </row>
    <row r="43" spans="1:5" x14ac:dyDescent="0.3">
      <c r="A43" s="11">
        <v>2</v>
      </c>
      <c r="B43" s="13" t="s">
        <v>29</v>
      </c>
      <c r="C43" s="11">
        <v>2</v>
      </c>
      <c r="D43" s="11" t="s">
        <v>5</v>
      </c>
      <c r="E43" s="11">
        <v>1</v>
      </c>
    </row>
    <row r="44" spans="1:5" x14ac:dyDescent="0.3">
      <c r="A44" s="11">
        <v>2</v>
      </c>
      <c r="B44" s="13" t="s">
        <v>30</v>
      </c>
      <c r="C44" s="11">
        <v>3</v>
      </c>
      <c r="D44" s="11" t="s">
        <v>5</v>
      </c>
      <c r="E44" s="11">
        <v>1</v>
      </c>
    </row>
    <row r="45" spans="1:5" x14ac:dyDescent="0.3">
      <c r="A45" s="11">
        <v>2</v>
      </c>
      <c r="B45" s="13" t="s">
        <v>31</v>
      </c>
      <c r="C45" s="11">
        <v>4</v>
      </c>
      <c r="D45" s="11" t="s">
        <v>5</v>
      </c>
      <c r="E45" s="11">
        <v>1</v>
      </c>
    </row>
    <row r="46" spans="1:5" x14ac:dyDescent="0.3">
      <c r="A46" s="11">
        <v>2</v>
      </c>
      <c r="B46" s="13" t="s">
        <v>32</v>
      </c>
      <c r="C46" s="11">
        <v>5</v>
      </c>
      <c r="D46" s="11" t="s">
        <v>5</v>
      </c>
      <c r="E46" s="11">
        <v>2</v>
      </c>
    </row>
    <row r="47" spans="1:5" x14ac:dyDescent="0.3">
      <c r="A47" s="11">
        <v>2</v>
      </c>
      <c r="B47" s="13" t="s">
        <v>33</v>
      </c>
      <c r="C47" s="11">
        <v>6</v>
      </c>
      <c r="D47" s="11" t="s">
        <v>5</v>
      </c>
      <c r="E47" s="11">
        <v>1</v>
      </c>
    </row>
    <row r="48" spans="1:5" x14ac:dyDescent="0.3">
      <c r="A48" s="11">
        <v>2</v>
      </c>
      <c r="B48" s="13" t="s">
        <v>34</v>
      </c>
      <c r="C48" s="11">
        <v>7</v>
      </c>
      <c r="D48" s="11" t="s">
        <v>5</v>
      </c>
      <c r="E48" s="11">
        <v>1</v>
      </c>
    </row>
    <row r="49" spans="1:5" x14ac:dyDescent="0.3">
      <c r="A49" s="11">
        <v>2</v>
      </c>
      <c r="B49" s="13" t="s">
        <v>35</v>
      </c>
      <c r="C49" s="11">
        <v>8</v>
      </c>
      <c r="D49" s="11" t="s">
        <v>5</v>
      </c>
      <c r="E49" s="11">
        <v>4</v>
      </c>
    </row>
    <row r="50" spans="1:5" x14ac:dyDescent="0.3">
      <c r="A50" s="11">
        <v>3</v>
      </c>
      <c r="B50" s="13" t="s">
        <v>28</v>
      </c>
      <c r="C50" s="11">
        <v>1</v>
      </c>
      <c r="D50" s="11" t="s">
        <v>5</v>
      </c>
      <c r="E50" s="11">
        <v>4</v>
      </c>
    </row>
    <row r="51" spans="1:5" x14ac:dyDescent="0.3">
      <c r="A51" s="11">
        <v>3</v>
      </c>
      <c r="B51" s="13" t="s">
        <v>29</v>
      </c>
      <c r="C51" s="11">
        <v>2</v>
      </c>
      <c r="D51" s="11" t="s">
        <v>5</v>
      </c>
      <c r="E51" s="11">
        <v>1</v>
      </c>
    </row>
    <row r="52" spans="1:5" x14ac:dyDescent="0.3">
      <c r="A52" s="11">
        <v>3</v>
      </c>
      <c r="B52" s="13" t="s">
        <v>30</v>
      </c>
      <c r="C52" s="11">
        <v>3</v>
      </c>
      <c r="D52" s="11" t="s">
        <v>5</v>
      </c>
      <c r="E52" s="11">
        <v>1</v>
      </c>
    </row>
    <row r="53" spans="1:5" x14ac:dyDescent="0.3">
      <c r="A53" s="11">
        <v>3</v>
      </c>
      <c r="B53" s="13" t="s">
        <v>31</v>
      </c>
      <c r="C53" s="11">
        <v>4</v>
      </c>
      <c r="D53" s="11" t="s">
        <v>5</v>
      </c>
      <c r="E53" s="11">
        <v>1</v>
      </c>
    </row>
    <row r="54" spans="1:5" x14ac:dyDescent="0.3">
      <c r="A54" s="11">
        <v>3</v>
      </c>
      <c r="B54" s="13" t="s">
        <v>32</v>
      </c>
      <c r="C54" s="11">
        <v>5</v>
      </c>
      <c r="D54" s="11" t="s">
        <v>5</v>
      </c>
      <c r="E54" s="11">
        <v>2</v>
      </c>
    </row>
    <row r="55" spans="1:5" x14ac:dyDescent="0.3">
      <c r="A55" s="11">
        <v>3</v>
      </c>
      <c r="B55" s="13" t="s">
        <v>33</v>
      </c>
      <c r="C55" s="11">
        <v>6</v>
      </c>
      <c r="D55" s="11" t="s">
        <v>5</v>
      </c>
      <c r="E55" s="11">
        <v>1</v>
      </c>
    </row>
    <row r="56" spans="1:5" x14ac:dyDescent="0.3">
      <c r="A56" s="11">
        <v>3</v>
      </c>
      <c r="B56" s="13" t="s">
        <v>34</v>
      </c>
      <c r="C56" s="11">
        <v>7</v>
      </c>
      <c r="D56" s="11" t="s">
        <v>5</v>
      </c>
      <c r="E56" s="11">
        <v>1</v>
      </c>
    </row>
    <row r="57" spans="1:5" x14ac:dyDescent="0.3">
      <c r="A57" s="11">
        <v>3</v>
      </c>
      <c r="B57" s="13" t="s">
        <v>35</v>
      </c>
      <c r="C57" s="11">
        <v>8</v>
      </c>
      <c r="D57" s="11" t="s">
        <v>5</v>
      </c>
      <c r="E57" s="11">
        <v>4</v>
      </c>
    </row>
    <row r="58" spans="1:5" x14ac:dyDescent="0.3">
      <c r="A58" s="11">
        <v>4</v>
      </c>
      <c r="B58" s="13" t="s">
        <v>28</v>
      </c>
      <c r="C58" s="11">
        <v>1</v>
      </c>
      <c r="D58" s="11" t="s">
        <v>5</v>
      </c>
      <c r="E58" s="11">
        <v>2</v>
      </c>
    </row>
    <row r="59" spans="1:5" x14ac:dyDescent="0.3">
      <c r="A59" s="11">
        <v>4</v>
      </c>
      <c r="B59" s="13" t="s">
        <v>29</v>
      </c>
      <c r="C59" s="11">
        <v>2</v>
      </c>
      <c r="D59" s="11" t="s">
        <v>5</v>
      </c>
      <c r="E59" s="11">
        <v>0</v>
      </c>
    </row>
    <row r="60" spans="1:5" x14ac:dyDescent="0.3">
      <c r="A60" s="11">
        <v>4</v>
      </c>
      <c r="B60" s="13" t="s">
        <v>30</v>
      </c>
      <c r="C60" s="11">
        <v>3</v>
      </c>
      <c r="D60" s="11" t="s">
        <v>5</v>
      </c>
      <c r="E60" s="11">
        <v>1</v>
      </c>
    </row>
    <row r="61" spans="1:5" x14ac:dyDescent="0.3">
      <c r="A61" s="11">
        <v>4</v>
      </c>
      <c r="B61" s="13" t="s">
        <v>31</v>
      </c>
      <c r="C61" s="11">
        <v>4</v>
      </c>
      <c r="D61" s="11" t="s">
        <v>5</v>
      </c>
      <c r="E61" s="11">
        <v>1</v>
      </c>
    </row>
    <row r="62" spans="1:5" x14ac:dyDescent="0.3">
      <c r="A62" s="11">
        <v>4</v>
      </c>
      <c r="B62" s="13" t="s">
        <v>32</v>
      </c>
      <c r="C62" s="11">
        <v>5</v>
      </c>
      <c r="D62" s="11" t="s">
        <v>5</v>
      </c>
      <c r="E62" s="11">
        <v>1</v>
      </c>
    </row>
    <row r="63" spans="1:5" x14ac:dyDescent="0.3">
      <c r="A63" s="11">
        <v>4</v>
      </c>
      <c r="B63" s="13" t="s">
        <v>33</v>
      </c>
      <c r="C63" s="11">
        <v>6</v>
      </c>
      <c r="D63" s="11" t="s">
        <v>5</v>
      </c>
      <c r="E63" s="11">
        <v>1</v>
      </c>
    </row>
    <row r="64" spans="1:5" x14ac:dyDescent="0.3">
      <c r="A64" s="11">
        <v>4</v>
      </c>
      <c r="B64" s="13" t="s">
        <v>34</v>
      </c>
      <c r="C64" s="11">
        <v>7</v>
      </c>
      <c r="D64" s="11" t="s">
        <v>5</v>
      </c>
      <c r="E64" s="11">
        <v>1</v>
      </c>
    </row>
    <row r="65" spans="1:5" x14ac:dyDescent="0.3">
      <c r="A65" s="11">
        <v>4</v>
      </c>
      <c r="B65" s="13" t="s">
        <v>35</v>
      </c>
      <c r="C65" s="11">
        <v>8</v>
      </c>
      <c r="D65" s="11" t="s">
        <v>5</v>
      </c>
      <c r="E65" s="11">
        <v>3</v>
      </c>
    </row>
  </sheetData>
  <autoFilter ref="A1:E65" xr:uid="{00000000-0009-0000-0000-000003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7"/>
  <sheetViews>
    <sheetView zoomScale="130" zoomScaleNormal="130" workbookViewId="0">
      <selection activeCell="E1" sqref="E1:E1048576"/>
    </sheetView>
  </sheetViews>
  <sheetFormatPr baseColWidth="10" defaultColWidth="10.88671875" defaultRowHeight="13.05" customHeight="1" x14ac:dyDescent="0.3"/>
  <cols>
    <col min="1" max="1" width="10.88671875" style="4" customWidth="1"/>
    <col min="2" max="2" width="20.77734375" style="3" customWidth="1"/>
    <col min="3" max="3" width="24.33203125" style="4" customWidth="1"/>
    <col min="4" max="4" width="23.109375" style="4" bestFit="1" customWidth="1"/>
    <col min="5" max="5" width="11.5546875" customWidth="1"/>
    <col min="6" max="6" width="10.88671875" style="3" customWidth="1"/>
    <col min="7" max="16384" width="10.88671875" style="3"/>
  </cols>
  <sheetData>
    <row r="1" spans="1:6" ht="13.05" customHeight="1" x14ac:dyDescent="0.3">
      <c r="A1" s="18" t="s">
        <v>1</v>
      </c>
      <c r="B1" s="18" t="s">
        <v>88</v>
      </c>
      <c r="C1" s="18" t="s">
        <v>70</v>
      </c>
      <c r="D1" s="18" t="s">
        <v>92</v>
      </c>
    </row>
    <row r="2" spans="1:6" ht="13.05" customHeight="1" x14ac:dyDescent="0.3">
      <c r="A2" s="11">
        <v>1</v>
      </c>
      <c r="B2" s="13" t="s">
        <v>28</v>
      </c>
      <c r="C2" s="11" t="s">
        <v>22</v>
      </c>
      <c r="D2" s="19">
        <v>1</v>
      </c>
      <c r="F2" s="16"/>
    </row>
    <row r="3" spans="1:6" ht="13.05" customHeight="1" x14ac:dyDescent="0.3">
      <c r="A3" s="11">
        <v>1</v>
      </c>
      <c r="B3" s="13" t="s">
        <v>28</v>
      </c>
      <c r="C3" s="11" t="s">
        <v>23</v>
      </c>
      <c r="D3" s="19">
        <v>0.5</v>
      </c>
      <c r="F3" s="16"/>
    </row>
    <row r="4" spans="1:6" ht="13.05" customHeight="1" x14ac:dyDescent="0.3">
      <c r="A4" s="11">
        <v>1</v>
      </c>
      <c r="B4" s="13" t="s">
        <v>29</v>
      </c>
      <c r="C4" s="11" t="s">
        <v>25</v>
      </c>
      <c r="D4" s="19">
        <v>1</v>
      </c>
      <c r="F4" s="16"/>
    </row>
    <row r="5" spans="1:6" ht="13.05" customHeight="1" x14ac:dyDescent="0.3">
      <c r="A5" s="11">
        <v>1</v>
      </c>
      <c r="B5" s="13" t="s">
        <v>29</v>
      </c>
      <c r="C5" s="11" t="s">
        <v>23</v>
      </c>
      <c r="D5" s="19">
        <v>0.5</v>
      </c>
      <c r="F5" s="16"/>
    </row>
    <row r="6" spans="1:6" ht="13.05" customHeight="1" x14ac:dyDescent="0.3">
      <c r="A6" s="11">
        <v>1</v>
      </c>
      <c r="B6" s="13" t="s">
        <v>29</v>
      </c>
      <c r="C6" s="11" t="s">
        <v>24</v>
      </c>
      <c r="D6" s="19">
        <v>0.5</v>
      </c>
      <c r="F6" s="16"/>
    </row>
    <row r="7" spans="1:6" ht="13.05" customHeight="1" x14ac:dyDescent="0.3">
      <c r="A7" s="11">
        <v>1</v>
      </c>
      <c r="B7" s="13" t="s">
        <v>29</v>
      </c>
      <c r="C7" s="11" t="s">
        <v>17</v>
      </c>
      <c r="D7" s="19">
        <v>0.5</v>
      </c>
      <c r="F7" s="16"/>
    </row>
    <row r="8" spans="1:6" ht="13.05" customHeight="1" x14ac:dyDescent="0.3">
      <c r="A8" s="11">
        <v>1</v>
      </c>
      <c r="B8" s="13" t="s">
        <v>29</v>
      </c>
      <c r="C8" s="11" t="s">
        <v>18</v>
      </c>
      <c r="D8" s="19">
        <v>0.5</v>
      </c>
      <c r="F8" s="16"/>
    </row>
    <row r="9" spans="1:6" ht="13.05" customHeight="1" x14ac:dyDescent="0.3">
      <c r="A9" s="11">
        <v>1</v>
      </c>
      <c r="B9" s="13" t="s">
        <v>29</v>
      </c>
      <c r="C9" s="11" t="s">
        <v>26</v>
      </c>
      <c r="D9" s="19">
        <v>1</v>
      </c>
      <c r="F9" s="16"/>
    </row>
    <row r="10" spans="1:6" ht="13.05" customHeight="1" x14ac:dyDescent="0.3">
      <c r="A10" s="11">
        <v>1</v>
      </c>
      <c r="B10" s="13" t="s">
        <v>29</v>
      </c>
      <c r="C10" s="11" t="s">
        <v>20</v>
      </c>
      <c r="D10" s="19">
        <v>1</v>
      </c>
      <c r="F10" s="16"/>
    </row>
    <row r="11" spans="1:6" ht="13.05" customHeight="1" x14ac:dyDescent="0.3">
      <c r="A11" s="11">
        <v>1</v>
      </c>
      <c r="B11" s="13" t="s">
        <v>29</v>
      </c>
      <c r="C11" s="11" t="s">
        <v>27</v>
      </c>
      <c r="D11" s="19">
        <v>1</v>
      </c>
      <c r="F11" s="16"/>
    </row>
    <row r="12" spans="1:6" ht="13.05" customHeight="1" x14ac:dyDescent="0.3">
      <c r="A12" s="11">
        <v>1</v>
      </c>
      <c r="B12" s="13" t="s">
        <v>29</v>
      </c>
      <c r="C12" s="11" t="s">
        <v>22</v>
      </c>
      <c r="D12" s="19">
        <v>1</v>
      </c>
      <c r="F12" s="16"/>
    </row>
    <row r="13" spans="1:6" ht="13.05" customHeight="1" x14ac:dyDescent="0.3">
      <c r="A13" s="11">
        <v>1</v>
      </c>
      <c r="B13" s="13" t="s">
        <v>29</v>
      </c>
      <c r="C13" s="11" t="s">
        <v>21</v>
      </c>
      <c r="D13" s="19">
        <v>1</v>
      </c>
      <c r="F13" s="16"/>
    </row>
    <row r="14" spans="1:6" ht="13.05" customHeight="1" x14ac:dyDescent="0.3">
      <c r="A14" s="11">
        <v>1</v>
      </c>
      <c r="B14" s="13" t="s">
        <v>30</v>
      </c>
      <c r="C14" s="11" t="s">
        <v>25</v>
      </c>
      <c r="D14" s="19">
        <v>0.5</v>
      </c>
      <c r="F14" s="16"/>
    </row>
    <row r="15" spans="1:6" ht="13.05" customHeight="1" x14ac:dyDescent="0.3">
      <c r="A15" s="11">
        <v>1</v>
      </c>
      <c r="B15" s="13" t="s">
        <v>30</v>
      </c>
      <c r="C15" s="11" t="s">
        <v>19</v>
      </c>
      <c r="D15" s="19">
        <v>1</v>
      </c>
      <c r="F15" s="16"/>
    </row>
    <row r="16" spans="1:6" ht="13.05" customHeight="1" x14ac:dyDescent="0.3">
      <c r="A16" s="11">
        <v>1</v>
      </c>
      <c r="B16" s="13" t="s">
        <v>30</v>
      </c>
      <c r="C16" s="11" t="s">
        <v>23</v>
      </c>
      <c r="D16" s="19">
        <v>0.5</v>
      </c>
      <c r="F16" s="16"/>
    </row>
    <row r="17" spans="1:6" ht="13.05" customHeight="1" x14ac:dyDescent="0.3">
      <c r="A17" s="11">
        <v>1</v>
      </c>
      <c r="B17" s="13" t="s">
        <v>30</v>
      </c>
      <c r="C17" s="11" t="s">
        <v>24</v>
      </c>
      <c r="D17" s="19">
        <v>0.5</v>
      </c>
      <c r="F17" s="16"/>
    </row>
    <row r="18" spans="1:6" ht="13.05" customHeight="1" x14ac:dyDescent="0.3">
      <c r="A18" s="11">
        <v>1</v>
      </c>
      <c r="B18" s="13" t="s">
        <v>30</v>
      </c>
      <c r="C18" s="11" t="s">
        <v>17</v>
      </c>
      <c r="D18" s="19">
        <v>0.5</v>
      </c>
      <c r="F18" s="16"/>
    </row>
    <row r="19" spans="1:6" ht="13.05" customHeight="1" x14ac:dyDescent="0.3">
      <c r="A19" s="11">
        <v>1</v>
      </c>
      <c r="B19" s="13" t="s">
        <v>30</v>
      </c>
      <c r="C19" s="11" t="s">
        <v>18</v>
      </c>
      <c r="D19" s="19">
        <v>0.5</v>
      </c>
      <c r="F19" s="16"/>
    </row>
    <row r="20" spans="1:6" ht="13.05" customHeight="1" x14ac:dyDescent="0.3">
      <c r="A20" s="11">
        <v>1</v>
      </c>
      <c r="B20" s="13" t="s">
        <v>30</v>
      </c>
      <c r="C20" s="11" t="s">
        <v>26</v>
      </c>
      <c r="D20" s="19">
        <v>0.5</v>
      </c>
      <c r="F20" s="16"/>
    </row>
    <row r="21" spans="1:6" ht="13.05" customHeight="1" x14ac:dyDescent="0.3">
      <c r="A21" s="11">
        <v>1</v>
      </c>
      <c r="B21" s="13" t="s">
        <v>30</v>
      </c>
      <c r="C21" s="11" t="s">
        <v>20</v>
      </c>
      <c r="D21" s="19">
        <v>1</v>
      </c>
      <c r="F21" s="16"/>
    </row>
    <row r="22" spans="1:6" ht="13.05" customHeight="1" x14ac:dyDescent="0.3">
      <c r="A22" s="11">
        <v>1</v>
      </c>
      <c r="B22" s="13" t="s">
        <v>30</v>
      </c>
      <c r="C22" s="11" t="s">
        <v>27</v>
      </c>
      <c r="D22" s="19">
        <v>1</v>
      </c>
      <c r="F22" s="16"/>
    </row>
    <row r="23" spans="1:6" ht="13.05" customHeight="1" x14ac:dyDescent="0.3">
      <c r="A23" s="11">
        <v>1</v>
      </c>
      <c r="B23" s="13" t="s">
        <v>31</v>
      </c>
      <c r="C23" s="11" t="s">
        <v>25</v>
      </c>
      <c r="D23" s="19">
        <v>0.5</v>
      </c>
      <c r="F23" s="16"/>
    </row>
    <row r="24" spans="1:6" ht="13.05" customHeight="1" x14ac:dyDescent="0.3">
      <c r="A24" s="11">
        <v>1</v>
      </c>
      <c r="B24" s="13" t="s">
        <v>31</v>
      </c>
      <c r="C24" s="11" t="s">
        <v>19</v>
      </c>
      <c r="D24" s="19">
        <v>1</v>
      </c>
      <c r="F24" s="16"/>
    </row>
    <row r="25" spans="1:6" ht="13.05" customHeight="1" x14ac:dyDescent="0.3">
      <c r="A25" s="11">
        <v>1</v>
      </c>
      <c r="B25" s="13" t="s">
        <v>31</v>
      </c>
      <c r="C25" s="11" t="s">
        <v>23</v>
      </c>
      <c r="D25" s="19">
        <v>0.5</v>
      </c>
      <c r="F25" s="16"/>
    </row>
    <row r="26" spans="1:6" ht="13.05" customHeight="1" x14ac:dyDescent="0.3">
      <c r="A26" s="11">
        <v>1</v>
      </c>
      <c r="B26" s="13" t="s">
        <v>31</v>
      </c>
      <c r="C26" s="11" t="s">
        <v>24</v>
      </c>
      <c r="D26" s="19">
        <v>0.5</v>
      </c>
      <c r="F26" s="16"/>
    </row>
    <row r="27" spans="1:6" ht="13.05" customHeight="1" x14ac:dyDescent="0.3">
      <c r="A27" s="11">
        <v>1</v>
      </c>
      <c r="B27" s="13" t="s">
        <v>31</v>
      </c>
      <c r="C27" s="11" t="s">
        <v>17</v>
      </c>
      <c r="D27" s="19">
        <v>0.5</v>
      </c>
      <c r="F27" s="16"/>
    </row>
    <row r="28" spans="1:6" ht="13.05" customHeight="1" x14ac:dyDescent="0.3">
      <c r="A28" s="11">
        <v>1</v>
      </c>
      <c r="B28" s="13" t="s">
        <v>31</v>
      </c>
      <c r="C28" s="11" t="s">
        <v>18</v>
      </c>
      <c r="D28" s="19">
        <v>0.5</v>
      </c>
      <c r="F28" s="16"/>
    </row>
    <row r="29" spans="1:6" ht="13.05" customHeight="1" x14ac:dyDescent="0.3">
      <c r="A29" s="11">
        <v>1</v>
      </c>
      <c r="B29" s="13" t="s">
        <v>31</v>
      </c>
      <c r="C29" s="11" t="s">
        <v>26</v>
      </c>
      <c r="D29" s="19">
        <v>0.5</v>
      </c>
      <c r="F29" s="16"/>
    </row>
    <row r="30" spans="1:6" ht="13.05" customHeight="1" x14ac:dyDescent="0.3">
      <c r="A30" s="11">
        <v>1</v>
      </c>
      <c r="B30" s="13" t="s">
        <v>31</v>
      </c>
      <c r="C30" s="11" t="s">
        <v>20</v>
      </c>
      <c r="D30" s="19">
        <v>1</v>
      </c>
      <c r="F30" s="16"/>
    </row>
    <row r="31" spans="1:6" ht="13.05" customHeight="1" x14ac:dyDescent="0.3">
      <c r="A31" s="11">
        <v>1</v>
      </c>
      <c r="B31" s="13" t="s">
        <v>31</v>
      </c>
      <c r="C31" s="11" t="s">
        <v>27</v>
      </c>
      <c r="D31" s="19">
        <v>1</v>
      </c>
      <c r="F31" s="16"/>
    </row>
    <row r="32" spans="1:6" ht="13.05" customHeight="1" x14ac:dyDescent="0.3">
      <c r="A32" s="11">
        <v>1</v>
      </c>
      <c r="B32" s="13" t="s">
        <v>32</v>
      </c>
      <c r="C32" s="11" t="s">
        <v>19</v>
      </c>
      <c r="D32" s="19">
        <v>1</v>
      </c>
      <c r="F32" s="16"/>
    </row>
    <row r="33" spans="1:6" ht="13.05" customHeight="1" x14ac:dyDescent="0.3">
      <c r="A33" s="11">
        <v>1</v>
      </c>
      <c r="B33" s="13" t="s">
        <v>32</v>
      </c>
      <c r="C33" s="11" t="s">
        <v>27</v>
      </c>
      <c r="D33" s="19">
        <v>1</v>
      </c>
      <c r="F33" s="16"/>
    </row>
    <row r="34" spans="1:6" ht="13.05" customHeight="1" x14ac:dyDescent="0.3">
      <c r="A34" s="11">
        <v>1</v>
      </c>
      <c r="B34" s="13" t="s">
        <v>33</v>
      </c>
      <c r="C34" s="11" t="s">
        <v>25</v>
      </c>
      <c r="D34" s="19">
        <v>0.5</v>
      </c>
      <c r="F34" s="16"/>
    </row>
    <row r="35" spans="1:6" ht="13.05" customHeight="1" x14ac:dyDescent="0.3">
      <c r="A35" s="11">
        <v>1</v>
      </c>
      <c r="B35" s="13" t="s">
        <v>33</v>
      </c>
      <c r="C35" s="11" t="s">
        <v>19</v>
      </c>
      <c r="D35" s="19">
        <v>1</v>
      </c>
      <c r="F35" s="16"/>
    </row>
    <row r="36" spans="1:6" ht="13.05" customHeight="1" x14ac:dyDescent="0.3">
      <c r="A36" s="11">
        <v>1</v>
      </c>
      <c r="B36" s="13" t="s">
        <v>33</v>
      </c>
      <c r="C36" s="11" t="s">
        <v>17</v>
      </c>
      <c r="D36" s="19">
        <v>0.75</v>
      </c>
      <c r="F36" s="16"/>
    </row>
    <row r="37" spans="1:6" ht="13.05" customHeight="1" x14ac:dyDescent="0.3">
      <c r="A37" s="11">
        <v>1</v>
      </c>
      <c r="B37" s="13" t="s">
        <v>33</v>
      </c>
      <c r="C37" s="11" t="s">
        <v>18</v>
      </c>
      <c r="D37" s="19">
        <v>0.75</v>
      </c>
      <c r="F37" s="16"/>
    </row>
    <row r="38" spans="1:6" ht="13.05" customHeight="1" x14ac:dyDescent="0.3">
      <c r="A38" s="11">
        <v>1</v>
      </c>
      <c r="B38" s="13" t="s">
        <v>33</v>
      </c>
      <c r="C38" s="11" t="s">
        <v>20</v>
      </c>
      <c r="D38" s="19">
        <v>1</v>
      </c>
      <c r="F38" s="16"/>
    </row>
    <row r="39" spans="1:6" ht="13.05" customHeight="1" x14ac:dyDescent="0.3">
      <c r="A39" s="11">
        <v>1</v>
      </c>
      <c r="B39" s="13" t="s">
        <v>33</v>
      </c>
      <c r="C39" s="11" t="s">
        <v>27</v>
      </c>
      <c r="D39" s="19">
        <v>1</v>
      </c>
      <c r="F39" s="16"/>
    </row>
    <row r="40" spans="1:6" ht="13.05" customHeight="1" x14ac:dyDescent="0.3">
      <c r="A40" s="11">
        <v>1</v>
      </c>
      <c r="B40" s="13" t="s">
        <v>33</v>
      </c>
      <c r="C40" s="11" t="s">
        <v>21</v>
      </c>
      <c r="D40" s="19">
        <v>1</v>
      </c>
      <c r="F40" s="16"/>
    </row>
    <row r="41" spans="1:6" ht="13.05" customHeight="1" x14ac:dyDescent="0.3">
      <c r="A41" s="11">
        <v>1</v>
      </c>
      <c r="B41" s="13" t="s">
        <v>34</v>
      </c>
      <c r="C41" s="11" t="s">
        <v>25</v>
      </c>
      <c r="D41" s="19">
        <v>1</v>
      </c>
      <c r="F41" s="16"/>
    </row>
    <row r="42" spans="1:6" ht="13.05" customHeight="1" x14ac:dyDescent="0.3">
      <c r="A42" s="11">
        <v>1</v>
      </c>
      <c r="B42" s="13" t="s">
        <v>34</v>
      </c>
      <c r="C42" s="11" t="s">
        <v>19</v>
      </c>
      <c r="D42" s="19">
        <v>1</v>
      </c>
      <c r="F42" s="16"/>
    </row>
    <row r="43" spans="1:6" ht="13.05" customHeight="1" x14ac:dyDescent="0.3">
      <c r="A43" s="11">
        <v>1</v>
      </c>
      <c r="B43" s="13" t="s">
        <v>34</v>
      </c>
      <c r="C43" s="11" t="s">
        <v>23</v>
      </c>
      <c r="D43" s="19">
        <v>1</v>
      </c>
      <c r="F43" s="16"/>
    </row>
    <row r="44" spans="1:6" ht="13.05" customHeight="1" x14ac:dyDescent="0.3">
      <c r="A44" s="11">
        <v>1</v>
      </c>
      <c r="B44" s="13" t="s">
        <v>34</v>
      </c>
      <c r="C44" s="11" t="s">
        <v>24</v>
      </c>
      <c r="D44" s="19">
        <v>1</v>
      </c>
      <c r="F44" s="16"/>
    </row>
    <row r="45" spans="1:6" ht="13.05" customHeight="1" x14ac:dyDescent="0.3">
      <c r="A45" s="11">
        <v>1</v>
      </c>
      <c r="B45" s="13" t="s">
        <v>34</v>
      </c>
      <c r="C45" s="11" t="s">
        <v>17</v>
      </c>
      <c r="D45" s="19">
        <v>1</v>
      </c>
      <c r="F45" s="16"/>
    </row>
    <row r="46" spans="1:6" ht="13.05" customHeight="1" x14ac:dyDescent="0.3">
      <c r="A46" s="11">
        <v>1</v>
      </c>
      <c r="B46" s="13" t="s">
        <v>34</v>
      </c>
      <c r="C46" s="11" t="s">
        <v>18</v>
      </c>
      <c r="D46" s="19">
        <v>1</v>
      </c>
      <c r="F46" s="16"/>
    </row>
    <row r="47" spans="1:6" ht="13.05" customHeight="1" x14ac:dyDescent="0.3">
      <c r="A47" s="11">
        <v>1</v>
      </c>
      <c r="B47" s="13" t="s">
        <v>34</v>
      </c>
      <c r="C47" s="11" t="s">
        <v>20</v>
      </c>
      <c r="D47" s="19">
        <v>1</v>
      </c>
      <c r="F47" s="16"/>
    </row>
    <row r="48" spans="1:6" ht="13.05" customHeight="1" x14ac:dyDescent="0.3">
      <c r="A48" s="11">
        <v>1</v>
      </c>
      <c r="B48" s="13" t="s">
        <v>34</v>
      </c>
      <c r="C48" s="11" t="s">
        <v>27</v>
      </c>
      <c r="D48" s="19">
        <v>1</v>
      </c>
      <c r="F48" s="16"/>
    </row>
    <row r="49" spans="1:6" ht="13.05" customHeight="1" x14ac:dyDescent="0.3">
      <c r="A49" s="11">
        <v>1</v>
      </c>
      <c r="B49" s="13" t="s">
        <v>34</v>
      </c>
      <c r="C49" s="11" t="s">
        <v>22</v>
      </c>
      <c r="D49" s="19">
        <v>1</v>
      </c>
      <c r="F49" s="16"/>
    </row>
    <row r="50" spans="1:6" ht="13.05" customHeight="1" x14ac:dyDescent="0.3">
      <c r="A50" s="11">
        <v>1</v>
      </c>
      <c r="B50" s="13" t="s">
        <v>34</v>
      </c>
      <c r="C50" s="11" t="s">
        <v>21</v>
      </c>
      <c r="D50" s="19">
        <v>1</v>
      </c>
      <c r="F50" s="16"/>
    </row>
    <row r="51" spans="1:6" ht="13.05" customHeight="1" x14ac:dyDescent="0.3">
      <c r="A51" s="11">
        <v>1</v>
      </c>
      <c r="B51" s="13" t="s">
        <v>35</v>
      </c>
      <c r="C51" s="11" t="s">
        <v>25</v>
      </c>
      <c r="D51" s="19">
        <v>0.5</v>
      </c>
      <c r="F51" s="16"/>
    </row>
    <row r="52" spans="1:6" ht="13.05" customHeight="1" x14ac:dyDescent="0.3">
      <c r="A52" s="11">
        <v>1</v>
      </c>
      <c r="B52" s="13" t="s">
        <v>35</v>
      </c>
      <c r="C52" s="11" t="s">
        <v>19</v>
      </c>
      <c r="D52" s="19">
        <v>1</v>
      </c>
      <c r="F52" s="16"/>
    </row>
    <row r="53" spans="1:6" ht="13.05" customHeight="1" x14ac:dyDescent="0.3">
      <c r="A53" s="11">
        <v>1</v>
      </c>
      <c r="B53" s="13" t="s">
        <v>35</v>
      </c>
      <c r="C53" s="11" t="s">
        <v>23</v>
      </c>
      <c r="D53" s="19">
        <v>0.5</v>
      </c>
      <c r="F53" s="16"/>
    </row>
    <row r="54" spans="1:6" ht="13.05" customHeight="1" x14ac:dyDescent="0.3">
      <c r="A54" s="11">
        <v>1</v>
      </c>
      <c r="B54" s="13" t="s">
        <v>35</v>
      </c>
      <c r="C54" s="11" t="s">
        <v>24</v>
      </c>
      <c r="D54" s="19">
        <v>0.5</v>
      </c>
      <c r="F54" s="16"/>
    </row>
    <row r="55" spans="1:6" ht="13.05" customHeight="1" x14ac:dyDescent="0.3">
      <c r="A55" s="11">
        <v>1</v>
      </c>
      <c r="B55" s="13" t="s">
        <v>35</v>
      </c>
      <c r="C55" s="11" t="s">
        <v>17</v>
      </c>
      <c r="D55" s="19">
        <v>0.5</v>
      </c>
      <c r="F55" s="16"/>
    </row>
    <row r="56" spans="1:6" ht="13.05" customHeight="1" x14ac:dyDescent="0.3">
      <c r="A56" s="11">
        <v>1</v>
      </c>
      <c r="B56" s="13" t="s">
        <v>35</v>
      </c>
      <c r="C56" s="11" t="s">
        <v>18</v>
      </c>
      <c r="D56" s="19">
        <v>0.5</v>
      </c>
      <c r="F56" s="16"/>
    </row>
    <row r="57" spans="1:6" ht="13.05" customHeight="1" x14ac:dyDescent="0.3">
      <c r="A57" s="11">
        <v>1</v>
      </c>
      <c r="B57" s="13" t="s">
        <v>35</v>
      </c>
      <c r="C57" s="11" t="s">
        <v>20</v>
      </c>
      <c r="D57" s="19">
        <v>1</v>
      </c>
      <c r="F57" s="16"/>
    </row>
    <row r="58" spans="1:6" ht="13.05" customHeight="1" x14ac:dyDescent="0.3">
      <c r="A58" s="11">
        <v>1</v>
      </c>
      <c r="B58" s="13" t="s">
        <v>35</v>
      </c>
      <c r="C58" s="11" t="s">
        <v>20</v>
      </c>
      <c r="D58" s="19">
        <v>1</v>
      </c>
      <c r="F58" s="16"/>
    </row>
    <row r="59" spans="1:6" ht="13.05" customHeight="1" x14ac:dyDescent="0.3">
      <c r="A59" s="11">
        <v>1</v>
      </c>
      <c r="B59" s="13" t="s">
        <v>35</v>
      </c>
      <c r="C59" s="11" t="s">
        <v>27</v>
      </c>
      <c r="D59" s="19">
        <v>1</v>
      </c>
      <c r="F59" s="16"/>
    </row>
    <row r="60" spans="1:6" ht="13.05" customHeight="1" x14ac:dyDescent="0.3">
      <c r="A60" s="11">
        <v>1</v>
      </c>
      <c r="B60" s="13" t="s">
        <v>35</v>
      </c>
      <c r="C60" s="11" t="s">
        <v>27</v>
      </c>
      <c r="D60" s="19">
        <v>1</v>
      </c>
      <c r="F60" s="16"/>
    </row>
    <row r="61" spans="1:6" ht="13.05" customHeight="1" x14ac:dyDescent="0.3">
      <c r="A61" s="11">
        <v>1</v>
      </c>
      <c r="B61" s="13" t="s">
        <v>35</v>
      </c>
      <c r="C61" s="11" t="s">
        <v>27</v>
      </c>
      <c r="D61" s="19">
        <v>1</v>
      </c>
      <c r="F61" s="16"/>
    </row>
    <row r="62" spans="1:6" ht="13.05" customHeight="1" x14ac:dyDescent="0.3">
      <c r="A62" s="11">
        <v>1</v>
      </c>
      <c r="B62" s="13" t="s">
        <v>35</v>
      </c>
      <c r="C62" s="11" t="s">
        <v>22</v>
      </c>
      <c r="D62" s="19">
        <v>1</v>
      </c>
    </row>
    <row r="63" spans="1:6" ht="13.05" customHeight="1" x14ac:dyDescent="0.3">
      <c r="A63" s="11">
        <v>1</v>
      </c>
      <c r="B63" s="13" t="s">
        <v>35</v>
      </c>
      <c r="C63" s="11" t="s">
        <v>21</v>
      </c>
      <c r="D63" s="19">
        <v>0.5</v>
      </c>
    </row>
    <row r="64" spans="1:6" ht="13.05" customHeight="1" x14ac:dyDescent="0.3">
      <c r="A64" s="11">
        <v>2</v>
      </c>
      <c r="B64" s="13" t="s">
        <v>28</v>
      </c>
      <c r="C64" s="11" t="s">
        <v>22</v>
      </c>
      <c r="D64" s="19">
        <v>1</v>
      </c>
    </row>
    <row r="65" spans="1:4" ht="13.05" customHeight="1" x14ac:dyDescent="0.3">
      <c r="A65" s="11">
        <v>2</v>
      </c>
      <c r="B65" s="13" t="s">
        <v>28</v>
      </c>
      <c r="C65" s="11" t="s">
        <v>23</v>
      </c>
      <c r="D65" s="19">
        <v>0.5</v>
      </c>
    </row>
    <row r="66" spans="1:4" ht="13.05" customHeight="1" x14ac:dyDescent="0.3">
      <c r="A66" s="11">
        <v>2</v>
      </c>
      <c r="B66" s="13" t="s">
        <v>29</v>
      </c>
      <c r="C66" s="11" t="s">
        <v>25</v>
      </c>
      <c r="D66" s="19">
        <v>1</v>
      </c>
    </row>
    <row r="67" spans="1:4" ht="13.05" customHeight="1" x14ac:dyDescent="0.3">
      <c r="A67" s="11">
        <v>2</v>
      </c>
      <c r="B67" s="13" t="s">
        <v>29</v>
      </c>
      <c r="C67" s="11" t="s">
        <v>23</v>
      </c>
      <c r="D67" s="19">
        <v>0.5</v>
      </c>
    </row>
    <row r="68" spans="1:4" ht="13.05" customHeight="1" x14ac:dyDescent="0.3">
      <c r="A68" s="11">
        <v>2</v>
      </c>
      <c r="B68" s="13" t="s">
        <v>29</v>
      </c>
      <c r="C68" s="11" t="s">
        <v>24</v>
      </c>
      <c r="D68" s="19">
        <v>0.5</v>
      </c>
    </row>
    <row r="69" spans="1:4" ht="13.05" customHeight="1" x14ac:dyDescent="0.3">
      <c r="A69" s="11">
        <v>2</v>
      </c>
      <c r="B69" s="13" t="s">
        <v>29</v>
      </c>
      <c r="C69" s="11" t="s">
        <v>17</v>
      </c>
      <c r="D69" s="19">
        <v>0.5</v>
      </c>
    </row>
    <row r="70" spans="1:4" ht="13.05" customHeight="1" x14ac:dyDescent="0.3">
      <c r="A70" s="11">
        <v>2</v>
      </c>
      <c r="B70" s="13" t="s">
        <v>29</v>
      </c>
      <c r="C70" s="11" t="s">
        <v>18</v>
      </c>
      <c r="D70" s="19">
        <v>0.5</v>
      </c>
    </row>
    <row r="71" spans="1:4" ht="13.05" customHeight="1" x14ac:dyDescent="0.3">
      <c r="A71" s="11">
        <v>2</v>
      </c>
      <c r="B71" s="13" t="s">
        <v>29</v>
      </c>
      <c r="C71" s="11" t="s">
        <v>26</v>
      </c>
      <c r="D71" s="19">
        <v>1</v>
      </c>
    </row>
    <row r="72" spans="1:4" ht="13.05" customHeight="1" x14ac:dyDescent="0.3">
      <c r="A72" s="11">
        <v>2</v>
      </c>
      <c r="B72" s="13" t="s">
        <v>29</v>
      </c>
      <c r="C72" s="11" t="s">
        <v>20</v>
      </c>
      <c r="D72" s="19">
        <v>1</v>
      </c>
    </row>
    <row r="73" spans="1:4" ht="13.05" customHeight="1" x14ac:dyDescent="0.3">
      <c r="A73" s="11">
        <v>2</v>
      </c>
      <c r="B73" s="13" t="s">
        <v>29</v>
      </c>
      <c r="C73" s="11" t="s">
        <v>27</v>
      </c>
      <c r="D73" s="19">
        <v>1</v>
      </c>
    </row>
    <row r="74" spans="1:4" ht="13.05" customHeight="1" x14ac:dyDescent="0.3">
      <c r="A74" s="11">
        <v>2</v>
      </c>
      <c r="B74" s="13" t="s">
        <v>29</v>
      </c>
      <c r="C74" s="11" t="s">
        <v>22</v>
      </c>
      <c r="D74" s="19">
        <v>1</v>
      </c>
    </row>
    <row r="75" spans="1:4" ht="13.05" customHeight="1" x14ac:dyDescent="0.3">
      <c r="A75" s="11">
        <v>2</v>
      </c>
      <c r="B75" s="13" t="s">
        <v>29</v>
      </c>
      <c r="C75" s="11" t="s">
        <v>21</v>
      </c>
      <c r="D75" s="19">
        <v>1</v>
      </c>
    </row>
    <row r="76" spans="1:4" ht="13.05" customHeight="1" x14ac:dyDescent="0.3">
      <c r="A76" s="11">
        <v>2</v>
      </c>
      <c r="B76" s="13" t="s">
        <v>30</v>
      </c>
      <c r="C76" s="11" t="s">
        <v>25</v>
      </c>
      <c r="D76" s="19">
        <v>0.5</v>
      </c>
    </row>
    <row r="77" spans="1:4" ht="13.05" customHeight="1" x14ac:dyDescent="0.3">
      <c r="A77" s="11">
        <v>2</v>
      </c>
      <c r="B77" s="13" t="s">
        <v>30</v>
      </c>
      <c r="C77" s="11" t="s">
        <v>19</v>
      </c>
      <c r="D77" s="19">
        <v>1</v>
      </c>
    </row>
    <row r="78" spans="1:4" ht="13.05" customHeight="1" x14ac:dyDescent="0.3">
      <c r="A78" s="11">
        <v>2</v>
      </c>
      <c r="B78" s="13" t="s">
        <v>30</v>
      </c>
      <c r="C78" s="11" t="s">
        <v>23</v>
      </c>
      <c r="D78" s="19">
        <v>0.5</v>
      </c>
    </row>
    <row r="79" spans="1:4" ht="13.05" customHeight="1" x14ac:dyDescent="0.3">
      <c r="A79" s="11">
        <v>2</v>
      </c>
      <c r="B79" s="13" t="s">
        <v>30</v>
      </c>
      <c r="C79" s="11" t="s">
        <v>24</v>
      </c>
      <c r="D79" s="19">
        <v>0.5</v>
      </c>
    </row>
    <row r="80" spans="1:4" ht="13.05" customHeight="1" x14ac:dyDescent="0.3">
      <c r="A80" s="11">
        <v>2</v>
      </c>
      <c r="B80" s="13" t="s">
        <v>30</v>
      </c>
      <c r="C80" s="11" t="s">
        <v>17</v>
      </c>
      <c r="D80" s="19">
        <v>0.5</v>
      </c>
    </row>
    <row r="81" spans="1:4" ht="13.05" customHeight="1" x14ac:dyDescent="0.3">
      <c r="A81" s="11">
        <v>2</v>
      </c>
      <c r="B81" s="13" t="s">
        <v>30</v>
      </c>
      <c r="C81" s="11" t="s">
        <v>18</v>
      </c>
      <c r="D81" s="19">
        <v>0.5</v>
      </c>
    </row>
    <row r="82" spans="1:4" ht="13.05" customHeight="1" x14ac:dyDescent="0.3">
      <c r="A82" s="11">
        <v>2</v>
      </c>
      <c r="B82" s="13" t="s">
        <v>30</v>
      </c>
      <c r="C82" s="11" t="s">
        <v>26</v>
      </c>
      <c r="D82" s="19">
        <v>0.5</v>
      </c>
    </row>
    <row r="83" spans="1:4" ht="13.05" customHeight="1" x14ac:dyDescent="0.3">
      <c r="A83" s="11">
        <v>2</v>
      </c>
      <c r="B83" s="13" t="s">
        <v>30</v>
      </c>
      <c r="C83" s="11" t="s">
        <v>20</v>
      </c>
      <c r="D83" s="19">
        <v>1</v>
      </c>
    </row>
    <row r="84" spans="1:4" ht="13.05" customHeight="1" x14ac:dyDescent="0.3">
      <c r="A84" s="11">
        <v>2</v>
      </c>
      <c r="B84" s="13" t="s">
        <v>30</v>
      </c>
      <c r="C84" s="11" t="s">
        <v>27</v>
      </c>
      <c r="D84" s="19">
        <v>1</v>
      </c>
    </row>
    <row r="85" spans="1:4" ht="13.05" customHeight="1" x14ac:dyDescent="0.3">
      <c r="A85" s="11">
        <v>2</v>
      </c>
      <c r="B85" s="13" t="s">
        <v>31</v>
      </c>
      <c r="C85" s="11" t="s">
        <v>25</v>
      </c>
      <c r="D85" s="19">
        <v>0.5</v>
      </c>
    </row>
    <row r="86" spans="1:4" ht="13.05" customHeight="1" x14ac:dyDescent="0.3">
      <c r="A86" s="11">
        <v>2</v>
      </c>
      <c r="B86" s="13" t="s">
        <v>31</v>
      </c>
      <c r="C86" s="11" t="s">
        <v>19</v>
      </c>
      <c r="D86" s="19">
        <v>1</v>
      </c>
    </row>
    <row r="87" spans="1:4" ht="13.05" customHeight="1" x14ac:dyDescent="0.3">
      <c r="A87" s="11">
        <v>2</v>
      </c>
      <c r="B87" s="13" t="s">
        <v>31</v>
      </c>
      <c r="C87" s="11" t="s">
        <v>23</v>
      </c>
      <c r="D87" s="19">
        <v>0.5</v>
      </c>
    </row>
    <row r="88" spans="1:4" ht="13.05" customHeight="1" x14ac:dyDescent="0.3">
      <c r="A88" s="11">
        <v>2</v>
      </c>
      <c r="B88" s="13" t="s">
        <v>31</v>
      </c>
      <c r="C88" s="11" t="s">
        <v>24</v>
      </c>
      <c r="D88" s="19">
        <v>0.5</v>
      </c>
    </row>
    <row r="89" spans="1:4" ht="13.05" customHeight="1" x14ac:dyDescent="0.3">
      <c r="A89" s="11">
        <v>2</v>
      </c>
      <c r="B89" s="13" t="s">
        <v>31</v>
      </c>
      <c r="C89" s="11" t="s">
        <v>17</v>
      </c>
      <c r="D89" s="19">
        <v>0.5</v>
      </c>
    </row>
    <row r="90" spans="1:4" ht="13.05" customHeight="1" x14ac:dyDescent="0.3">
      <c r="A90" s="11">
        <v>2</v>
      </c>
      <c r="B90" s="13" t="s">
        <v>31</v>
      </c>
      <c r="C90" s="11" t="s">
        <v>18</v>
      </c>
      <c r="D90" s="19">
        <v>0.5</v>
      </c>
    </row>
    <row r="91" spans="1:4" ht="13.05" customHeight="1" x14ac:dyDescent="0.3">
      <c r="A91" s="11">
        <v>2</v>
      </c>
      <c r="B91" s="13" t="s">
        <v>31</v>
      </c>
      <c r="C91" s="11" t="s">
        <v>26</v>
      </c>
      <c r="D91" s="19">
        <v>0.5</v>
      </c>
    </row>
    <row r="92" spans="1:4" ht="13.05" customHeight="1" x14ac:dyDescent="0.3">
      <c r="A92" s="11">
        <v>2</v>
      </c>
      <c r="B92" s="13" t="s">
        <v>31</v>
      </c>
      <c r="C92" s="11" t="s">
        <v>20</v>
      </c>
      <c r="D92" s="19">
        <v>1</v>
      </c>
    </row>
    <row r="93" spans="1:4" ht="13.05" customHeight="1" x14ac:dyDescent="0.3">
      <c r="A93" s="11">
        <v>2</v>
      </c>
      <c r="B93" s="13" t="s">
        <v>31</v>
      </c>
      <c r="C93" s="11" t="s">
        <v>27</v>
      </c>
      <c r="D93" s="19">
        <v>1</v>
      </c>
    </row>
    <row r="94" spans="1:4" ht="13.05" customHeight="1" x14ac:dyDescent="0.3">
      <c r="A94" s="11">
        <v>2</v>
      </c>
      <c r="B94" s="13" t="s">
        <v>32</v>
      </c>
      <c r="C94" s="11" t="s">
        <v>19</v>
      </c>
      <c r="D94" s="19">
        <v>1</v>
      </c>
    </row>
    <row r="95" spans="1:4" ht="13.05" customHeight="1" x14ac:dyDescent="0.3">
      <c r="A95" s="11">
        <v>2</v>
      </c>
      <c r="B95" s="13" t="s">
        <v>32</v>
      </c>
      <c r="C95" s="11" t="s">
        <v>27</v>
      </c>
      <c r="D95" s="19">
        <v>1</v>
      </c>
    </row>
    <row r="96" spans="1:4" ht="13.05" customHeight="1" x14ac:dyDescent="0.3">
      <c r="A96" s="11">
        <v>2</v>
      </c>
      <c r="B96" s="13" t="s">
        <v>33</v>
      </c>
      <c r="C96" s="11" t="s">
        <v>25</v>
      </c>
      <c r="D96" s="19">
        <v>0.5</v>
      </c>
    </row>
    <row r="97" spans="1:4" ht="13.05" customHeight="1" x14ac:dyDescent="0.3">
      <c r="A97" s="11">
        <v>2</v>
      </c>
      <c r="B97" s="13" t="s">
        <v>33</v>
      </c>
      <c r="C97" s="11" t="s">
        <v>19</v>
      </c>
      <c r="D97" s="19">
        <v>1</v>
      </c>
    </row>
    <row r="98" spans="1:4" ht="13.05" customHeight="1" x14ac:dyDescent="0.3">
      <c r="A98" s="11">
        <v>2</v>
      </c>
      <c r="B98" s="13" t="s">
        <v>33</v>
      </c>
      <c r="C98" s="11" t="s">
        <v>17</v>
      </c>
      <c r="D98" s="19">
        <v>0.75</v>
      </c>
    </row>
    <row r="99" spans="1:4" ht="13.05" customHeight="1" x14ac:dyDescent="0.3">
      <c r="A99" s="11">
        <v>2</v>
      </c>
      <c r="B99" s="13" t="s">
        <v>33</v>
      </c>
      <c r="C99" s="11" t="s">
        <v>18</v>
      </c>
      <c r="D99" s="19">
        <v>0.75</v>
      </c>
    </row>
    <row r="100" spans="1:4" ht="13.05" customHeight="1" x14ac:dyDescent="0.3">
      <c r="A100" s="11">
        <v>2</v>
      </c>
      <c r="B100" s="13" t="s">
        <v>33</v>
      </c>
      <c r="C100" s="11" t="s">
        <v>20</v>
      </c>
      <c r="D100" s="19">
        <v>1</v>
      </c>
    </row>
    <row r="101" spans="1:4" ht="13.05" customHeight="1" x14ac:dyDescent="0.3">
      <c r="A101" s="11">
        <v>2</v>
      </c>
      <c r="B101" s="13" t="s">
        <v>33</v>
      </c>
      <c r="C101" s="11" t="s">
        <v>27</v>
      </c>
      <c r="D101" s="19">
        <v>1</v>
      </c>
    </row>
    <row r="102" spans="1:4" ht="13.05" customHeight="1" x14ac:dyDescent="0.3">
      <c r="A102" s="11">
        <v>2</v>
      </c>
      <c r="B102" s="13" t="s">
        <v>33</v>
      </c>
      <c r="C102" s="11" t="s">
        <v>21</v>
      </c>
      <c r="D102" s="19">
        <v>1</v>
      </c>
    </row>
    <row r="103" spans="1:4" ht="13.05" customHeight="1" x14ac:dyDescent="0.3">
      <c r="A103" s="11">
        <v>2</v>
      </c>
      <c r="B103" s="13" t="s">
        <v>34</v>
      </c>
      <c r="C103" s="11" t="s">
        <v>25</v>
      </c>
      <c r="D103" s="19">
        <v>1</v>
      </c>
    </row>
    <row r="104" spans="1:4" ht="13.05" customHeight="1" x14ac:dyDescent="0.3">
      <c r="A104" s="11">
        <v>2</v>
      </c>
      <c r="B104" s="13" t="s">
        <v>34</v>
      </c>
      <c r="C104" s="11" t="s">
        <v>19</v>
      </c>
      <c r="D104" s="19">
        <v>1</v>
      </c>
    </row>
    <row r="105" spans="1:4" ht="13.05" customHeight="1" x14ac:dyDescent="0.3">
      <c r="A105" s="11">
        <v>2</v>
      </c>
      <c r="B105" s="13" t="s">
        <v>34</v>
      </c>
      <c r="C105" s="11" t="s">
        <v>23</v>
      </c>
      <c r="D105" s="19">
        <v>1</v>
      </c>
    </row>
    <row r="106" spans="1:4" ht="13.05" customHeight="1" x14ac:dyDescent="0.3">
      <c r="A106" s="11">
        <v>2</v>
      </c>
      <c r="B106" s="13" t="s">
        <v>34</v>
      </c>
      <c r="C106" s="11" t="s">
        <v>24</v>
      </c>
      <c r="D106" s="19">
        <v>1</v>
      </c>
    </row>
    <row r="107" spans="1:4" ht="13.05" customHeight="1" x14ac:dyDescent="0.3">
      <c r="A107" s="11">
        <v>2</v>
      </c>
      <c r="B107" s="13" t="s">
        <v>34</v>
      </c>
      <c r="C107" s="11" t="s">
        <v>17</v>
      </c>
      <c r="D107" s="19">
        <v>1</v>
      </c>
    </row>
    <row r="108" spans="1:4" ht="13.05" customHeight="1" x14ac:dyDescent="0.3">
      <c r="A108" s="11">
        <v>2</v>
      </c>
      <c r="B108" s="13" t="s">
        <v>34</v>
      </c>
      <c r="C108" s="11" t="s">
        <v>18</v>
      </c>
      <c r="D108" s="19">
        <v>1</v>
      </c>
    </row>
    <row r="109" spans="1:4" ht="13.05" customHeight="1" x14ac:dyDescent="0.3">
      <c r="A109" s="11">
        <v>2</v>
      </c>
      <c r="B109" s="13" t="s">
        <v>34</v>
      </c>
      <c r="C109" s="11" t="s">
        <v>20</v>
      </c>
      <c r="D109" s="19">
        <v>1</v>
      </c>
    </row>
    <row r="110" spans="1:4" ht="13.05" customHeight="1" x14ac:dyDescent="0.3">
      <c r="A110" s="11">
        <v>2</v>
      </c>
      <c r="B110" s="13" t="s">
        <v>34</v>
      </c>
      <c r="C110" s="11" t="s">
        <v>27</v>
      </c>
      <c r="D110" s="19">
        <v>1</v>
      </c>
    </row>
    <row r="111" spans="1:4" ht="13.05" customHeight="1" x14ac:dyDescent="0.3">
      <c r="A111" s="11">
        <v>2</v>
      </c>
      <c r="B111" s="13" t="s">
        <v>34</v>
      </c>
      <c r="C111" s="11" t="s">
        <v>22</v>
      </c>
      <c r="D111" s="19">
        <v>1</v>
      </c>
    </row>
    <row r="112" spans="1:4" ht="13.05" customHeight="1" x14ac:dyDescent="0.3">
      <c r="A112" s="11">
        <v>2</v>
      </c>
      <c r="B112" s="13" t="s">
        <v>34</v>
      </c>
      <c r="C112" s="11" t="s">
        <v>21</v>
      </c>
      <c r="D112" s="19">
        <v>1</v>
      </c>
    </row>
    <row r="113" spans="1:4" ht="13.05" customHeight="1" x14ac:dyDescent="0.3">
      <c r="A113" s="11">
        <v>2</v>
      </c>
      <c r="B113" s="13" t="s">
        <v>35</v>
      </c>
      <c r="C113" s="11" t="s">
        <v>25</v>
      </c>
      <c r="D113" s="19">
        <v>0.5</v>
      </c>
    </row>
    <row r="114" spans="1:4" ht="13.05" customHeight="1" x14ac:dyDescent="0.3">
      <c r="A114" s="11">
        <v>2</v>
      </c>
      <c r="B114" s="13" t="s">
        <v>35</v>
      </c>
      <c r="C114" s="11" t="s">
        <v>19</v>
      </c>
      <c r="D114" s="19">
        <v>1</v>
      </c>
    </row>
    <row r="115" spans="1:4" ht="13.05" customHeight="1" x14ac:dyDescent="0.3">
      <c r="A115" s="11">
        <v>2</v>
      </c>
      <c r="B115" s="13" t="s">
        <v>35</v>
      </c>
      <c r="C115" s="11" t="s">
        <v>23</v>
      </c>
      <c r="D115" s="19">
        <v>0.5</v>
      </c>
    </row>
    <row r="116" spans="1:4" ht="13.05" customHeight="1" x14ac:dyDescent="0.3">
      <c r="A116" s="11">
        <v>2</v>
      </c>
      <c r="B116" s="13" t="s">
        <v>35</v>
      </c>
      <c r="C116" s="11" t="s">
        <v>24</v>
      </c>
      <c r="D116" s="19">
        <v>0.5</v>
      </c>
    </row>
    <row r="117" spans="1:4" ht="13.05" customHeight="1" x14ac:dyDescent="0.3">
      <c r="A117" s="11">
        <v>2</v>
      </c>
      <c r="B117" s="13" t="s">
        <v>35</v>
      </c>
      <c r="C117" s="11" t="s">
        <v>17</v>
      </c>
      <c r="D117" s="19">
        <v>0.5</v>
      </c>
    </row>
    <row r="118" spans="1:4" ht="13.05" customHeight="1" x14ac:dyDescent="0.3">
      <c r="A118" s="11">
        <v>2</v>
      </c>
      <c r="B118" s="13" t="s">
        <v>35</v>
      </c>
      <c r="C118" s="11" t="s">
        <v>18</v>
      </c>
      <c r="D118" s="19">
        <v>0.5</v>
      </c>
    </row>
    <row r="119" spans="1:4" ht="13.05" customHeight="1" x14ac:dyDescent="0.3">
      <c r="A119" s="11">
        <v>2</v>
      </c>
      <c r="B119" s="13" t="s">
        <v>35</v>
      </c>
      <c r="C119" s="11" t="s">
        <v>20</v>
      </c>
      <c r="D119" s="19">
        <v>1</v>
      </c>
    </row>
    <row r="120" spans="1:4" ht="13.05" customHeight="1" x14ac:dyDescent="0.3">
      <c r="A120" s="11">
        <v>2</v>
      </c>
      <c r="B120" s="13" t="s">
        <v>35</v>
      </c>
      <c r="C120" s="11" t="s">
        <v>20</v>
      </c>
      <c r="D120" s="19">
        <v>1</v>
      </c>
    </row>
    <row r="121" spans="1:4" ht="13.05" customHeight="1" x14ac:dyDescent="0.3">
      <c r="A121" s="11">
        <v>2</v>
      </c>
      <c r="B121" s="13" t="s">
        <v>35</v>
      </c>
      <c r="C121" s="11" t="s">
        <v>27</v>
      </c>
      <c r="D121" s="19">
        <v>1</v>
      </c>
    </row>
    <row r="122" spans="1:4" ht="13.05" customHeight="1" x14ac:dyDescent="0.3">
      <c r="A122" s="11">
        <v>2</v>
      </c>
      <c r="B122" s="13" t="s">
        <v>35</v>
      </c>
      <c r="C122" s="11" t="s">
        <v>27</v>
      </c>
      <c r="D122" s="19">
        <v>1</v>
      </c>
    </row>
    <row r="123" spans="1:4" ht="13.05" customHeight="1" x14ac:dyDescent="0.3">
      <c r="A123" s="11">
        <v>2</v>
      </c>
      <c r="B123" s="13" t="s">
        <v>35</v>
      </c>
      <c r="C123" s="11" t="s">
        <v>27</v>
      </c>
      <c r="D123" s="19">
        <v>1</v>
      </c>
    </row>
    <row r="124" spans="1:4" ht="13.05" customHeight="1" x14ac:dyDescent="0.3">
      <c r="A124" s="11">
        <v>2</v>
      </c>
      <c r="B124" s="13" t="s">
        <v>35</v>
      </c>
      <c r="C124" s="11" t="s">
        <v>22</v>
      </c>
      <c r="D124" s="19">
        <v>1</v>
      </c>
    </row>
    <row r="125" spans="1:4" ht="13.05" customHeight="1" x14ac:dyDescent="0.3">
      <c r="A125" s="11">
        <v>2</v>
      </c>
      <c r="B125" s="13" t="s">
        <v>35</v>
      </c>
      <c r="C125" s="11" t="s">
        <v>21</v>
      </c>
      <c r="D125" s="19">
        <v>0.5</v>
      </c>
    </row>
    <row r="126" spans="1:4" ht="13.05" customHeight="1" x14ac:dyDescent="0.3">
      <c r="A126" s="11">
        <v>3</v>
      </c>
      <c r="B126" s="13" t="s">
        <v>28</v>
      </c>
      <c r="C126" s="11" t="s">
        <v>22</v>
      </c>
      <c r="D126" s="19">
        <v>1</v>
      </c>
    </row>
    <row r="127" spans="1:4" ht="13.05" customHeight="1" x14ac:dyDescent="0.3">
      <c r="A127" s="11">
        <v>3</v>
      </c>
      <c r="B127" s="13" t="s">
        <v>28</v>
      </c>
      <c r="C127" s="11" t="s">
        <v>23</v>
      </c>
      <c r="D127" s="19">
        <v>0.5</v>
      </c>
    </row>
    <row r="128" spans="1:4" ht="13.05" customHeight="1" x14ac:dyDescent="0.3">
      <c r="A128" s="11">
        <v>3</v>
      </c>
      <c r="B128" s="13" t="s">
        <v>29</v>
      </c>
      <c r="C128" s="11" t="s">
        <v>25</v>
      </c>
      <c r="D128" s="19">
        <v>1</v>
      </c>
    </row>
    <row r="129" spans="1:4" ht="13.05" customHeight="1" x14ac:dyDescent="0.3">
      <c r="A129" s="11">
        <v>3</v>
      </c>
      <c r="B129" s="13" t="s">
        <v>29</v>
      </c>
      <c r="C129" s="11" t="s">
        <v>23</v>
      </c>
      <c r="D129" s="19">
        <v>0.5</v>
      </c>
    </row>
    <row r="130" spans="1:4" ht="13.05" customHeight="1" x14ac:dyDescent="0.3">
      <c r="A130" s="11">
        <v>3</v>
      </c>
      <c r="B130" s="13" t="s">
        <v>29</v>
      </c>
      <c r="C130" s="11" t="s">
        <v>24</v>
      </c>
      <c r="D130" s="19">
        <v>0.5</v>
      </c>
    </row>
    <row r="131" spans="1:4" ht="13.05" customHeight="1" x14ac:dyDescent="0.3">
      <c r="A131" s="11">
        <v>3</v>
      </c>
      <c r="B131" s="13" t="s">
        <v>29</v>
      </c>
      <c r="C131" s="11" t="s">
        <v>17</v>
      </c>
      <c r="D131" s="19">
        <v>0.5</v>
      </c>
    </row>
    <row r="132" spans="1:4" ht="13.05" customHeight="1" x14ac:dyDescent="0.3">
      <c r="A132" s="11">
        <v>3</v>
      </c>
      <c r="B132" s="13" t="s">
        <v>29</v>
      </c>
      <c r="C132" s="11" t="s">
        <v>18</v>
      </c>
      <c r="D132" s="19">
        <v>0.5</v>
      </c>
    </row>
    <row r="133" spans="1:4" ht="13.05" customHeight="1" x14ac:dyDescent="0.3">
      <c r="A133" s="11">
        <v>3</v>
      </c>
      <c r="B133" s="13" t="s">
        <v>29</v>
      </c>
      <c r="C133" s="11" t="s">
        <v>26</v>
      </c>
      <c r="D133" s="19">
        <v>1</v>
      </c>
    </row>
    <row r="134" spans="1:4" ht="13.05" customHeight="1" x14ac:dyDescent="0.3">
      <c r="A134" s="11">
        <v>3</v>
      </c>
      <c r="B134" s="13" t="s">
        <v>29</v>
      </c>
      <c r="C134" s="11" t="s">
        <v>20</v>
      </c>
      <c r="D134" s="19">
        <v>1</v>
      </c>
    </row>
    <row r="135" spans="1:4" ht="13.05" customHeight="1" x14ac:dyDescent="0.3">
      <c r="A135" s="11">
        <v>3</v>
      </c>
      <c r="B135" s="13" t="s">
        <v>29</v>
      </c>
      <c r="C135" s="11" t="s">
        <v>27</v>
      </c>
      <c r="D135" s="19">
        <v>1</v>
      </c>
    </row>
    <row r="136" spans="1:4" ht="13.05" customHeight="1" x14ac:dyDescent="0.3">
      <c r="A136" s="11">
        <v>3</v>
      </c>
      <c r="B136" s="13" t="s">
        <v>29</v>
      </c>
      <c r="C136" s="11" t="s">
        <v>22</v>
      </c>
      <c r="D136" s="19">
        <v>1</v>
      </c>
    </row>
    <row r="137" spans="1:4" ht="13.05" customHeight="1" x14ac:dyDescent="0.3">
      <c r="A137" s="11">
        <v>3</v>
      </c>
      <c r="B137" s="13" t="s">
        <v>29</v>
      </c>
      <c r="C137" s="11" t="s">
        <v>21</v>
      </c>
      <c r="D137" s="19">
        <v>1</v>
      </c>
    </row>
    <row r="138" spans="1:4" ht="13.05" customHeight="1" x14ac:dyDescent="0.3">
      <c r="A138" s="11">
        <v>3</v>
      </c>
      <c r="B138" s="13" t="s">
        <v>30</v>
      </c>
      <c r="C138" s="11" t="s">
        <v>25</v>
      </c>
      <c r="D138" s="19">
        <v>0.5</v>
      </c>
    </row>
    <row r="139" spans="1:4" ht="13.05" customHeight="1" x14ac:dyDescent="0.3">
      <c r="A139" s="11">
        <v>3</v>
      </c>
      <c r="B139" s="13" t="s">
        <v>30</v>
      </c>
      <c r="C139" s="11" t="s">
        <v>19</v>
      </c>
      <c r="D139" s="19">
        <v>1</v>
      </c>
    </row>
    <row r="140" spans="1:4" ht="13.05" customHeight="1" x14ac:dyDescent="0.3">
      <c r="A140" s="11">
        <v>3</v>
      </c>
      <c r="B140" s="13" t="s">
        <v>30</v>
      </c>
      <c r="C140" s="11" t="s">
        <v>23</v>
      </c>
      <c r="D140" s="19">
        <v>0.5</v>
      </c>
    </row>
    <row r="141" spans="1:4" ht="13.05" customHeight="1" x14ac:dyDescent="0.3">
      <c r="A141" s="11">
        <v>3</v>
      </c>
      <c r="B141" s="13" t="s">
        <v>30</v>
      </c>
      <c r="C141" s="11" t="s">
        <v>24</v>
      </c>
      <c r="D141" s="19">
        <v>0.5</v>
      </c>
    </row>
    <row r="142" spans="1:4" ht="13.05" customHeight="1" x14ac:dyDescent="0.3">
      <c r="A142" s="11">
        <v>3</v>
      </c>
      <c r="B142" s="13" t="s">
        <v>30</v>
      </c>
      <c r="C142" s="11" t="s">
        <v>17</v>
      </c>
      <c r="D142" s="19">
        <v>0.5</v>
      </c>
    </row>
    <row r="143" spans="1:4" ht="13.05" customHeight="1" x14ac:dyDescent="0.3">
      <c r="A143" s="11">
        <v>3</v>
      </c>
      <c r="B143" s="13" t="s">
        <v>30</v>
      </c>
      <c r="C143" s="11" t="s">
        <v>18</v>
      </c>
      <c r="D143" s="19">
        <v>0.5</v>
      </c>
    </row>
    <row r="144" spans="1:4" ht="13.05" customHeight="1" x14ac:dyDescent="0.3">
      <c r="A144" s="11">
        <v>3</v>
      </c>
      <c r="B144" s="13" t="s">
        <v>30</v>
      </c>
      <c r="C144" s="11" t="s">
        <v>26</v>
      </c>
      <c r="D144" s="19">
        <v>0.5</v>
      </c>
    </row>
    <row r="145" spans="1:4" ht="13.05" customHeight="1" x14ac:dyDescent="0.3">
      <c r="A145" s="11">
        <v>3</v>
      </c>
      <c r="B145" s="13" t="s">
        <v>30</v>
      </c>
      <c r="C145" s="11" t="s">
        <v>20</v>
      </c>
      <c r="D145" s="19">
        <v>1</v>
      </c>
    </row>
    <row r="146" spans="1:4" ht="13.05" customHeight="1" x14ac:dyDescent="0.3">
      <c r="A146" s="11">
        <v>3</v>
      </c>
      <c r="B146" s="13" t="s">
        <v>30</v>
      </c>
      <c r="C146" s="11" t="s">
        <v>27</v>
      </c>
      <c r="D146" s="19">
        <v>1</v>
      </c>
    </row>
    <row r="147" spans="1:4" ht="13.05" customHeight="1" x14ac:dyDescent="0.3">
      <c r="A147" s="11">
        <v>3</v>
      </c>
      <c r="B147" s="13" t="s">
        <v>31</v>
      </c>
      <c r="C147" s="11" t="s">
        <v>25</v>
      </c>
      <c r="D147" s="19">
        <v>0.5</v>
      </c>
    </row>
    <row r="148" spans="1:4" ht="13.05" customHeight="1" x14ac:dyDescent="0.3">
      <c r="A148" s="11">
        <v>3</v>
      </c>
      <c r="B148" s="13" t="s">
        <v>31</v>
      </c>
      <c r="C148" s="11" t="s">
        <v>19</v>
      </c>
      <c r="D148" s="19">
        <v>1</v>
      </c>
    </row>
    <row r="149" spans="1:4" ht="13.05" customHeight="1" x14ac:dyDescent="0.3">
      <c r="A149" s="11">
        <v>3</v>
      </c>
      <c r="B149" s="13" t="s">
        <v>31</v>
      </c>
      <c r="C149" s="11" t="s">
        <v>23</v>
      </c>
      <c r="D149" s="19">
        <v>0.5</v>
      </c>
    </row>
    <row r="150" spans="1:4" ht="13.05" customHeight="1" x14ac:dyDescent="0.3">
      <c r="A150" s="11">
        <v>3</v>
      </c>
      <c r="B150" s="13" t="s">
        <v>31</v>
      </c>
      <c r="C150" s="11" t="s">
        <v>24</v>
      </c>
      <c r="D150" s="19">
        <v>0.5</v>
      </c>
    </row>
    <row r="151" spans="1:4" ht="13.05" customHeight="1" x14ac:dyDescent="0.3">
      <c r="A151" s="11">
        <v>3</v>
      </c>
      <c r="B151" s="13" t="s">
        <v>31</v>
      </c>
      <c r="C151" s="11" t="s">
        <v>17</v>
      </c>
      <c r="D151" s="19">
        <v>0.5</v>
      </c>
    </row>
    <row r="152" spans="1:4" ht="13.05" customHeight="1" x14ac:dyDescent="0.3">
      <c r="A152" s="11">
        <v>3</v>
      </c>
      <c r="B152" s="13" t="s">
        <v>31</v>
      </c>
      <c r="C152" s="11" t="s">
        <v>18</v>
      </c>
      <c r="D152" s="19">
        <v>0.5</v>
      </c>
    </row>
    <row r="153" spans="1:4" ht="13.05" customHeight="1" x14ac:dyDescent="0.3">
      <c r="A153" s="11">
        <v>3</v>
      </c>
      <c r="B153" s="13" t="s">
        <v>31</v>
      </c>
      <c r="C153" s="11" t="s">
        <v>26</v>
      </c>
      <c r="D153" s="19">
        <v>0.5</v>
      </c>
    </row>
    <row r="154" spans="1:4" ht="13.05" customHeight="1" x14ac:dyDescent="0.3">
      <c r="A154" s="11">
        <v>3</v>
      </c>
      <c r="B154" s="13" t="s">
        <v>31</v>
      </c>
      <c r="C154" s="11" t="s">
        <v>20</v>
      </c>
      <c r="D154" s="19">
        <v>1</v>
      </c>
    </row>
    <row r="155" spans="1:4" ht="13.05" customHeight="1" x14ac:dyDescent="0.3">
      <c r="A155" s="11">
        <v>3</v>
      </c>
      <c r="B155" s="13" t="s">
        <v>31</v>
      </c>
      <c r="C155" s="11" t="s">
        <v>27</v>
      </c>
      <c r="D155" s="19">
        <v>1</v>
      </c>
    </row>
    <row r="156" spans="1:4" ht="13.05" customHeight="1" x14ac:dyDescent="0.3">
      <c r="A156" s="11">
        <v>3</v>
      </c>
      <c r="B156" s="13" t="s">
        <v>32</v>
      </c>
      <c r="C156" s="11" t="s">
        <v>19</v>
      </c>
      <c r="D156" s="19">
        <v>1</v>
      </c>
    </row>
    <row r="157" spans="1:4" ht="13.05" customHeight="1" x14ac:dyDescent="0.3">
      <c r="A157" s="11">
        <v>3</v>
      </c>
      <c r="B157" s="13" t="s">
        <v>32</v>
      </c>
      <c r="C157" s="11" t="s">
        <v>27</v>
      </c>
      <c r="D157" s="19">
        <v>1</v>
      </c>
    </row>
    <row r="158" spans="1:4" ht="13.05" customHeight="1" x14ac:dyDescent="0.3">
      <c r="A158" s="11">
        <v>3</v>
      </c>
      <c r="B158" s="13" t="s">
        <v>33</v>
      </c>
      <c r="C158" s="11" t="s">
        <v>25</v>
      </c>
      <c r="D158" s="19">
        <v>0.5</v>
      </c>
    </row>
    <row r="159" spans="1:4" ht="13.05" customHeight="1" x14ac:dyDescent="0.3">
      <c r="A159" s="11">
        <v>3</v>
      </c>
      <c r="B159" s="13" t="s">
        <v>33</v>
      </c>
      <c r="C159" s="11" t="s">
        <v>19</v>
      </c>
      <c r="D159" s="19">
        <v>1</v>
      </c>
    </row>
    <row r="160" spans="1:4" ht="13.05" customHeight="1" x14ac:dyDescent="0.3">
      <c r="A160" s="11">
        <v>3</v>
      </c>
      <c r="B160" s="13" t="s">
        <v>33</v>
      </c>
      <c r="C160" s="11" t="s">
        <v>17</v>
      </c>
      <c r="D160" s="19">
        <v>0.75</v>
      </c>
    </row>
    <row r="161" spans="1:4" ht="13.05" customHeight="1" x14ac:dyDescent="0.3">
      <c r="A161" s="11">
        <v>3</v>
      </c>
      <c r="B161" s="13" t="s">
        <v>33</v>
      </c>
      <c r="C161" s="11" t="s">
        <v>18</v>
      </c>
      <c r="D161" s="19">
        <v>0.75</v>
      </c>
    </row>
    <row r="162" spans="1:4" ht="13.05" customHeight="1" x14ac:dyDescent="0.3">
      <c r="A162" s="11">
        <v>3</v>
      </c>
      <c r="B162" s="13" t="s">
        <v>33</v>
      </c>
      <c r="C162" s="11" t="s">
        <v>20</v>
      </c>
      <c r="D162" s="19">
        <v>1</v>
      </c>
    </row>
    <row r="163" spans="1:4" ht="13.05" customHeight="1" x14ac:dyDescent="0.3">
      <c r="A163" s="11">
        <v>3</v>
      </c>
      <c r="B163" s="13" t="s">
        <v>33</v>
      </c>
      <c r="C163" s="11" t="s">
        <v>27</v>
      </c>
      <c r="D163" s="19">
        <v>1</v>
      </c>
    </row>
    <row r="164" spans="1:4" ht="13.05" customHeight="1" x14ac:dyDescent="0.3">
      <c r="A164" s="11">
        <v>3</v>
      </c>
      <c r="B164" s="13" t="s">
        <v>33</v>
      </c>
      <c r="C164" s="11" t="s">
        <v>21</v>
      </c>
      <c r="D164" s="19">
        <v>1</v>
      </c>
    </row>
    <row r="165" spans="1:4" ht="13.05" customHeight="1" x14ac:dyDescent="0.3">
      <c r="A165" s="11">
        <v>3</v>
      </c>
      <c r="B165" s="13" t="s">
        <v>34</v>
      </c>
      <c r="C165" s="11" t="s">
        <v>25</v>
      </c>
      <c r="D165" s="19">
        <v>1</v>
      </c>
    </row>
    <row r="166" spans="1:4" ht="13.05" customHeight="1" x14ac:dyDescent="0.3">
      <c r="A166" s="11">
        <v>3</v>
      </c>
      <c r="B166" s="13" t="s">
        <v>34</v>
      </c>
      <c r="C166" s="11" t="s">
        <v>19</v>
      </c>
      <c r="D166" s="19">
        <v>1</v>
      </c>
    </row>
    <row r="167" spans="1:4" ht="13.05" customHeight="1" x14ac:dyDescent="0.3">
      <c r="A167" s="11">
        <v>3</v>
      </c>
      <c r="B167" s="13" t="s">
        <v>34</v>
      </c>
      <c r="C167" s="11" t="s">
        <v>23</v>
      </c>
      <c r="D167" s="19">
        <v>1</v>
      </c>
    </row>
    <row r="168" spans="1:4" ht="13.05" customHeight="1" x14ac:dyDescent="0.3">
      <c r="A168" s="11">
        <v>3</v>
      </c>
      <c r="B168" s="13" t="s">
        <v>34</v>
      </c>
      <c r="C168" s="11" t="s">
        <v>24</v>
      </c>
      <c r="D168" s="19">
        <v>1</v>
      </c>
    </row>
    <row r="169" spans="1:4" ht="13.05" customHeight="1" x14ac:dyDescent="0.3">
      <c r="A169" s="11">
        <v>3</v>
      </c>
      <c r="B169" s="13" t="s">
        <v>34</v>
      </c>
      <c r="C169" s="11" t="s">
        <v>17</v>
      </c>
      <c r="D169" s="19">
        <v>1</v>
      </c>
    </row>
    <row r="170" spans="1:4" ht="13.05" customHeight="1" x14ac:dyDescent="0.3">
      <c r="A170" s="11">
        <v>3</v>
      </c>
      <c r="B170" s="13" t="s">
        <v>34</v>
      </c>
      <c r="C170" s="11" t="s">
        <v>18</v>
      </c>
      <c r="D170" s="19">
        <v>1</v>
      </c>
    </row>
    <row r="171" spans="1:4" ht="13.05" customHeight="1" x14ac:dyDescent="0.3">
      <c r="A171" s="11">
        <v>3</v>
      </c>
      <c r="B171" s="13" t="s">
        <v>34</v>
      </c>
      <c r="C171" s="11" t="s">
        <v>20</v>
      </c>
      <c r="D171" s="19">
        <v>1</v>
      </c>
    </row>
    <row r="172" spans="1:4" ht="13.05" customHeight="1" x14ac:dyDescent="0.3">
      <c r="A172" s="11">
        <v>3</v>
      </c>
      <c r="B172" s="13" t="s">
        <v>34</v>
      </c>
      <c r="C172" s="11" t="s">
        <v>27</v>
      </c>
      <c r="D172" s="19">
        <v>1</v>
      </c>
    </row>
    <row r="173" spans="1:4" ht="13.05" customHeight="1" x14ac:dyDescent="0.3">
      <c r="A173" s="11">
        <v>3</v>
      </c>
      <c r="B173" s="13" t="s">
        <v>34</v>
      </c>
      <c r="C173" s="11" t="s">
        <v>22</v>
      </c>
      <c r="D173" s="19">
        <v>1</v>
      </c>
    </row>
    <row r="174" spans="1:4" ht="13.05" customHeight="1" x14ac:dyDescent="0.3">
      <c r="A174" s="11">
        <v>3</v>
      </c>
      <c r="B174" s="13" t="s">
        <v>34</v>
      </c>
      <c r="C174" s="11" t="s">
        <v>21</v>
      </c>
      <c r="D174" s="19">
        <v>1</v>
      </c>
    </row>
    <row r="175" spans="1:4" ht="13.05" customHeight="1" x14ac:dyDescent="0.3">
      <c r="A175" s="11">
        <v>3</v>
      </c>
      <c r="B175" s="13" t="s">
        <v>35</v>
      </c>
      <c r="C175" s="11" t="s">
        <v>25</v>
      </c>
      <c r="D175" s="19">
        <v>0.5</v>
      </c>
    </row>
    <row r="176" spans="1:4" ht="13.05" customHeight="1" x14ac:dyDescent="0.3">
      <c r="A176" s="11">
        <v>3</v>
      </c>
      <c r="B176" s="13" t="s">
        <v>35</v>
      </c>
      <c r="C176" s="11" t="s">
        <v>19</v>
      </c>
      <c r="D176" s="19">
        <v>1</v>
      </c>
    </row>
    <row r="177" spans="1:4" ht="13.05" customHeight="1" x14ac:dyDescent="0.3">
      <c r="A177" s="11">
        <v>3</v>
      </c>
      <c r="B177" s="13" t="s">
        <v>35</v>
      </c>
      <c r="C177" s="11" t="s">
        <v>23</v>
      </c>
      <c r="D177" s="19">
        <v>0.5</v>
      </c>
    </row>
    <row r="178" spans="1:4" ht="13.05" customHeight="1" x14ac:dyDescent="0.3">
      <c r="A178" s="11">
        <v>3</v>
      </c>
      <c r="B178" s="13" t="s">
        <v>35</v>
      </c>
      <c r="C178" s="11" t="s">
        <v>24</v>
      </c>
      <c r="D178" s="19">
        <v>0.5</v>
      </c>
    </row>
    <row r="179" spans="1:4" ht="13.05" customHeight="1" x14ac:dyDescent="0.3">
      <c r="A179" s="11">
        <v>3</v>
      </c>
      <c r="B179" s="13" t="s">
        <v>35</v>
      </c>
      <c r="C179" s="11" t="s">
        <v>17</v>
      </c>
      <c r="D179" s="19">
        <v>0.5</v>
      </c>
    </row>
    <row r="180" spans="1:4" ht="13.05" customHeight="1" x14ac:dyDescent="0.3">
      <c r="A180" s="11">
        <v>3</v>
      </c>
      <c r="B180" s="13" t="s">
        <v>35</v>
      </c>
      <c r="C180" s="11" t="s">
        <v>18</v>
      </c>
      <c r="D180" s="19">
        <v>0.5</v>
      </c>
    </row>
    <row r="181" spans="1:4" ht="13.05" customHeight="1" x14ac:dyDescent="0.3">
      <c r="A181" s="11">
        <v>3</v>
      </c>
      <c r="B181" s="13" t="s">
        <v>35</v>
      </c>
      <c r="C181" s="11" t="s">
        <v>20</v>
      </c>
      <c r="D181" s="19">
        <v>1</v>
      </c>
    </row>
    <row r="182" spans="1:4" ht="13.05" customHeight="1" x14ac:dyDescent="0.3">
      <c r="A182" s="11">
        <v>3</v>
      </c>
      <c r="B182" s="13" t="s">
        <v>35</v>
      </c>
      <c r="C182" s="11" t="s">
        <v>20</v>
      </c>
      <c r="D182" s="19">
        <v>1</v>
      </c>
    </row>
    <row r="183" spans="1:4" ht="13.05" customHeight="1" x14ac:dyDescent="0.3">
      <c r="A183" s="11">
        <v>3</v>
      </c>
      <c r="B183" s="13" t="s">
        <v>35</v>
      </c>
      <c r="C183" s="11" t="s">
        <v>27</v>
      </c>
      <c r="D183" s="19">
        <v>1</v>
      </c>
    </row>
    <row r="184" spans="1:4" ht="13.05" customHeight="1" x14ac:dyDescent="0.3">
      <c r="A184" s="11">
        <v>3</v>
      </c>
      <c r="B184" s="13" t="s">
        <v>35</v>
      </c>
      <c r="C184" s="11" t="s">
        <v>27</v>
      </c>
      <c r="D184" s="19">
        <v>1</v>
      </c>
    </row>
    <row r="185" spans="1:4" ht="13.05" customHeight="1" x14ac:dyDescent="0.3">
      <c r="A185" s="11">
        <v>3</v>
      </c>
      <c r="B185" s="13" t="s">
        <v>35</v>
      </c>
      <c r="C185" s="11" t="s">
        <v>27</v>
      </c>
      <c r="D185" s="19">
        <v>1</v>
      </c>
    </row>
    <row r="186" spans="1:4" ht="13.05" customHeight="1" x14ac:dyDescent="0.3">
      <c r="A186" s="11">
        <v>3</v>
      </c>
      <c r="B186" s="13" t="s">
        <v>35</v>
      </c>
      <c r="C186" s="11" t="s">
        <v>22</v>
      </c>
      <c r="D186" s="19">
        <v>1</v>
      </c>
    </row>
    <row r="187" spans="1:4" ht="13.05" customHeight="1" x14ac:dyDescent="0.3">
      <c r="A187" s="11">
        <v>3</v>
      </c>
      <c r="B187" s="13" t="s">
        <v>35</v>
      </c>
      <c r="C187" s="11" t="s">
        <v>21</v>
      </c>
      <c r="D187" s="19">
        <v>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84D7-37E6-4412-9266-BC9658B87D8D}">
  <sheetPr>
    <tabColor rgb="FF787878"/>
  </sheetPr>
  <dimension ref="B2:H39"/>
  <sheetViews>
    <sheetView showGridLines="0" workbookViewId="0"/>
  </sheetViews>
  <sheetFormatPr baseColWidth="10" defaultRowHeight="14.4" x14ac:dyDescent="0.3"/>
  <cols>
    <col min="2" max="2" width="130.77734375" customWidth="1"/>
  </cols>
  <sheetData>
    <row r="2" spans="2:8" ht="22.05" customHeight="1" x14ac:dyDescent="0.35">
      <c r="B2" s="123" t="s">
        <v>250</v>
      </c>
      <c r="C2" s="123"/>
      <c r="D2" s="123"/>
      <c r="E2" s="123"/>
      <c r="F2" s="123"/>
      <c r="G2" s="123"/>
      <c r="H2" s="123"/>
    </row>
    <row r="4" spans="2:8" ht="15.6" x14ac:dyDescent="0.3">
      <c r="B4" s="102" t="s">
        <v>251</v>
      </c>
    </row>
    <row r="5" spans="2:8" ht="409.6" x14ac:dyDescent="0.3">
      <c r="B5" s="103" t="s">
        <v>252</v>
      </c>
    </row>
    <row r="6" spans="2:8" ht="409.6" x14ac:dyDescent="0.3">
      <c r="B6" s="103" t="s">
        <v>253</v>
      </c>
    </row>
    <row r="8" spans="2:8" ht="15.6" x14ac:dyDescent="0.3">
      <c r="B8" s="102" t="s">
        <v>254</v>
      </c>
    </row>
    <row r="9" spans="2:8" x14ac:dyDescent="0.3">
      <c r="B9" s="103" t="s">
        <v>255</v>
      </c>
    </row>
    <row r="10" spans="2:8" x14ac:dyDescent="0.3">
      <c r="B10" s="103" t="s">
        <v>256</v>
      </c>
    </row>
    <row r="11" spans="2:8" ht="28.8" x14ac:dyDescent="0.3">
      <c r="B11" s="103" t="s">
        <v>257</v>
      </c>
    </row>
    <row r="12" spans="2:8" ht="43.2" x14ac:dyDescent="0.3">
      <c r="B12" s="103" t="s">
        <v>258</v>
      </c>
    </row>
    <row r="13" spans="2:8" ht="28.8" x14ac:dyDescent="0.3">
      <c r="B13" s="103" t="s">
        <v>259</v>
      </c>
    </row>
    <row r="15" spans="2:8" ht="15.6" x14ac:dyDescent="0.3">
      <c r="B15" s="102" t="s">
        <v>260</v>
      </c>
    </row>
    <row r="16" spans="2:8" ht="28.8" x14ac:dyDescent="0.3">
      <c r="B16" s="103" t="s">
        <v>261</v>
      </c>
    </row>
    <row r="17" spans="2:2" x14ac:dyDescent="0.3">
      <c r="B17" s="103" t="s">
        <v>262</v>
      </c>
    </row>
    <row r="18" spans="2:2" x14ac:dyDescent="0.3">
      <c r="B18" s="103" t="s">
        <v>263</v>
      </c>
    </row>
    <row r="19" spans="2:2" x14ac:dyDescent="0.3">
      <c r="B19" s="103" t="s">
        <v>264</v>
      </c>
    </row>
    <row r="20" spans="2:2" x14ac:dyDescent="0.3">
      <c r="B20" s="103" t="s">
        <v>265</v>
      </c>
    </row>
    <row r="21" spans="2:2" x14ac:dyDescent="0.3">
      <c r="B21" s="103" t="s">
        <v>266</v>
      </c>
    </row>
    <row r="22" spans="2:2" ht="28.8" x14ac:dyDescent="0.3">
      <c r="B22" s="103" t="s">
        <v>267</v>
      </c>
    </row>
    <row r="24" spans="2:2" ht="15.6" x14ac:dyDescent="0.3">
      <c r="B24" s="102" t="s">
        <v>268</v>
      </c>
    </row>
    <row r="25" spans="2:2" ht="43.2" x14ac:dyDescent="0.3">
      <c r="B25" s="103" t="s">
        <v>269</v>
      </c>
    </row>
    <row r="26" spans="2:2" ht="28.8" x14ac:dyDescent="0.3">
      <c r="B26" s="103" t="s">
        <v>270</v>
      </c>
    </row>
    <row r="27" spans="2:2" ht="28.8" x14ac:dyDescent="0.3">
      <c r="B27" s="103" t="s">
        <v>271</v>
      </c>
    </row>
    <row r="28" spans="2:2" ht="43.2" x14ac:dyDescent="0.3">
      <c r="B28" s="103" t="s">
        <v>272</v>
      </c>
    </row>
    <row r="29" spans="2:2" ht="28.8" x14ac:dyDescent="0.3">
      <c r="B29" s="103" t="s">
        <v>273</v>
      </c>
    </row>
    <row r="30" spans="2:2" ht="28.8" x14ac:dyDescent="0.3">
      <c r="B30" s="103" t="s">
        <v>274</v>
      </c>
    </row>
    <row r="32" spans="2:2" ht="15.6" x14ac:dyDescent="0.3">
      <c r="B32" s="102" t="s">
        <v>275</v>
      </c>
    </row>
    <row r="33" spans="2:2" x14ac:dyDescent="0.3">
      <c r="B33" s="103" t="s">
        <v>276</v>
      </c>
    </row>
    <row r="34" spans="2:2" x14ac:dyDescent="0.3">
      <c r="B34" s="103" t="s">
        <v>277</v>
      </c>
    </row>
    <row r="35" spans="2:2" x14ac:dyDescent="0.3">
      <c r="B35" s="103" t="s">
        <v>278</v>
      </c>
    </row>
    <row r="36" spans="2:2" x14ac:dyDescent="0.3">
      <c r="B36" s="103" t="s">
        <v>279</v>
      </c>
    </row>
    <row r="37" spans="2:2" x14ac:dyDescent="0.3">
      <c r="B37" s="103" t="s">
        <v>280</v>
      </c>
    </row>
    <row r="38" spans="2:2" x14ac:dyDescent="0.3">
      <c r="B38" s="103" t="s">
        <v>281</v>
      </c>
    </row>
    <row r="39" spans="2:2" x14ac:dyDescent="0.3">
      <c r="B39" s="103" t="s">
        <v>282</v>
      </c>
    </row>
  </sheetData>
  <mergeCells count="1">
    <mergeCell ref="B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F9AE-A713-429B-928A-88A7FDB23FBD}">
  <sheetPr>
    <tabColor rgb="FF1F4E79"/>
  </sheetPr>
  <dimension ref="B1:AE49"/>
  <sheetViews>
    <sheetView showGridLines="0" workbookViewId="0"/>
  </sheetViews>
  <sheetFormatPr baseColWidth="10" defaultRowHeight="14.4" x14ac:dyDescent="0.3"/>
  <cols>
    <col min="2" max="2" width="48.77734375" customWidth="1"/>
    <col min="3" max="5" width="22.77734375" customWidth="1"/>
  </cols>
  <sheetData>
    <row r="1" spans="2:31" x14ac:dyDescent="0.3">
      <c r="AA1" s="38" t="s">
        <v>129</v>
      </c>
      <c r="AB1" s="36"/>
      <c r="AC1" s="36"/>
      <c r="AD1" s="36"/>
    </row>
    <row r="2" spans="2:31" ht="18" x14ac:dyDescent="0.35">
      <c r="B2" s="123" t="s">
        <v>117</v>
      </c>
      <c r="C2" s="123"/>
      <c r="D2" s="123"/>
      <c r="E2" s="123"/>
      <c r="F2" s="123"/>
      <c r="G2" s="123"/>
      <c r="H2" s="123"/>
      <c r="AA2" s="37" t="s">
        <v>90</v>
      </c>
      <c r="AB2" s="37" t="s">
        <v>128</v>
      </c>
      <c r="AC2" s="36" t="s">
        <v>130</v>
      </c>
      <c r="AD2" s="36" t="s">
        <v>131</v>
      </c>
      <c r="AE2" t="s">
        <v>132</v>
      </c>
    </row>
    <row r="3" spans="2:31" x14ac:dyDescent="0.3">
      <c r="B3" s="32" t="s">
        <v>118</v>
      </c>
      <c r="AA3" s="36" t="str">
        <f>'Implementation Phases'!$D$2</f>
        <v>A</v>
      </c>
      <c r="AB3" s="36" t="str">
        <f>'Resource Master'!$A$2</f>
        <v>Solution Architect</v>
      </c>
      <c r="AC3" s="36" t="str">
        <f>'Resource Master'!$G$1</f>
        <v>Actual</v>
      </c>
      <c r="AD3" s="36" t="str">
        <f>'Financials (USD)'!$J$1</f>
        <v>Label Printers / Labelers</v>
      </c>
      <c r="AE3" t="str">
        <f>'Financials (USD)'!$L$1</f>
        <v>WiFi Full</v>
      </c>
    </row>
    <row r="4" spans="2:31" x14ac:dyDescent="0.3">
      <c r="AA4" s="36" t="str" cm="1">
        <f t="array" ref="AA4">IFERROR(INDEX('Implementation Phases'!$D$2:$D$65,MATCH(0,COUNTIF($AA$3:AA3,'Implementation Phases'!$D$2:$D$65),0)),"")</f>
        <v>B</v>
      </c>
      <c r="AB4" s="36" t="str" cm="1">
        <f t="array" ref="AB4">IFERROR(INDEX('Resource Master'!$A$2:$A$19,MATCH(0,COUNTIF($AB$3:AB3,'Resource Master'!$A$2:$A$19),0)),"")</f>
        <v>Warehouse Manager Org A</v>
      </c>
      <c r="AC4" s="36" t="str">
        <f>'Resource Master'!$H$1</f>
        <v>Escenario 1</v>
      </c>
      <c r="AD4" s="36" t="str">
        <f>'Financials (USD)'!$K$1</f>
        <v>Manual Labeling</v>
      </c>
      <c r="AE4" t="str">
        <f>'Financials (USD)'!$M$1</f>
        <v>WiFi Full Optimized</v>
      </c>
    </row>
    <row r="5" spans="2:31" x14ac:dyDescent="0.3">
      <c r="B5" s="125" t="s">
        <v>119</v>
      </c>
      <c r="C5" s="125"/>
      <c r="D5" s="125"/>
      <c r="E5" s="125"/>
      <c r="AA5" s="36"/>
      <c r="AB5" s="36" t="str" cm="1">
        <f t="array" ref="AB5">IFERROR(INDEX('Resource Master'!$A$2:$A$19,MATCH(0,COUNTIF($AB$3:AB4,'Resource Master'!$A$2:$A$19),0)),"")</f>
        <v>Project Manager Country B</v>
      </c>
      <c r="AC5" s="36"/>
      <c r="AD5" s="36"/>
      <c r="AE5" t="str">
        <f>'Financials (USD)'!$N$1</f>
        <v>WiFi Prioritized</v>
      </c>
    </row>
    <row r="6" spans="2:31" x14ac:dyDescent="0.3">
      <c r="B6" s="33" t="s">
        <v>120</v>
      </c>
      <c r="C6" s="34" t="str">
        <f>"Escenario Base"</f>
        <v>Escenario Base</v>
      </c>
      <c r="AA6" s="36"/>
      <c r="AB6" s="36" t="str" cm="1">
        <f t="array" ref="AB6">IFERROR(INDEX('Resource Master'!$A$2:$A$19,MATCH(0,COUNTIF($AB$3:AB5,'Resource Master'!$A$2:$A$19),0)),"")</f>
        <v>Project Manager Country A</v>
      </c>
      <c r="AC6" s="36"/>
      <c r="AD6" s="36"/>
    </row>
    <row r="7" spans="2:31" x14ac:dyDescent="0.3">
      <c r="B7" s="33" t="s">
        <v>121</v>
      </c>
      <c r="C7" s="54">
        <f>DATE(2026,8,17)</f>
        <v>46251</v>
      </c>
      <c r="AA7" s="36"/>
      <c r="AB7" s="36" t="str" cm="1">
        <f t="array" ref="AB7">IFERROR(INDEX('Resource Master'!$A$2:$A$19,MATCH(0,COUNTIF($AB$3:AB6,'Resource Master'!$A$2:$A$19),0)),"")</f>
        <v>Change Management Lead</v>
      </c>
      <c r="AC7" s="36"/>
      <c r="AD7" s="36"/>
    </row>
    <row r="8" spans="2:31" ht="28.8" x14ac:dyDescent="0.3">
      <c r="B8" s="33" t="s">
        <v>122</v>
      </c>
      <c r="C8" s="34" t="str">
        <f>"A"</f>
        <v>A</v>
      </c>
      <c r="AA8" s="36"/>
      <c r="AB8" s="36" t="str" cm="1">
        <f t="array" ref="AB8">IFERROR(INDEX('Resource Master'!$A$2:$A$19,MATCH(0,COUNTIF($AB$3:AB7,'Resource Master'!$A$2:$A$19),0)),"")</f>
        <v>Infrastructure Lead</v>
      </c>
      <c r="AC8" s="36"/>
      <c r="AD8" s="36"/>
    </row>
    <row r="9" spans="2:31" x14ac:dyDescent="0.3">
      <c r="B9" s="33" t="s">
        <v>123</v>
      </c>
      <c r="C9" s="35">
        <f>3</f>
        <v>3</v>
      </c>
      <c r="AA9" s="36"/>
      <c r="AB9" s="36" t="str" cm="1">
        <f t="array" ref="AB9">IFERROR(INDEX('Resource Master'!$A$2:$A$19,MATCH(0,COUNTIF($AB$3:AB8,'Resource Master'!$A$2:$A$19),0)),"")</f>
        <v>Functional Lead</v>
      </c>
      <c r="AC9" s="36"/>
      <c r="AD9" s="36"/>
    </row>
    <row r="10" spans="2:31" x14ac:dyDescent="0.3">
      <c r="B10" s="33" t="s">
        <v>124</v>
      </c>
      <c r="C10" s="34" t="str">
        <f>"Actual"</f>
        <v>Actual</v>
      </c>
      <c r="AA10" s="36"/>
      <c r="AB10" s="36" t="str" cm="1">
        <f t="array" ref="AB10">IFERROR(INDEX('Resource Master'!$A$2:$A$19,MATCH(0,COUNTIF($AB$3:AB9,'Resource Master'!$A$2:$A$19),0)),"")</f>
        <v>SAP Integrations Lead</v>
      </c>
      <c r="AC10" s="36"/>
      <c r="AD10" s="36"/>
    </row>
    <row r="11" spans="2:31" x14ac:dyDescent="0.3">
      <c r="B11" s="33" t="s">
        <v>125</v>
      </c>
      <c r="C11" s="34" t="str">
        <f>"Label Printers / Labelers"</f>
        <v>Label Printers / Labelers</v>
      </c>
      <c r="AA11" s="36"/>
      <c r="AB11" s="36" t="str" cm="1">
        <f t="array" ref="AB11">IFERROR(INDEX('Resource Master'!$A$2:$A$19,MATCH(0,COUNTIF($AB$3:AB10,'Resource Master'!$A$2:$A$19),0)),"")</f>
        <v>SAP Integrations Specialist</v>
      </c>
      <c r="AC11" s="36"/>
      <c r="AD11" s="36"/>
    </row>
    <row r="12" spans="2:31" x14ac:dyDescent="0.3">
      <c r="B12" s="33" t="s">
        <v>126</v>
      </c>
      <c r="C12" s="34" t="str">
        <f>"WiFi Full"</f>
        <v>WiFi Full</v>
      </c>
      <c r="AA12" s="36"/>
      <c r="AB12" s="36" t="str" cm="1">
        <f t="array" ref="AB12">IFERROR(INDEX('Resource Master'!$A$2:$A$19,MATCH(0,COUNTIF($AB$3:AB11,'Resource Master'!$A$2:$A$19),0)),"")</f>
        <v>Azure Lead</v>
      </c>
      <c r="AC12" s="36"/>
      <c r="AD12" s="36"/>
    </row>
    <row r="13" spans="2:31" ht="28.8" x14ac:dyDescent="0.3">
      <c r="B13" s="33" t="s">
        <v>127</v>
      </c>
      <c r="C13" s="35">
        <f>8</f>
        <v>8</v>
      </c>
      <c r="AA13" s="36"/>
      <c r="AB13" s="36" t="str" cm="1">
        <f t="array" ref="AB13">IFERROR(INDEX('Resource Master'!$A$2:$A$19,MATCH(0,COUNTIF($AB$3:AB12,'Resource Master'!$A$2:$A$19),0)),"")</f>
        <v>Azure Specialist</v>
      </c>
      <c r="AC13" s="36"/>
      <c r="AD13" s="36"/>
    </row>
    <row r="14" spans="2:31" x14ac:dyDescent="0.3">
      <c r="AA14" s="36"/>
      <c r="AB14" s="36" t="str" cm="1">
        <f t="array" ref="AB14">IFERROR(INDEX('Resource Master'!$A$2:$A$19,MATCH(0,COUNTIF($AB$3:AB13,'Resource Master'!$A$2:$A$19),0)),"")</f>
        <v>Testing Lead</v>
      </c>
      <c r="AC14" s="36"/>
      <c r="AD14" s="36"/>
    </row>
    <row r="15" spans="2:31" x14ac:dyDescent="0.3">
      <c r="B15" s="125" t="s">
        <v>133</v>
      </c>
      <c r="C15" s="125"/>
      <c r="D15" s="125"/>
      <c r="E15" s="125"/>
      <c r="F15" s="125"/>
      <c r="AA15" s="36"/>
      <c r="AB15" s="36" t="str" cm="1">
        <f t="array" ref="AB15">IFERROR(INDEX('Resource Master'!$A$2:$A$19,MATCH(0,COUNTIF($AB$3:AB14,'Resource Master'!$A$2:$A$19),0)),"")</f>
        <v>Trainers</v>
      </c>
      <c r="AC15" s="36"/>
      <c r="AD15" s="36"/>
    </row>
    <row r="16" spans="2:31" ht="28.8" x14ac:dyDescent="0.3">
      <c r="B16" s="40" t="s">
        <v>134</v>
      </c>
      <c r="C16" s="40" t="s">
        <v>135</v>
      </c>
      <c r="D16" s="40" t="s">
        <v>136</v>
      </c>
      <c r="E16" s="40" t="s">
        <v>137</v>
      </c>
      <c r="AA16" s="36"/>
      <c r="AB16" s="36" t="str" cm="1">
        <f t="array" ref="AB16">IFERROR(INDEX('Resource Master'!$A$2:$A$19,MATCH(0,COUNTIF($AB$3:AB15,'Resource Master'!$A$2:$A$19),0)),"")</f>
        <v>Functional Lead Vendor A</v>
      </c>
      <c r="AC16" s="36"/>
      <c r="AD16" s="36"/>
    </row>
    <row r="17" spans="2:30" x14ac:dyDescent="0.3">
      <c r="B17" s="41" t="str">
        <f>'01_INPUTS'!$AB$3</f>
        <v>Solution Architect</v>
      </c>
      <c r="C17" s="42">
        <f>SUMIF('Resource Master'!$A$2:$A$19,B17,INDEX('Resource Master'!$G$2:$H$19,0,MATCH($C$10,'Resource Master'!$G$1:$H$1,0)))</f>
        <v>1</v>
      </c>
      <c r="D17" s="43"/>
      <c r="E17" s="44">
        <f t="shared" ref="E17:E31" si="0">IF(D17="",C17,D17)</f>
        <v>1</v>
      </c>
      <c r="AA17" s="36"/>
      <c r="AB17" s="36" t="str" cm="1">
        <f t="array" ref="AB17">IFERROR(INDEX('Resource Master'!$A$2:$A$19,MATCH(0,COUNTIF($AB$3:AB16,'Resource Master'!$A$2:$A$19),0)),"")</f>
        <v>Support Lead</v>
      </c>
      <c r="AC17" s="36"/>
      <c r="AD17" s="36"/>
    </row>
    <row r="18" spans="2:30" x14ac:dyDescent="0.3">
      <c r="B18" s="41" t="str">
        <f>'01_INPUTS'!$AB$4</f>
        <v>Warehouse Manager Org A</v>
      </c>
      <c r="C18" s="42">
        <f>SUMIF('Resource Master'!$A$2:$A$19,B18,INDEX('Resource Master'!$G$2:$H$19,0,MATCH($C$10,'Resource Master'!$G$1:$H$1,0)))</f>
        <v>1</v>
      </c>
      <c r="D18" s="43"/>
      <c r="E18" s="44">
        <f t="shared" si="0"/>
        <v>1</v>
      </c>
      <c r="AA18" s="36"/>
      <c r="AB18" s="36"/>
      <c r="AC18" s="36"/>
      <c r="AD18" s="36"/>
    </row>
    <row r="19" spans="2:30" x14ac:dyDescent="0.3">
      <c r="B19" s="41" t="str">
        <f>'01_INPUTS'!$AB$5</f>
        <v>Project Manager Country B</v>
      </c>
      <c r="C19" s="42">
        <f>SUMIF('Resource Master'!$A$2:$A$19,B19,INDEX('Resource Master'!$G$2:$H$19,0,MATCH($C$10,'Resource Master'!$G$1:$H$1,0)))</f>
        <v>1</v>
      </c>
      <c r="D19" s="43"/>
      <c r="E19" s="44">
        <f t="shared" si="0"/>
        <v>1</v>
      </c>
      <c r="AA19" s="36"/>
      <c r="AB19" s="36"/>
      <c r="AC19" s="36"/>
      <c r="AD19" s="36"/>
    </row>
    <row r="20" spans="2:30" x14ac:dyDescent="0.3">
      <c r="B20" s="41" t="str">
        <f>'01_INPUTS'!$AB$6</f>
        <v>Project Manager Country A</v>
      </c>
      <c r="C20" s="42">
        <f>SUMIF('Resource Master'!$A$2:$A$19,B20,INDEX('Resource Master'!$G$2:$H$19,0,MATCH($C$10,'Resource Master'!$G$1:$H$1,0)))</f>
        <v>1</v>
      </c>
      <c r="D20" s="43"/>
      <c r="E20" s="44">
        <f t="shared" si="0"/>
        <v>1</v>
      </c>
      <c r="AA20" s="36"/>
      <c r="AB20" s="36"/>
      <c r="AC20" s="36"/>
      <c r="AD20" s="36"/>
    </row>
    <row r="21" spans="2:30" x14ac:dyDescent="0.3">
      <c r="B21" s="41" t="str">
        <f>'01_INPUTS'!$AB$7</f>
        <v>Change Management Lead</v>
      </c>
      <c r="C21" s="42">
        <f>SUMIF('Resource Master'!$A$2:$A$19,B21,INDEX('Resource Master'!$G$2:$H$19,0,MATCH($C$10,'Resource Master'!$G$1:$H$1,0)))</f>
        <v>2</v>
      </c>
      <c r="D21" s="43"/>
      <c r="E21" s="44">
        <f t="shared" si="0"/>
        <v>2</v>
      </c>
    </row>
    <row r="22" spans="2:30" x14ac:dyDescent="0.3">
      <c r="B22" s="41" t="str">
        <f>'01_INPUTS'!$AB$8</f>
        <v>Infrastructure Lead</v>
      </c>
      <c r="C22" s="42">
        <f>SUMIF('Resource Master'!$A$2:$A$19,B22,INDEX('Resource Master'!$G$2:$H$19,0,MATCH($C$10,'Resource Master'!$G$1:$H$1,0)))</f>
        <v>2</v>
      </c>
      <c r="D22" s="43"/>
      <c r="E22" s="44">
        <f t="shared" si="0"/>
        <v>2</v>
      </c>
    </row>
    <row r="23" spans="2:30" x14ac:dyDescent="0.3">
      <c r="B23" s="41" t="str">
        <f>'01_INPUTS'!$AB$9</f>
        <v>Functional Lead</v>
      </c>
      <c r="C23" s="42">
        <f>SUMIF('Resource Master'!$A$2:$A$19,B23,INDEX('Resource Master'!$G$2:$H$19,0,MATCH($C$10,'Resource Master'!$G$1:$H$1,0)))</f>
        <v>2</v>
      </c>
      <c r="D23" s="43"/>
      <c r="E23" s="44">
        <f t="shared" si="0"/>
        <v>2</v>
      </c>
    </row>
    <row r="24" spans="2:30" x14ac:dyDescent="0.3">
      <c r="B24" s="41" t="str">
        <f>'01_INPUTS'!$AB$10</f>
        <v>SAP Integrations Lead</v>
      </c>
      <c r="C24" s="42">
        <f>SUMIF('Resource Master'!$A$2:$A$19,B24,INDEX('Resource Master'!$G$2:$H$19,0,MATCH($C$10,'Resource Master'!$G$1:$H$1,0)))</f>
        <v>1</v>
      </c>
      <c r="D24" s="43"/>
      <c r="E24" s="44">
        <f t="shared" si="0"/>
        <v>1</v>
      </c>
    </row>
    <row r="25" spans="2:30" x14ac:dyDescent="0.3">
      <c r="B25" s="41" t="str">
        <f>'01_INPUTS'!$AB$11</f>
        <v>SAP Integrations Specialist</v>
      </c>
      <c r="C25" s="42">
        <f>SUMIF('Resource Master'!$A$2:$A$19,B25,INDEX('Resource Master'!$G$2:$H$19,0,MATCH($C$10,'Resource Master'!$G$1:$H$1,0)))</f>
        <v>1</v>
      </c>
      <c r="D25" s="43"/>
      <c r="E25" s="44">
        <f t="shared" si="0"/>
        <v>1</v>
      </c>
    </row>
    <row r="26" spans="2:30" x14ac:dyDescent="0.3">
      <c r="B26" s="41" t="str">
        <f>'01_INPUTS'!$AB$12</f>
        <v>Azure Lead</v>
      </c>
      <c r="C26" s="42">
        <f>SUMIF('Resource Master'!$A$2:$A$19,B26,INDEX('Resource Master'!$G$2:$H$19,0,MATCH($C$10,'Resource Master'!$G$1:$H$1,0)))</f>
        <v>1</v>
      </c>
      <c r="D26" s="43"/>
      <c r="E26" s="44">
        <f t="shared" si="0"/>
        <v>1</v>
      </c>
    </row>
    <row r="27" spans="2:30" x14ac:dyDescent="0.3">
      <c r="B27" s="41" t="str">
        <f>'01_INPUTS'!$AB$13</f>
        <v>Azure Specialist</v>
      </c>
      <c r="C27" s="42">
        <f>SUMIF('Resource Master'!$A$2:$A$19,B27,INDEX('Resource Master'!$G$2:$H$19,0,MATCH($C$10,'Resource Master'!$G$1:$H$1,0)))</f>
        <v>1</v>
      </c>
      <c r="D27" s="43"/>
      <c r="E27" s="44">
        <f t="shared" si="0"/>
        <v>1</v>
      </c>
    </row>
    <row r="28" spans="2:30" x14ac:dyDescent="0.3">
      <c r="B28" s="41" t="str">
        <f>'01_INPUTS'!$AB$14</f>
        <v>Testing Lead</v>
      </c>
      <c r="C28" s="42">
        <f>SUMIF('Resource Master'!$A$2:$A$19,B28,INDEX('Resource Master'!$G$2:$H$19,0,MATCH($C$10,'Resource Master'!$G$1:$H$1,0)))</f>
        <v>1</v>
      </c>
      <c r="D28" s="43"/>
      <c r="E28" s="44">
        <f t="shared" si="0"/>
        <v>1</v>
      </c>
    </row>
    <row r="29" spans="2:30" x14ac:dyDescent="0.3">
      <c r="B29" s="41" t="str">
        <f>'01_INPUTS'!$AB$15</f>
        <v>Trainers</v>
      </c>
      <c r="C29" s="42">
        <f>SUMIF('Resource Master'!$A$2:$A$19,B29,INDEX('Resource Master'!$G$2:$H$19,0,MATCH($C$10,'Resource Master'!$G$1:$H$1,0)))</f>
        <v>1</v>
      </c>
      <c r="D29" s="43"/>
      <c r="E29" s="44">
        <f t="shared" si="0"/>
        <v>1</v>
      </c>
    </row>
    <row r="30" spans="2:30" x14ac:dyDescent="0.3">
      <c r="B30" s="41" t="str">
        <f>'01_INPUTS'!$AB$16</f>
        <v>Functional Lead Vendor A</v>
      </c>
      <c r="C30" s="42">
        <f>SUMIF('Resource Master'!$A$2:$A$19,B30,INDEX('Resource Master'!$G$2:$H$19,0,MATCH($C$10,'Resource Master'!$G$1:$H$1,0)))</f>
        <v>2</v>
      </c>
      <c r="D30" s="43"/>
      <c r="E30" s="44">
        <f t="shared" si="0"/>
        <v>2</v>
      </c>
    </row>
    <row r="31" spans="2:30" x14ac:dyDescent="0.3">
      <c r="B31" s="41" t="str">
        <f>'01_INPUTS'!$AB$17</f>
        <v>Support Lead</v>
      </c>
      <c r="C31" s="42">
        <f>SUMIF('Resource Master'!$A$2:$A$19,B31,INDEX('Resource Master'!$G$2:$H$19,0,MATCH($C$10,'Resource Master'!$G$1:$H$1,0)))</f>
        <v>2</v>
      </c>
      <c r="D31" s="43"/>
      <c r="E31" s="44">
        <f t="shared" si="0"/>
        <v>2</v>
      </c>
    </row>
    <row r="33" spans="2:5" x14ac:dyDescent="0.3">
      <c r="B33" s="125" t="s">
        <v>138</v>
      </c>
      <c r="C33" s="125"/>
      <c r="D33" s="125"/>
      <c r="E33" s="125"/>
    </row>
    <row r="34" spans="2:5" ht="28.8" x14ac:dyDescent="0.3">
      <c r="B34" s="39" t="s">
        <v>139</v>
      </c>
      <c r="C34" s="39" t="s">
        <v>140</v>
      </c>
      <c r="D34" s="39" t="s">
        <v>1</v>
      </c>
      <c r="E34" s="40" t="s">
        <v>141</v>
      </c>
    </row>
    <row r="35" spans="2:5" x14ac:dyDescent="0.3">
      <c r="B35" s="42" t="str">
        <f>'Sites Master'!$B$2</f>
        <v>Site 01</v>
      </c>
      <c r="C35" s="42" t="str">
        <f>'Sites Master'!$A$2</f>
        <v>Mexico</v>
      </c>
      <c r="D35" s="42">
        <f>'Sites Master'!$C$2</f>
        <v>2</v>
      </c>
      <c r="E35" s="45">
        <f>1</f>
        <v>1</v>
      </c>
    </row>
    <row r="36" spans="2:5" x14ac:dyDescent="0.3">
      <c r="B36" s="42" t="str">
        <f>'Sites Master'!$B$3</f>
        <v>Site 02</v>
      </c>
      <c r="C36" s="42" t="str">
        <f>'Sites Master'!$A$3</f>
        <v>Mexico</v>
      </c>
      <c r="D36" s="42">
        <f>'Sites Master'!$C$3</f>
        <v>2</v>
      </c>
      <c r="E36" s="45">
        <f>2</f>
        <v>2</v>
      </c>
    </row>
    <row r="37" spans="2:5" x14ac:dyDescent="0.3">
      <c r="B37" s="42" t="str">
        <f>'Sites Master'!$B$4</f>
        <v>Site 03</v>
      </c>
      <c r="C37" s="42" t="str">
        <f>'Sites Master'!$A$4</f>
        <v>Mexico</v>
      </c>
      <c r="D37" s="42">
        <f>'Sites Master'!$C$4</f>
        <v>2</v>
      </c>
      <c r="E37" s="45">
        <f>3</f>
        <v>3</v>
      </c>
    </row>
    <row r="38" spans="2:5" x14ac:dyDescent="0.3">
      <c r="B38" s="42" t="str">
        <f>'Sites Master'!$B$5</f>
        <v>Site 04</v>
      </c>
      <c r="C38" s="42" t="str">
        <f>'Sites Master'!$A$5</f>
        <v>Mexico</v>
      </c>
      <c r="D38" s="42">
        <f>'Sites Master'!$C$5</f>
        <v>2</v>
      </c>
      <c r="E38" s="45">
        <f>4</f>
        <v>4</v>
      </c>
    </row>
    <row r="39" spans="2:5" x14ac:dyDescent="0.3">
      <c r="B39" s="42" t="str">
        <f>'Sites Master'!$B$6</f>
        <v>Site 05</v>
      </c>
      <c r="C39" s="42" t="str">
        <f>'Sites Master'!$A$6</f>
        <v>Mexico</v>
      </c>
      <c r="D39" s="42">
        <f>'Sites Master'!$C$6</f>
        <v>3</v>
      </c>
      <c r="E39" s="45">
        <f>5</f>
        <v>5</v>
      </c>
    </row>
    <row r="40" spans="2:5" x14ac:dyDescent="0.3">
      <c r="B40" s="42" t="str">
        <f>'Sites Master'!$B$7</f>
        <v>Site 06</v>
      </c>
      <c r="C40" s="42" t="str">
        <f>'Sites Master'!$A$7</f>
        <v>Mexico</v>
      </c>
      <c r="D40" s="42">
        <f>'Sites Master'!$C$7</f>
        <v>1</v>
      </c>
      <c r="E40" s="45">
        <f>6</f>
        <v>6</v>
      </c>
    </row>
    <row r="41" spans="2:5" x14ac:dyDescent="0.3">
      <c r="B41" s="42" t="str">
        <f>'Sites Master'!$B$8</f>
        <v>Site 07</v>
      </c>
      <c r="C41" s="42" t="str">
        <f>'Sites Master'!$A$8</f>
        <v>Mexico</v>
      </c>
      <c r="D41" s="42">
        <f>'Sites Master'!$C$8</f>
        <v>2</v>
      </c>
      <c r="E41" s="45">
        <f>7</f>
        <v>7</v>
      </c>
    </row>
    <row r="42" spans="2:5" x14ac:dyDescent="0.3">
      <c r="B42" s="42" t="str">
        <f>'Sites Master'!$B$9</f>
        <v>Site 08</v>
      </c>
      <c r="C42" s="42" t="str">
        <f>'Sites Master'!$A$9</f>
        <v>Colombia</v>
      </c>
      <c r="D42" s="42">
        <f>'Sites Master'!$C$9</f>
        <v>1</v>
      </c>
      <c r="E42" s="45">
        <f>8</f>
        <v>8</v>
      </c>
    </row>
    <row r="43" spans="2:5" x14ac:dyDescent="0.3">
      <c r="B43" s="42" t="str">
        <f>'Sites Master'!$B$10</f>
        <v>Site 09</v>
      </c>
      <c r="C43" s="42" t="str">
        <f>'Sites Master'!$A$10</f>
        <v>Colombia</v>
      </c>
      <c r="D43" s="42">
        <f>'Sites Master'!$C$10</f>
        <v>2</v>
      </c>
      <c r="E43" s="45">
        <f>9</f>
        <v>9</v>
      </c>
    </row>
    <row r="44" spans="2:5" x14ac:dyDescent="0.3">
      <c r="B44" s="42" t="str">
        <f>'Sites Master'!$B$11</f>
        <v>Site 10</v>
      </c>
      <c r="C44" s="42" t="str">
        <f>'Sites Master'!$A$11</f>
        <v>Colombia</v>
      </c>
      <c r="D44" s="42">
        <f>'Sites Master'!$C$11</f>
        <v>1</v>
      </c>
      <c r="E44" s="45">
        <f>10</f>
        <v>10</v>
      </c>
    </row>
    <row r="45" spans="2:5" x14ac:dyDescent="0.3">
      <c r="B45" s="42" t="str">
        <f>'Sites Master'!$B$12</f>
        <v>Site 11</v>
      </c>
      <c r="C45" s="42" t="str">
        <f>'Sites Master'!$A$12</f>
        <v>Colombia</v>
      </c>
      <c r="D45" s="42">
        <f>'Sites Master'!$C$12</f>
        <v>3</v>
      </c>
      <c r="E45" s="45">
        <f>11</f>
        <v>11</v>
      </c>
    </row>
    <row r="46" spans="2:5" x14ac:dyDescent="0.3">
      <c r="B46" s="42" t="str">
        <f>'Sites Master'!$B$13</f>
        <v>Site 12</v>
      </c>
      <c r="C46" s="42" t="str">
        <f>'Sites Master'!$A$13</f>
        <v>Colombia</v>
      </c>
      <c r="D46" s="42">
        <f>'Sites Master'!$C$13</f>
        <v>4</v>
      </c>
      <c r="E46" s="45">
        <f>12</f>
        <v>12</v>
      </c>
    </row>
    <row r="47" spans="2:5" x14ac:dyDescent="0.3">
      <c r="B47" s="42" t="str">
        <f>'Sites Master'!$B$14</f>
        <v>Site 13</v>
      </c>
      <c r="C47" s="42" t="str">
        <f>'Sites Master'!$A$14</f>
        <v>Colombia</v>
      </c>
      <c r="D47" s="42">
        <f>'Sites Master'!$C$14</f>
        <v>1</v>
      </c>
      <c r="E47" s="45">
        <f>13</f>
        <v>13</v>
      </c>
    </row>
    <row r="48" spans="2:5" x14ac:dyDescent="0.3">
      <c r="B48" s="42" t="str">
        <f>'Sites Master'!$B$15</f>
        <v>Site 14</v>
      </c>
      <c r="C48" s="42" t="str">
        <f>'Sites Master'!$A$15</f>
        <v>Colombia</v>
      </c>
      <c r="D48" s="42">
        <f>'Sites Master'!$C$15</f>
        <v>1</v>
      </c>
      <c r="E48" s="45">
        <f>14</f>
        <v>14</v>
      </c>
    </row>
    <row r="49" spans="2:5" x14ac:dyDescent="0.3">
      <c r="B49" s="42" t="str">
        <f>'Sites Master'!$B$16</f>
        <v>Site 15</v>
      </c>
      <c r="C49" s="42" t="str">
        <f>'Sites Master'!$A$16</f>
        <v>Colombia</v>
      </c>
      <c r="D49" s="42">
        <f>'Sites Master'!$C$16</f>
        <v>2</v>
      </c>
      <c r="E49" s="45">
        <f>15</f>
        <v>15</v>
      </c>
    </row>
  </sheetData>
  <mergeCells count="4">
    <mergeCell ref="B2:H2"/>
    <mergeCell ref="B5:E5"/>
    <mergeCell ref="B15:F15"/>
    <mergeCell ref="B33:E33"/>
  </mergeCells>
  <dataValidations count="4">
    <dataValidation type="list" allowBlank="1" showInputMessage="1" showErrorMessage="1" sqref="C8" xr:uid="{1827AAE4-D938-47D1-A7F9-7F023BF3A337}">
      <formula1>$AA$3:$AA$4</formula1>
    </dataValidation>
    <dataValidation type="list" allowBlank="1" showInputMessage="1" showErrorMessage="1" sqref="C10" xr:uid="{41981CC6-767E-4B3D-9EFD-3D20C6BB0F2D}">
      <formula1>$AC$3:$AC$4</formula1>
    </dataValidation>
    <dataValidation type="list" allowBlank="1" showInputMessage="1" showErrorMessage="1" sqref="C11" xr:uid="{78B4B426-661C-4F61-8005-B91C826B3BE8}">
      <formula1>$AD$3:$AD$4</formula1>
    </dataValidation>
    <dataValidation type="list" allowBlank="1" showInputMessage="1" showErrorMessage="1" sqref="C12" xr:uid="{99B2A5EC-1F7D-4A75-AA36-C50200600427}">
      <formula1>$AE$3:$AE$5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18A8-8004-4195-A591-5AC665EC0EB2}">
  <sheetPr>
    <tabColor rgb="FF156082"/>
  </sheetPr>
  <dimension ref="B2:T124"/>
  <sheetViews>
    <sheetView showGridLines="0" workbookViewId="0"/>
  </sheetViews>
  <sheetFormatPr baseColWidth="10" defaultRowHeight="14.4" x14ac:dyDescent="0.3"/>
  <cols>
    <col min="2" max="2" width="10.77734375" customWidth="1"/>
    <col min="6" max="6" width="16.77734375" customWidth="1"/>
  </cols>
  <sheetData>
    <row r="2" spans="2:20" ht="18" x14ac:dyDescent="0.35">
      <c r="B2" s="123" t="s">
        <v>142</v>
      </c>
      <c r="C2" s="123"/>
      <c r="D2" s="123"/>
      <c r="E2" s="123"/>
      <c r="F2" s="123"/>
      <c r="G2" s="123"/>
      <c r="H2" s="123"/>
      <c r="I2" s="123"/>
      <c r="J2" s="123"/>
      <c r="K2" s="123"/>
      <c r="L2" s="123"/>
    </row>
    <row r="3" spans="2:20" x14ac:dyDescent="0.3">
      <c r="B3" s="46" t="s">
        <v>143</v>
      </c>
      <c r="C3" s="47">
        <f>MAX($L$5:$L$124)</f>
        <v>86</v>
      </c>
      <c r="D3" s="46" t="s">
        <v>144</v>
      </c>
      <c r="E3" s="49">
        <f>C3/4.345</f>
        <v>19.792865362485617</v>
      </c>
      <c r="F3" s="46" t="s">
        <v>145</v>
      </c>
      <c r="G3" s="56">
        <f>MAX($J$5:$J$124)</f>
        <v>46852</v>
      </c>
      <c r="H3" s="46" t="s">
        <v>146</v>
      </c>
      <c r="I3" s="48">
        <f>'01_INPUTS'!$C$13</f>
        <v>8</v>
      </c>
      <c r="J3" s="46" t="s">
        <v>147</v>
      </c>
      <c r="K3" s="47" t="str">
        <f>IF(E3&lt;=I3,"CUMPLE","NO CUMPLE")</f>
        <v>NO CUMPLE</v>
      </c>
      <c r="O3" s="38" t="s">
        <v>159</v>
      </c>
    </row>
    <row r="4" spans="2:20" ht="28.8" x14ac:dyDescent="0.3">
      <c r="B4" s="40" t="s">
        <v>139</v>
      </c>
      <c r="C4" s="40" t="s">
        <v>140</v>
      </c>
      <c r="D4" s="40" t="s">
        <v>1</v>
      </c>
      <c r="E4" s="40" t="s">
        <v>90</v>
      </c>
      <c r="F4" s="40" t="s">
        <v>148</v>
      </c>
      <c r="G4" s="40" t="s">
        <v>149</v>
      </c>
      <c r="H4" s="40" t="s">
        <v>150</v>
      </c>
      <c r="I4" s="40" t="s">
        <v>151</v>
      </c>
      <c r="J4" s="40" t="s">
        <v>152</v>
      </c>
      <c r="K4" s="40" t="s">
        <v>153</v>
      </c>
      <c r="L4" s="40" t="s">
        <v>154</v>
      </c>
      <c r="M4" s="51" t="s">
        <v>160</v>
      </c>
      <c r="O4" s="39" t="s">
        <v>155</v>
      </c>
      <c r="P4" s="39" t="s">
        <v>139</v>
      </c>
      <c r="Q4" s="39" t="s">
        <v>1</v>
      </c>
      <c r="R4" s="39" t="s">
        <v>156</v>
      </c>
      <c r="S4" s="39" t="s">
        <v>157</v>
      </c>
      <c r="T4" s="39" t="s">
        <v>158</v>
      </c>
    </row>
    <row r="5" spans="2:20" x14ac:dyDescent="0.3">
      <c r="B5" s="50" t="str">
        <f>'Sites Master'!$B$2</f>
        <v>Site 01</v>
      </c>
      <c r="C5" s="50" t="str">
        <f>'Sites Master'!$A$2</f>
        <v>Mexico</v>
      </c>
      <c r="D5" s="50">
        <f>'Sites Master'!$C$2</f>
        <v>2</v>
      </c>
      <c r="E5" s="50" t="str">
        <f>'01_INPUTS'!$C$8</f>
        <v>A</v>
      </c>
      <c r="F5" s="50" t="str" cm="1">
        <f t="array" ref="F5">INDEX('Implementation Phases'!$B$2:$B$9,G5)</f>
        <v>Site Readiness</v>
      </c>
      <c r="G5" s="50">
        <f>1</f>
        <v>1</v>
      </c>
      <c r="H5" s="50" cm="1">
        <f t="array" ref="H5">IFERROR(_xlfn.XLOOKUP(1,('Implementation Phases'!$A$2:$A$65=D5)*('Implementation Phases'!$D$2:$D$65=E5)*('Implementation Phases'!$C$2:$C$65=G5),'Implementation Phases'!$E$2:$E$65),0)</f>
        <v>4</v>
      </c>
      <c r="I5" s="57">
        <f>INDEX($S$5:$S$19,MATCH(B5,$P$5:$P$19,0))</f>
        <v>46251</v>
      </c>
      <c r="J5" s="57">
        <f t="shared" ref="J5:J36" si="0">IF(H5=0,I5,I5+H5*7-1)</f>
        <v>46278</v>
      </c>
      <c r="K5" s="50">
        <f>ROUNDUP((I5-'01_INPUTS'!$C$7+1)/7,0)</f>
        <v>1</v>
      </c>
      <c r="L5" s="50">
        <f>ROUNDUP((J5-'01_INPUTS'!$C$7+1)/7,0)</f>
        <v>4</v>
      </c>
      <c r="M5" s="52" t="str">
        <f t="shared" ref="M5:M36" si="1">B5&amp;"|"&amp;F5</f>
        <v>Site 01|Site Readiness</v>
      </c>
      <c r="O5">
        <f>5-4</f>
        <v>1</v>
      </c>
      <c r="P5" t="str">
        <f>INDEX('01_INPUTS'!$B$35:$B$49,MATCH(O5,'01_INPUTS'!$E$35:$E$49,0))</f>
        <v>Site 01</v>
      </c>
      <c r="Q5">
        <f>INDEX('01_INPUTS'!$D$35:$D$49,MATCH(O5,'01_INPUTS'!$E$35:$E$49,0))</f>
        <v>2</v>
      </c>
      <c r="R5">
        <f>SUMIFS('Implementation Phases'!$E$2:$E$65,'Implementation Phases'!$A$2:$A$65,Q5,'Implementation Phases'!$D$2:$D$65,'01_INPUTS'!$C$8)</f>
        <v>16</v>
      </c>
      <c r="S5" s="55">
        <f>IFERROR(IF(O5&lt;='01_INPUTS'!$C$9,'01_INPUTS'!$C$7,INDEX($T$5:$T$19,MATCH(O5-'01_INPUTS'!$C$9,$O$5:$O$19,0))+1),'01_INPUTS'!$C$7)</f>
        <v>46251</v>
      </c>
      <c r="T5" s="55">
        <f t="shared" ref="T5:T19" si="2">S5+R5*7-1</f>
        <v>46362</v>
      </c>
    </row>
    <row r="6" spans="2:20" x14ac:dyDescent="0.3">
      <c r="B6" s="50" t="str">
        <f>'Sites Master'!$B$2</f>
        <v>Site 01</v>
      </c>
      <c r="C6" s="50" t="str">
        <f>'Sites Master'!$A$2</f>
        <v>Mexico</v>
      </c>
      <c r="D6" s="50">
        <f>'Sites Master'!$C$2</f>
        <v>2</v>
      </c>
      <c r="E6" s="50" t="str">
        <f>'01_INPUTS'!$C$8</f>
        <v>A</v>
      </c>
      <c r="F6" s="50" t="str" cm="1">
        <f t="array" ref="F6">INDEX('Implementation Phases'!$B$2:$B$9,G6)</f>
        <v>Design Adaptation</v>
      </c>
      <c r="G6" s="50">
        <f>2</f>
        <v>2</v>
      </c>
      <c r="H6" s="50" cm="1">
        <f t="array" ref="H6">IFERROR(_xlfn.XLOOKUP(1,('Implementation Phases'!$A$2:$A$65=D6)*('Implementation Phases'!$D$2:$D$65=E6)*('Implementation Phases'!$C$2:$C$65=G6),'Implementation Phases'!$E$2:$E$65),0)</f>
        <v>1</v>
      </c>
      <c r="I6" s="57">
        <f t="shared" ref="I6:I12" si="3">J5+1</f>
        <v>46279</v>
      </c>
      <c r="J6" s="57">
        <f t="shared" si="0"/>
        <v>46285</v>
      </c>
      <c r="K6" s="50">
        <f>ROUNDUP((I6-'01_INPUTS'!$C$7+1)/7,0)</f>
        <v>5</v>
      </c>
      <c r="L6" s="50">
        <f>ROUNDUP((J6-'01_INPUTS'!$C$7+1)/7,0)</f>
        <v>5</v>
      </c>
      <c r="M6" s="52" t="str">
        <f t="shared" si="1"/>
        <v>Site 01|Design Adaptation</v>
      </c>
      <c r="O6">
        <f>6-4</f>
        <v>2</v>
      </c>
      <c r="P6" t="str">
        <f>INDEX('01_INPUTS'!$B$35:$B$49,MATCH(O6,'01_INPUTS'!$E$35:$E$49,0))</f>
        <v>Site 02</v>
      </c>
      <c r="Q6">
        <f>INDEX('01_INPUTS'!$D$35:$D$49,MATCH(O6,'01_INPUTS'!$E$35:$E$49,0))</f>
        <v>2</v>
      </c>
      <c r="R6">
        <f>SUMIFS('Implementation Phases'!$E$2:$E$65,'Implementation Phases'!$A$2:$A$65,Q6,'Implementation Phases'!$D$2:$D$65,'01_INPUTS'!$C$8)</f>
        <v>16</v>
      </c>
      <c r="S6" s="55">
        <f>IFERROR(IF(O6&lt;='01_INPUTS'!$C$9,'01_INPUTS'!$C$7,INDEX($T$5:$T$19,MATCH(O6-'01_INPUTS'!$C$9,$O$5:$O$19,0))+1),'01_INPUTS'!$C$7)</f>
        <v>46251</v>
      </c>
      <c r="T6" s="55">
        <f t="shared" si="2"/>
        <v>46362</v>
      </c>
    </row>
    <row r="7" spans="2:20" x14ac:dyDescent="0.3">
      <c r="B7" s="50" t="str">
        <f>'Sites Master'!$B$2</f>
        <v>Site 01</v>
      </c>
      <c r="C7" s="50" t="str">
        <f>'Sites Master'!$A$2</f>
        <v>Mexico</v>
      </c>
      <c r="D7" s="50">
        <f>'Sites Master'!$C$2</f>
        <v>2</v>
      </c>
      <c r="E7" s="50" t="str">
        <f>'01_INPUTS'!$C$8</f>
        <v>A</v>
      </c>
      <c r="F7" s="50" t="str" cm="1">
        <f t="array" ref="F7">INDEX('Implementation Phases'!$B$2:$B$9,G7)</f>
        <v>Functional Review</v>
      </c>
      <c r="G7" s="50">
        <f>3</f>
        <v>3</v>
      </c>
      <c r="H7" s="50" cm="1">
        <f t="array" ref="H7">IFERROR(_xlfn.XLOOKUP(1,('Implementation Phases'!$A$2:$A$65=D7)*('Implementation Phases'!$D$2:$D$65=E7)*('Implementation Phases'!$C$2:$C$65=G7),'Implementation Phases'!$E$2:$E$65),0)</f>
        <v>1</v>
      </c>
      <c r="I7" s="57">
        <f t="shared" si="3"/>
        <v>46286</v>
      </c>
      <c r="J7" s="57">
        <f t="shared" si="0"/>
        <v>46292</v>
      </c>
      <c r="K7" s="50">
        <f>ROUNDUP((I7-'01_INPUTS'!$C$7+1)/7,0)</f>
        <v>6</v>
      </c>
      <c r="L7" s="50">
        <f>ROUNDUP((J7-'01_INPUTS'!$C$7+1)/7,0)</f>
        <v>6</v>
      </c>
      <c r="M7" s="52" t="str">
        <f t="shared" si="1"/>
        <v>Site 01|Functional Review</v>
      </c>
      <c r="O7">
        <f>7-4</f>
        <v>3</v>
      </c>
      <c r="P7" t="str">
        <f>INDEX('01_INPUTS'!$B$35:$B$49,MATCH(O7,'01_INPUTS'!$E$35:$E$49,0))</f>
        <v>Site 03</v>
      </c>
      <c r="Q7">
        <f>INDEX('01_INPUTS'!$D$35:$D$49,MATCH(O7,'01_INPUTS'!$E$35:$E$49,0))</f>
        <v>2</v>
      </c>
      <c r="R7">
        <f>SUMIFS('Implementation Phases'!$E$2:$E$65,'Implementation Phases'!$A$2:$A$65,Q7,'Implementation Phases'!$D$2:$D$65,'01_INPUTS'!$C$8)</f>
        <v>16</v>
      </c>
      <c r="S7" s="55">
        <f>IFERROR(IF(O7&lt;='01_INPUTS'!$C$9,'01_INPUTS'!$C$7,INDEX($T$5:$T$19,MATCH(O7-'01_INPUTS'!$C$9,$O$5:$O$19,0))+1),'01_INPUTS'!$C$7)</f>
        <v>46251</v>
      </c>
      <c r="T7" s="55">
        <f t="shared" si="2"/>
        <v>46362</v>
      </c>
    </row>
    <row r="8" spans="2:20" x14ac:dyDescent="0.3">
      <c r="B8" s="50" t="str">
        <f>'Sites Master'!$B$2</f>
        <v>Site 01</v>
      </c>
      <c r="C8" s="50" t="str">
        <f>'Sites Master'!$A$2</f>
        <v>Mexico</v>
      </c>
      <c r="D8" s="50">
        <f>'Sites Master'!$C$2</f>
        <v>2</v>
      </c>
      <c r="E8" s="50" t="str">
        <f>'01_INPUTS'!$C$8</f>
        <v>A</v>
      </c>
      <c r="F8" s="50" t="str" cm="1">
        <f t="array" ref="F8">INDEX('Implementation Phases'!$B$2:$B$9,G8)</f>
        <v>UAT</v>
      </c>
      <c r="G8" s="50">
        <f>4</f>
        <v>4</v>
      </c>
      <c r="H8" s="50" cm="1">
        <f t="array" ref="H8">IFERROR(_xlfn.XLOOKUP(1,('Implementation Phases'!$A$2:$A$65=D8)*('Implementation Phases'!$D$2:$D$65=E8)*('Implementation Phases'!$C$2:$C$65=G8),'Implementation Phases'!$E$2:$E$65),0)</f>
        <v>2</v>
      </c>
      <c r="I8" s="57">
        <f t="shared" si="3"/>
        <v>46293</v>
      </c>
      <c r="J8" s="57">
        <f t="shared" si="0"/>
        <v>46306</v>
      </c>
      <c r="K8" s="50">
        <f>ROUNDUP((I8-'01_INPUTS'!$C$7+1)/7,0)</f>
        <v>7</v>
      </c>
      <c r="L8" s="50">
        <f>ROUNDUP((J8-'01_INPUTS'!$C$7+1)/7,0)</f>
        <v>8</v>
      </c>
      <c r="M8" s="52" t="str">
        <f t="shared" si="1"/>
        <v>Site 01|UAT</v>
      </c>
      <c r="O8">
        <f>8-4</f>
        <v>4</v>
      </c>
      <c r="P8" t="str">
        <f>INDEX('01_INPUTS'!$B$35:$B$49,MATCH(O8,'01_INPUTS'!$E$35:$E$49,0))</f>
        <v>Site 04</v>
      </c>
      <c r="Q8">
        <f>INDEX('01_INPUTS'!$D$35:$D$49,MATCH(O8,'01_INPUTS'!$E$35:$E$49,0))</f>
        <v>2</v>
      </c>
      <c r="R8">
        <f>SUMIFS('Implementation Phases'!$E$2:$E$65,'Implementation Phases'!$A$2:$A$65,Q8,'Implementation Phases'!$D$2:$D$65,'01_INPUTS'!$C$8)</f>
        <v>16</v>
      </c>
      <c r="S8" s="55">
        <f>IFERROR(IF(O8&lt;='01_INPUTS'!$C$9,'01_INPUTS'!$C$7,INDEX($T$5:$T$19,MATCH(O8-'01_INPUTS'!$C$9,$O$5:$O$19,0))+1),'01_INPUTS'!$C$7)</f>
        <v>46363</v>
      </c>
      <c r="T8" s="55">
        <f t="shared" si="2"/>
        <v>46474</v>
      </c>
    </row>
    <row r="9" spans="2:20" x14ac:dyDescent="0.3">
      <c r="B9" s="50" t="str">
        <f>'Sites Master'!$B$2</f>
        <v>Site 01</v>
      </c>
      <c r="C9" s="50" t="str">
        <f>'Sites Master'!$A$2</f>
        <v>Mexico</v>
      </c>
      <c r="D9" s="50">
        <f>'Sites Master'!$C$2</f>
        <v>2</v>
      </c>
      <c r="E9" s="50" t="str">
        <f>'01_INPUTS'!$C$8</f>
        <v>A</v>
      </c>
      <c r="F9" s="50" t="str" cm="1">
        <f t="array" ref="F9">INDEX('Implementation Phases'!$B$2:$B$9,G9)</f>
        <v>Training</v>
      </c>
      <c r="G9" s="50">
        <f>5</f>
        <v>5</v>
      </c>
      <c r="H9" s="50" cm="1">
        <f t="array" ref="H9">IFERROR(_xlfn.XLOOKUP(1,('Implementation Phases'!$A$2:$A$65=D9)*('Implementation Phases'!$D$2:$D$65=E9)*('Implementation Phases'!$C$2:$C$65=G9),'Implementation Phases'!$E$2:$E$65),0)</f>
        <v>2</v>
      </c>
      <c r="I9" s="57">
        <f t="shared" si="3"/>
        <v>46307</v>
      </c>
      <c r="J9" s="57">
        <f t="shared" si="0"/>
        <v>46320</v>
      </c>
      <c r="K9" s="50">
        <f>ROUNDUP((I9-'01_INPUTS'!$C$7+1)/7,0)</f>
        <v>9</v>
      </c>
      <c r="L9" s="50">
        <f>ROUNDUP((J9-'01_INPUTS'!$C$7+1)/7,0)</f>
        <v>10</v>
      </c>
      <c r="M9" s="52" t="str">
        <f t="shared" si="1"/>
        <v>Site 01|Training</v>
      </c>
      <c r="O9">
        <f>9-4</f>
        <v>5</v>
      </c>
      <c r="P9" t="str">
        <f>INDEX('01_INPUTS'!$B$35:$B$49,MATCH(O9,'01_INPUTS'!$E$35:$E$49,0))</f>
        <v>Site 05</v>
      </c>
      <c r="Q9">
        <f>INDEX('01_INPUTS'!$D$35:$D$49,MATCH(O9,'01_INPUTS'!$E$35:$E$49,0))</f>
        <v>3</v>
      </c>
      <c r="R9">
        <f>SUMIFS('Implementation Phases'!$E$2:$E$65,'Implementation Phases'!$A$2:$A$65,Q9,'Implementation Phases'!$D$2:$D$65,'01_INPUTS'!$C$8)</f>
        <v>15</v>
      </c>
      <c r="S9" s="55">
        <f>IFERROR(IF(O9&lt;='01_INPUTS'!$C$9,'01_INPUTS'!$C$7,INDEX($T$5:$T$19,MATCH(O9-'01_INPUTS'!$C$9,$O$5:$O$19,0))+1),'01_INPUTS'!$C$7)</f>
        <v>46363</v>
      </c>
      <c r="T9" s="55">
        <f t="shared" si="2"/>
        <v>46467</v>
      </c>
    </row>
    <row r="10" spans="2:20" x14ac:dyDescent="0.3">
      <c r="B10" s="50" t="str">
        <f>'Sites Master'!$B$2</f>
        <v>Site 01</v>
      </c>
      <c r="C10" s="50" t="str">
        <f>'Sites Master'!$A$2</f>
        <v>Mexico</v>
      </c>
      <c r="D10" s="50">
        <f>'Sites Master'!$C$2</f>
        <v>2</v>
      </c>
      <c r="E10" s="50" t="str">
        <f>'01_INPUTS'!$C$8</f>
        <v>A</v>
      </c>
      <c r="F10" s="50" t="str" cm="1">
        <f t="array" ref="F10">INDEX('Implementation Phases'!$B$2:$B$9,G10)</f>
        <v>DIALT</v>
      </c>
      <c r="G10" s="50">
        <f>6</f>
        <v>6</v>
      </c>
      <c r="H10" s="50" cm="1">
        <f t="array" ref="H10">IFERROR(_xlfn.XLOOKUP(1,('Implementation Phases'!$A$2:$A$65=D10)*('Implementation Phases'!$D$2:$D$65=E10)*('Implementation Phases'!$C$2:$C$65=G10),'Implementation Phases'!$E$2:$E$65),0)</f>
        <v>1</v>
      </c>
      <c r="I10" s="57">
        <f t="shared" si="3"/>
        <v>46321</v>
      </c>
      <c r="J10" s="57">
        <f t="shared" si="0"/>
        <v>46327</v>
      </c>
      <c r="K10" s="50">
        <f>ROUNDUP((I10-'01_INPUTS'!$C$7+1)/7,0)</f>
        <v>11</v>
      </c>
      <c r="L10" s="50">
        <f>ROUNDUP((J10-'01_INPUTS'!$C$7+1)/7,0)</f>
        <v>11</v>
      </c>
      <c r="M10" s="52" t="str">
        <f t="shared" si="1"/>
        <v>Site 01|DIALT</v>
      </c>
      <c r="O10">
        <f>10-4</f>
        <v>6</v>
      </c>
      <c r="P10" t="str">
        <f>INDEX('01_INPUTS'!$B$35:$B$49,MATCH(O10,'01_INPUTS'!$E$35:$E$49,0))</f>
        <v>Site 06</v>
      </c>
      <c r="Q10">
        <f>INDEX('01_INPUTS'!$D$35:$D$49,MATCH(O10,'01_INPUTS'!$E$35:$E$49,0))</f>
        <v>1</v>
      </c>
      <c r="R10">
        <f>SUMIFS('Implementation Phases'!$E$2:$E$65,'Implementation Phases'!$A$2:$A$65,Q10,'Implementation Phases'!$D$2:$D$65,'01_INPUTS'!$C$8)</f>
        <v>19</v>
      </c>
      <c r="S10" s="55">
        <f>IFERROR(IF(O10&lt;='01_INPUTS'!$C$9,'01_INPUTS'!$C$7,INDEX($T$5:$T$19,MATCH(O10-'01_INPUTS'!$C$9,$O$5:$O$19,0))+1),'01_INPUTS'!$C$7)</f>
        <v>46363</v>
      </c>
      <c r="T10" s="55">
        <f t="shared" si="2"/>
        <v>46495</v>
      </c>
    </row>
    <row r="11" spans="2:20" x14ac:dyDescent="0.3">
      <c r="B11" s="50" t="str">
        <f>'Sites Master'!$B$2</f>
        <v>Site 01</v>
      </c>
      <c r="C11" s="50" t="str">
        <f>'Sites Master'!$A$2</f>
        <v>Mexico</v>
      </c>
      <c r="D11" s="50">
        <f>'Sites Master'!$C$2</f>
        <v>2</v>
      </c>
      <c r="E11" s="50" t="str">
        <f>'01_INPUTS'!$C$8</f>
        <v>A</v>
      </c>
      <c r="F11" s="50" t="str" cm="1">
        <f t="array" ref="F11">INDEX('Implementation Phases'!$B$2:$B$9,G11)</f>
        <v>Go Live</v>
      </c>
      <c r="G11" s="50">
        <f>7</f>
        <v>7</v>
      </c>
      <c r="H11" s="50" cm="1">
        <f t="array" ref="H11">IFERROR(_xlfn.XLOOKUP(1,('Implementation Phases'!$A$2:$A$65=D11)*('Implementation Phases'!$D$2:$D$65=E11)*('Implementation Phases'!$C$2:$C$65=G11),'Implementation Phases'!$E$2:$E$65),0)</f>
        <v>1</v>
      </c>
      <c r="I11" s="57">
        <f t="shared" si="3"/>
        <v>46328</v>
      </c>
      <c r="J11" s="57">
        <f t="shared" si="0"/>
        <v>46334</v>
      </c>
      <c r="K11" s="50">
        <f>ROUNDUP((I11-'01_INPUTS'!$C$7+1)/7,0)</f>
        <v>12</v>
      </c>
      <c r="L11" s="50">
        <f>ROUNDUP((J11-'01_INPUTS'!$C$7+1)/7,0)</f>
        <v>12</v>
      </c>
      <c r="M11" s="52" t="str">
        <f t="shared" si="1"/>
        <v>Site 01|Go Live</v>
      </c>
      <c r="O11">
        <f>11-4</f>
        <v>7</v>
      </c>
      <c r="P11" t="str">
        <f>INDEX('01_INPUTS'!$B$35:$B$49,MATCH(O11,'01_INPUTS'!$E$35:$E$49,0))</f>
        <v>Site 07</v>
      </c>
      <c r="Q11">
        <f>INDEX('01_INPUTS'!$D$35:$D$49,MATCH(O11,'01_INPUTS'!$E$35:$E$49,0))</f>
        <v>2</v>
      </c>
      <c r="R11">
        <f>SUMIFS('Implementation Phases'!$E$2:$E$65,'Implementation Phases'!$A$2:$A$65,Q11,'Implementation Phases'!$D$2:$D$65,'01_INPUTS'!$C$8)</f>
        <v>16</v>
      </c>
      <c r="S11" s="55">
        <f>IFERROR(IF(O11&lt;='01_INPUTS'!$C$9,'01_INPUTS'!$C$7,INDEX($T$5:$T$19,MATCH(O11-'01_INPUTS'!$C$9,$O$5:$O$19,0))+1),'01_INPUTS'!$C$7)</f>
        <v>46475</v>
      </c>
      <c r="T11" s="55">
        <f t="shared" si="2"/>
        <v>46586</v>
      </c>
    </row>
    <row r="12" spans="2:20" x14ac:dyDescent="0.3">
      <c r="B12" s="50" t="str">
        <f>'Sites Master'!$B$2</f>
        <v>Site 01</v>
      </c>
      <c r="C12" s="50" t="str">
        <f>'Sites Master'!$A$2</f>
        <v>Mexico</v>
      </c>
      <c r="D12" s="50">
        <f>'Sites Master'!$C$2</f>
        <v>2</v>
      </c>
      <c r="E12" s="50" t="str">
        <f>'01_INPUTS'!$C$8</f>
        <v>A</v>
      </c>
      <c r="F12" s="50" t="str" cm="1">
        <f t="array" ref="F12">INDEX('Implementation Phases'!$B$2:$B$9,G12)</f>
        <v>Hypercare</v>
      </c>
      <c r="G12" s="50">
        <f>8</f>
        <v>8</v>
      </c>
      <c r="H12" s="50" cm="1">
        <f t="array" ref="H12">IFERROR(_xlfn.XLOOKUP(1,('Implementation Phases'!$A$2:$A$65=D12)*('Implementation Phases'!$D$2:$D$65=E12)*('Implementation Phases'!$C$2:$C$65=G12),'Implementation Phases'!$E$2:$E$65),0)</f>
        <v>4</v>
      </c>
      <c r="I12" s="57">
        <f t="shared" si="3"/>
        <v>46335</v>
      </c>
      <c r="J12" s="57">
        <f t="shared" si="0"/>
        <v>46362</v>
      </c>
      <c r="K12" s="50">
        <f>ROUNDUP((I12-'01_INPUTS'!$C$7+1)/7,0)</f>
        <v>13</v>
      </c>
      <c r="L12" s="50">
        <f>ROUNDUP((J12-'01_INPUTS'!$C$7+1)/7,0)</f>
        <v>16</v>
      </c>
      <c r="M12" s="52" t="str">
        <f t="shared" si="1"/>
        <v>Site 01|Hypercare</v>
      </c>
      <c r="O12">
        <f>12-4</f>
        <v>8</v>
      </c>
      <c r="P12" t="str">
        <f>INDEX('01_INPUTS'!$B$35:$B$49,MATCH(O12,'01_INPUTS'!$E$35:$E$49,0))</f>
        <v>Site 08</v>
      </c>
      <c r="Q12">
        <f>INDEX('01_INPUTS'!$D$35:$D$49,MATCH(O12,'01_INPUTS'!$E$35:$E$49,0))</f>
        <v>1</v>
      </c>
      <c r="R12">
        <f>SUMIFS('Implementation Phases'!$E$2:$E$65,'Implementation Phases'!$A$2:$A$65,Q12,'Implementation Phases'!$D$2:$D$65,'01_INPUTS'!$C$8)</f>
        <v>19</v>
      </c>
      <c r="S12" s="55">
        <f>IFERROR(IF(O12&lt;='01_INPUTS'!$C$9,'01_INPUTS'!$C$7,INDEX($T$5:$T$19,MATCH(O12-'01_INPUTS'!$C$9,$O$5:$O$19,0))+1),'01_INPUTS'!$C$7)</f>
        <v>46468</v>
      </c>
      <c r="T12" s="55">
        <f t="shared" si="2"/>
        <v>46600</v>
      </c>
    </row>
    <row r="13" spans="2:20" x14ac:dyDescent="0.3">
      <c r="B13" s="53" t="str">
        <f>'Sites Master'!$B$3</f>
        <v>Site 02</v>
      </c>
      <c r="C13" s="53" t="str">
        <f>'Sites Master'!$A$3</f>
        <v>Mexico</v>
      </c>
      <c r="D13" s="53">
        <f>'Sites Master'!$C$3</f>
        <v>2</v>
      </c>
      <c r="E13" s="53" t="str">
        <f>'01_INPUTS'!$C$8</f>
        <v>A</v>
      </c>
      <c r="F13" s="53" t="str" cm="1">
        <f t="array" ref="F13">INDEX('Implementation Phases'!$B$2:$B$9,G13)</f>
        <v>Site Readiness</v>
      </c>
      <c r="G13" s="53">
        <f>1</f>
        <v>1</v>
      </c>
      <c r="H13" s="53" cm="1">
        <f t="array" ref="H13">IFERROR(_xlfn.XLOOKUP(1,('Implementation Phases'!$A$2:$A$65=D13)*('Implementation Phases'!$D$2:$D$65=E13)*('Implementation Phases'!$C$2:$C$65=G13),'Implementation Phases'!$E$2:$E$65),0)</f>
        <v>4</v>
      </c>
      <c r="I13" s="58">
        <f>INDEX($S$5:$S$19,MATCH(B13,$P$5:$P$19,0))</f>
        <v>46251</v>
      </c>
      <c r="J13" s="58">
        <f t="shared" si="0"/>
        <v>46278</v>
      </c>
      <c r="K13" s="53">
        <f>ROUNDUP((I13-'01_INPUTS'!$C$7+1)/7,0)</f>
        <v>1</v>
      </c>
      <c r="L13" s="53">
        <f>ROUNDUP((J13-'01_INPUTS'!$C$7+1)/7,0)</f>
        <v>4</v>
      </c>
      <c r="M13" s="52" t="str">
        <f t="shared" si="1"/>
        <v>Site 02|Site Readiness</v>
      </c>
      <c r="O13">
        <f>13-4</f>
        <v>9</v>
      </c>
      <c r="P13" t="str">
        <f>INDEX('01_INPUTS'!$B$35:$B$49,MATCH(O13,'01_INPUTS'!$E$35:$E$49,0))</f>
        <v>Site 09</v>
      </c>
      <c r="Q13">
        <f>INDEX('01_INPUTS'!$D$35:$D$49,MATCH(O13,'01_INPUTS'!$E$35:$E$49,0))</f>
        <v>2</v>
      </c>
      <c r="R13">
        <f>SUMIFS('Implementation Phases'!$E$2:$E$65,'Implementation Phases'!$A$2:$A$65,Q13,'Implementation Phases'!$D$2:$D$65,'01_INPUTS'!$C$8)</f>
        <v>16</v>
      </c>
      <c r="S13" s="55">
        <f>IFERROR(IF(O13&lt;='01_INPUTS'!$C$9,'01_INPUTS'!$C$7,INDEX($T$5:$T$19,MATCH(O13-'01_INPUTS'!$C$9,$O$5:$O$19,0))+1),'01_INPUTS'!$C$7)</f>
        <v>46496</v>
      </c>
      <c r="T13" s="55">
        <f t="shared" si="2"/>
        <v>46607</v>
      </c>
    </row>
    <row r="14" spans="2:20" x14ac:dyDescent="0.3">
      <c r="B14" s="53" t="str">
        <f>'Sites Master'!$B$3</f>
        <v>Site 02</v>
      </c>
      <c r="C14" s="53" t="str">
        <f>'Sites Master'!$A$3</f>
        <v>Mexico</v>
      </c>
      <c r="D14" s="53">
        <f>'Sites Master'!$C$3</f>
        <v>2</v>
      </c>
      <c r="E14" s="53" t="str">
        <f>'01_INPUTS'!$C$8</f>
        <v>A</v>
      </c>
      <c r="F14" s="53" t="str" cm="1">
        <f t="array" ref="F14">INDEX('Implementation Phases'!$B$2:$B$9,G14)</f>
        <v>Design Adaptation</v>
      </c>
      <c r="G14" s="53">
        <f>2</f>
        <v>2</v>
      </c>
      <c r="H14" s="53" cm="1">
        <f t="array" ref="H14">IFERROR(_xlfn.XLOOKUP(1,('Implementation Phases'!$A$2:$A$65=D14)*('Implementation Phases'!$D$2:$D$65=E14)*('Implementation Phases'!$C$2:$C$65=G14),'Implementation Phases'!$E$2:$E$65),0)</f>
        <v>1</v>
      </c>
      <c r="I14" s="58">
        <f t="shared" ref="I14:I20" si="4">J13+1</f>
        <v>46279</v>
      </c>
      <c r="J14" s="58">
        <f t="shared" si="0"/>
        <v>46285</v>
      </c>
      <c r="K14" s="53">
        <f>ROUNDUP((I14-'01_INPUTS'!$C$7+1)/7,0)</f>
        <v>5</v>
      </c>
      <c r="L14" s="53">
        <f>ROUNDUP((J14-'01_INPUTS'!$C$7+1)/7,0)</f>
        <v>5</v>
      </c>
      <c r="M14" s="52" t="str">
        <f t="shared" si="1"/>
        <v>Site 02|Design Adaptation</v>
      </c>
      <c r="O14">
        <f>14-4</f>
        <v>10</v>
      </c>
      <c r="P14" t="str">
        <f>INDEX('01_INPUTS'!$B$35:$B$49,MATCH(O14,'01_INPUTS'!$E$35:$E$49,0))</f>
        <v>Site 10</v>
      </c>
      <c r="Q14">
        <f>INDEX('01_INPUTS'!$D$35:$D$49,MATCH(O14,'01_INPUTS'!$E$35:$E$49,0))</f>
        <v>1</v>
      </c>
      <c r="R14">
        <f>SUMIFS('Implementation Phases'!$E$2:$E$65,'Implementation Phases'!$A$2:$A$65,Q14,'Implementation Phases'!$D$2:$D$65,'01_INPUTS'!$C$8)</f>
        <v>19</v>
      </c>
      <c r="S14" s="55">
        <f>IFERROR(IF(O14&lt;='01_INPUTS'!$C$9,'01_INPUTS'!$C$7,INDEX($T$5:$T$19,MATCH(O14-'01_INPUTS'!$C$9,$O$5:$O$19,0))+1),'01_INPUTS'!$C$7)</f>
        <v>46587</v>
      </c>
      <c r="T14" s="55">
        <f t="shared" si="2"/>
        <v>46719</v>
      </c>
    </row>
    <row r="15" spans="2:20" x14ac:dyDescent="0.3">
      <c r="B15" s="53" t="str">
        <f>'Sites Master'!$B$3</f>
        <v>Site 02</v>
      </c>
      <c r="C15" s="53" t="str">
        <f>'Sites Master'!$A$3</f>
        <v>Mexico</v>
      </c>
      <c r="D15" s="53">
        <f>'Sites Master'!$C$3</f>
        <v>2</v>
      </c>
      <c r="E15" s="53" t="str">
        <f>'01_INPUTS'!$C$8</f>
        <v>A</v>
      </c>
      <c r="F15" s="53" t="str" cm="1">
        <f t="array" ref="F15">INDEX('Implementation Phases'!$B$2:$B$9,G15)</f>
        <v>Functional Review</v>
      </c>
      <c r="G15" s="53">
        <f>3</f>
        <v>3</v>
      </c>
      <c r="H15" s="53" cm="1">
        <f t="array" ref="H15">IFERROR(_xlfn.XLOOKUP(1,('Implementation Phases'!$A$2:$A$65=D15)*('Implementation Phases'!$D$2:$D$65=E15)*('Implementation Phases'!$C$2:$C$65=G15),'Implementation Phases'!$E$2:$E$65),0)</f>
        <v>1</v>
      </c>
      <c r="I15" s="58">
        <f t="shared" si="4"/>
        <v>46286</v>
      </c>
      <c r="J15" s="58">
        <f t="shared" si="0"/>
        <v>46292</v>
      </c>
      <c r="K15" s="53">
        <f>ROUNDUP((I15-'01_INPUTS'!$C$7+1)/7,0)</f>
        <v>6</v>
      </c>
      <c r="L15" s="53">
        <f>ROUNDUP((J15-'01_INPUTS'!$C$7+1)/7,0)</f>
        <v>6</v>
      </c>
      <c r="M15" s="52" t="str">
        <f t="shared" si="1"/>
        <v>Site 02|Functional Review</v>
      </c>
      <c r="O15">
        <f>15-4</f>
        <v>11</v>
      </c>
      <c r="P15" t="str">
        <f>INDEX('01_INPUTS'!$B$35:$B$49,MATCH(O15,'01_INPUTS'!$E$35:$E$49,0))</f>
        <v>Site 11</v>
      </c>
      <c r="Q15">
        <f>INDEX('01_INPUTS'!$D$35:$D$49,MATCH(O15,'01_INPUTS'!$E$35:$E$49,0))</f>
        <v>3</v>
      </c>
      <c r="R15">
        <f>SUMIFS('Implementation Phases'!$E$2:$E$65,'Implementation Phases'!$A$2:$A$65,Q15,'Implementation Phases'!$D$2:$D$65,'01_INPUTS'!$C$8)</f>
        <v>15</v>
      </c>
      <c r="S15" s="55">
        <f>IFERROR(IF(O15&lt;='01_INPUTS'!$C$9,'01_INPUTS'!$C$7,INDEX($T$5:$T$19,MATCH(O15-'01_INPUTS'!$C$9,$O$5:$O$19,0))+1),'01_INPUTS'!$C$7)</f>
        <v>46601</v>
      </c>
      <c r="T15" s="55">
        <f t="shared" si="2"/>
        <v>46705</v>
      </c>
    </row>
    <row r="16" spans="2:20" x14ac:dyDescent="0.3">
      <c r="B16" s="53" t="str">
        <f>'Sites Master'!$B$3</f>
        <v>Site 02</v>
      </c>
      <c r="C16" s="53" t="str">
        <f>'Sites Master'!$A$3</f>
        <v>Mexico</v>
      </c>
      <c r="D16" s="53">
        <f>'Sites Master'!$C$3</f>
        <v>2</v>
      </c>
      <c r="E16" s="53" t="str">
        <f>'01_INPUTS'!$C$8</f>
        <v>A</v>
      </c>
      <c r="F16" s="53" t="str" cm="1">
        <f t="array" ref="F16">INDEX('Implementation Phases'!$B$2:$B$9,G16)</f>
        <v>UAT</v>
      </c>
      <c r="G16" s="53">
        <f>4</f>
        <v>4</v>
      </c>
      <c r="H16" s="53" cm="1">
        <f t="array" ref="H16">IFERROR(_xlfn.XLOOKUP(1,('Implementation Phases'!$A$2:$A$65=D16)*('Implementation Phases'!$D$2:$D$65=E16)*('Implementation Phases'!$C$2:$C$65=G16),'Implementation Phases'!$E$2:$E$65),0)</f>
        <v>2</v>
      </c>
      <c r="I16" s="58">
        <f t="shared" si="4"/>
        <v>46293</v>
      </c>
      <c r="J16" s="58">
        <f t="shared" si="0"/>
        <v>46306</v>
      </c>
      <c r="K16" s="53">
        <f>ROUNDUP((I16-'01_INPUTS'!$C$7+1)/7,0)</f>
        <v>7</v>
      </c>
      <c r="L16" s="53">
        <f>ROUNDUP((J16-'01_INPUTS'!$C$7+1)/7,0)</f>
        <v>8</v>
      </c>
      <c r="M16" s="52" t="str">
        <f t="shared" si="1"/>
        <v>Site 02|UAT</v>
      </c>
      <c r="O16">
        <f>16-4</f>
        <v>12</v>
      </c>
      <c r="P16" t="str">
        <f>INDEX('01_INPUTS'!$B$35:$B$49,MATCH(O16,'01_INPUTS'!$E$35:$E$49,0))</f>
        <v>Site 12</v>
      </c>
      <c r="Q16">
        <f>INDEX('01_INPUTS'!$D$35:$D$49,MATCH(O16,'01_INPUTS'!$E$35:$E$49,0))</f>
        <v>4</v>
      </c>
      <c r="R16">
        <f>SUMIFS('Implementation Phases'!$E$2:$E$65,'Implementation Phases'!$A$2:$A$65,Q16,'Implementation Phases'!$D$2:$D$65,'01_INPUTS'!$C$8)</f>
        <v>10</v>
      </c>
      <c r="S16" s="55">
        <f>IFERROR(IF(O16&lt;='01_INPUTS'!$C$9,'01_INPUTS'!$C$7,INDEX($T$5:$T$19,MATCH(O16-'01_INPUTS'!$C$9,$O$5:$O$19,0))+1),'01_INPUTS'!$C$7)</f>
        <v>46608</v>
      </c>
      <c r="T16" s="55">
        <f t="shared" si="2"/>
        <v>46677</v>
      </c>
    </row>
    <row r="17" spans="2:20" x14ac:dyDescent="0.3">
      <c r="B17" s="53" t="str">
        <f>'Sites Master'!$B$3</f>
        <v>Site 02</v>
      </c>
      <c r="C17" s="53" t="str">
        <f>'Sites Master'!$A$3</f>
        <v>Mexico</v>
      </c>
      <c r="D17" s="53">
        <f>'Sites Master'!$C$3</f>
        <v>2</v>
      </c>
      <c r="E17" s="53" t="str">
        <f>'01_INPUTS'!$C$8</f>
        <v>A</v>
      </c>
      <c r="F17" s="53" t="str" cm="1">
        <f t="array" ref="F17">INDEX('Implementation Phases'!$B$2:$B$9,G17)</f>
        <v>Training</v>
      </c>
      <c r="G17" s="53">
        <f>5</f>
        <v>5</v>
      </c>
      <c r="H17" s="53" cm="1">
        <f t="array" ref="H17">IFERROR(_xlfn.XLOOKUP(1,('Implementation Phases'!$A$2:$A$65=D17)*('Implementation Phases'!$D$2:$D$65=E17)*('Implementation Phases'!$C$2:$C$65=G17),'Implementation Phases'!$E$2:$E$65),0)</f>
        <v>2</v>
      </c>
      <c r="I17" s="58">
        <f t="shared" si="4"/>
        <v>46307</v>
      </c>
      <c r="J17" s="58">
        <f t="shared" si="0"/>
        <v>46320</v>
      </c>
      <c r="K17" s="53">
        <f>ROUNDUP((I17-'01_INPUTS'!$C$7+1)/7,0)</f>
        <v>9</v>
      </c>
      <c r="L17" s="53">
        <f>ROUNDUP((J17-'01_INPUTS'!$C$7+1)/7,0)</f>
        <v>10</v>
      </c>
      <c r="M17" s="52" t="str">
        <f t="shared" si="1"/>
        <v>Site 02|Training</v>
      </c>
      <c r="O17">
        <f>17-4</f>
        <v>13</v>
      </c>
      <c r="P17" t="str">
        <f>INDEX('01_INPUTS'!$B$35:$B$49,MATCH(O17,'01_INPUTS'!$E$35:$E$49,0))</f>
        <v>Site 13</v>
      </c>
      <c r="Q17">
        <f>INDEX('01_INPUTS'!$D$35:$D$49,MATCH(O17,'01_INPUTS'!$E$35:$E$49,0))</f>
        <v>1</v>
      </c>
      <c r="R17">
        <f>SUMIFS('Implementation Phases'!$E$2:$E$65,'Implementation Phases'!$A$2:$A$65,Q17,'Implementation Phases'!$D$2:$D$65,'01_INPUTS'!$C$8)</f>
        <v>19</v>
      </c>
      <c r="S17" s="55">
        <f>IFERROR(IF(O17&lt;='01_INPUTS'!$C$9,'01_INPUTS'!$C$7,INDEX($T$5:$T$19,MATCH(O17-'01_INPUTS'!$C$9,$O$5:$O$19,0))+1),'01_INPUTS'!$C$7)</f>
        <v>46720</v>
      </c>
      <c r="T17" s="55">
        <f t="shared" si="2"/>
        <v>46852</v>
      </c>
    </row>
    <row r="18" spans="2:20" x14ac:dyDescent="0.3">
      <c r="B18" s="53" t="str">
        <f>'Sites Master'!$B$3</f>
        <v>Site 02</v>
      </c>
      <c r="C18" s="53" t="str">
        <f>'Sites Master'!$A$3</f>
        <v>Mexico</v>
      </c>
      <c r="D18" s="53">
        <f>'Sites Master'!$C$3</f>
        <v>2</v>
      </c>
      <c r="E18" s="53" t="str">
        <f>'01_INPUTS'!$C$8</f>
        <v>A</v>
      </c>
      <c r="F18" s="53" t="str" cm="1">
        <f t="array" ref="F18">INDEX('Implementation Phases'!$B$2:$B$9,G18)</f>
        <v>DIALT</v>
      </c>
      <c r="G18" s="53">
        <f>6</f>
        <v>6</v>
      </c>
      <c r="H18" s="53" cm="1">
        <f t="array" ref="H18">IFERROR(_xlfn.XLOOKUP(1,('Implementation Phases'!$A$2:$A$65=D18)*('Implementation Phases'!$D$2:$D$65=E18)*('Implementation Phases'!$C$2:$C$65=G18),'Implementation Phases'!$E$2:$E$65),0)</f>
        <v>1</v>
      </c>
      <c r="I18" s="58">
        <f t="shared" si="4"/>
        <v>46321</v>
      </c>
      <c r="J18" s="58">
        <f t="shared" si="0"/>
        <v>46327</v>
      </c>
      <c r="K18" s="53">
        <f>ROUNDUP((I18-'01_INPUTS'!$C$7+1)/7,0)</f>
        <v>11</v>
      </c>
      <c r="L18" s="53">
        <f>ROUNDUP((J18-'01_INPUTS'!$C$7+1)/7,0)</f>
        <v>11</v>
      </c>
      <c r="M18" s="52" t="str">
        <f t="shared" si="1"/>
        <v>Site 02|DIALT</v>
      </c>
      <c r="O18">
        <f>18-4</f>
        <v>14</v>
      </c>
      <c r="P18" t="str">
        <f>INDEX('01_INPUTS'!$B$35:$B$49,MATCH(O18,'01_INPUTS'!$E$35:$E$49,0))</f>
        <v>Site 14</v>
      </c>
      <c r="Q18">
        <f>INDEX('01_INPUTS'!$D$35:$D$49,MATCH(O18,'01_INPUTS'!$E$35:$E$49,0))</f>
        <v>1</v>
      </c>
      <c r="R18">
        <f>SUMIFS('Implementation Phases'!$E$2:$E$65,'Implementation Phases'!$A$2:$A$65,Q18,'Implementation Phases'!$D$2:$D$65,'01_INPUTS'!$C$8)</f>
        <v>19</v>
      </c>
      <c r="S18" s="55">
        <f>IFERROR(IF(O18&lt;='01_INPUTS'!$C$9,'01_INPUTS'!$C$7,INDEX($T$5:$T$19,MATCH(O18-'01_INPUTS'!$C$9,$O$5:$O$19,0))+1),'01_INPUTS'!$C$7)</f>
        <v>46706</v>
      </c>
      <c r="T18" s="55">
        <f t="shared" si="2"/>
        <v>46838</v>
      </c>
    </row>
    <row r="19" spans="2:20" x14ac:dyDescent="0.3">
      <c r="B19" s="53" t="str">
        <f>'Sites Master'!$B$3</f>
        <v>Site 02</v>
      </c>
      <c r="C19" s="53" t="str">
        <f>'Sites Master'!$A$3</f>
        <v>Mexico</v>
      </c>
      <c r="D19" s="53">
        <f>'Sites Master'!$C$3</f>
        <v>2</v>
      </c>
      <c r="E19" s="53" t="str">
        <f>'01_INPUTS'!$C$8</f>
        <v>A</v>
      </c>
      <c r="F19" s="53" t="str" cm="1">
        <f t="array" ref="F19">INDEX('Implementation Phases'!$B$2:$B$9,G19)</f>
        <v>Go Live</v>
      </c>
      <c r="G19" s="53">
        <f>7</f>
        <v>7</v>
      </c>
      <c r="H19" s="53" cm="1">
        <f t="array" ref="H19">IFERROR(_xlfn.XLOOKUP(1,('Implementation Phases'!$A$2:$A$65=D19)*('Implementation Phases'!$D$2:$D$65=E19)*('Implementation Phases'!$C$2:$C$65=G19),'Implementation Phases'!$E$2:$E$65),0)</f>
        <v>1</v>
      </c>
      <c r="I19" s="58">
        <f t="shared" si="4"/>
        <v>46328</v>
      </c>
      <c r="J19" s="58">
        <f t="shared" si="0"/>
        <v>46334</v>
      </c>
      <c r="K19" s="53">
        <f>ROUNDUP((I19-'01_INPUTS'!$C$7+1)/7,0)</f>
        <v>12</v>
      </c>
      <c r="L19" s="53">
        <f>ROUNDUP((J19-'01_INPUTS'!$C$7+1)/7,0)</f>
        <v>12</v>
      </c>
      <c r="M19" s="52" t="str">
        <f t="shared" si="1"/>
        <v>Site 02|Go Live</v>
      </c>
      <c r="O19">
        <f>19-4</f>
        <v>15</v>
      </c>
      <c r="P19" t="str">
        <f>INDEX('01_INPUTS'!$B$35:$B$49,MATCH(O19,'01_INPUTS'!$E$35:$E$49,0))</f>
        <v>Site 15</v>
      </c>
      <c r="Q19">
        <f>INDEX('01_INPUTS'!$D$35:$D$49,MATCH(O19,'01_INPUTS'!$E$35:$E$49,0))</f>
        <v>2</v>
      </c>
      <c r="R19">
        <f>SUMIFS('Implementation Phases'!$E$2:$E$65,'Implementation Phases'!$A$2:$A$65,Q19,'Implementation Phases'!$D$2:$D$65,'01_INPUTS'!$C$8)</f>
        <v>16</v>
      </c>
      <c r="S19" s="55">
        <f>IFERROR(IF(O19&lt;='01_INPUTS'!$C$9,'01_INPUTS'!$C$7,INDEX($T$5:$T$19,MATCH(O19-'01_INPUTS'!$C$9,$O$5:$O$19,0))+1),'01_INPUTS'!$C$7)</f>
        <v>46678</v>
      </c>
      <c r="T19" s="55">
        <f t="shared" si="2"/>
        <v>46789</v>
      </c>
    </row>
    <row r="20" spans="2:20" x14ac:dyDescent="0.3">
      <c r="B20" s="53" t="str">
        <f>'Sites Master'!$B$3</f>
        <v>Site 02</v>
      </c>
      <c r="C20" s="53" t="str">
        <f>'Sites Master'!$A$3</f>
        <v>Mexico</v>
      </c>
      <c r="D20" s="53">
        <f>'Sites Master'!$C$3</f>
        <v>2</v>
      </c>
      <c r="E20" s="53" t="str">
        <f>'01_INPUTS'!$C$8</f>
        <v>A</v>
      </c>
      <c r="F20" s="53" t="str" cm="1">
        <f t="array" ref="F20">INDEX('Implementation Phases'!$B$2:$B$9,G20)</f>
        <v>Hypercare</v>
      </c>
      <c r="G20" s="53">
        <f>8</f>
        <v>8</v>
      </c>
      <c r="H20" s="53" cm="1">
        <f t="array" ref="H20">IFERROR(_xlfn.XLOOKUP(1,('Implementation Phases'!$A$2:$A$65=D20)*('Implementation Phases'!$D$2:$D$65=E20)*('Implementation Phases'!$C$2:$C$65=G20),'Implementation Phases'!$E$2:$E$65),0)</f>
        <v>4</v>
      </c>
      <c r="I20" s="58">
        <f t="shared" si="4"/>
        <v>46335</v>
      </c>
      <c r="J20" s="58">
        <f t="shared" si="0"/>
        <v>46362</v>
      </c>
      <c r="K20" s="53">
        <f>ROUNDUP((I20-'01_INPUTS'!$C$7+1)/7,0)</f>
        <v>13</v>
      </c>
      <c r="L20" s="53">
        <f>ROUNDUP((J20-'01_INPUTS'!$C$7+1)/7,0)</f>
        <v>16</v>
      </c>
      <c r="M20" s="52" t="str">
        <f t="shared" si="1"/>
        <v>Site 02|Hypercare</v>
      </c>
    </row>
    <row r="21" spans="2:20" x14ac:dyDescent="0.3">
      <c r="B21" s="50" t="str">
        <f>'Sites Master'!$B$4</f>
        <v>Site 03</v>
      </c>
      <c r="C21" s="50" t="str">
        <f>'Sites Master'!$A$4</f>
        <v>Mexico</v>
      </c>
      <c r="D21" s="50">
        <f>'Sites Master'!$C$4</f>
        <v>2</v>
      </c>
      <c r="E21" s="50" t="str">
        <f>'01_INPUTS'!$C$8</f>
        <v>A</v>
      </c>
      <c r="F21" s="50" t="str" cm="1">
        <f t="array" ref="F21">INDEX('Implementation Phases'!$B$2:$B$9,G21)</f>
        <v>Site Readiness</v>
      </c>
      <c r="G21" s="50">
        <f>1</f>
        <v>1</v>
      </c>
      <c r="H21" s="50" cm="1">
        <f t="array" ref="H21">IFERROR(_xlfn.XLOOKUP(1,('Implementation Phases'!$A$2:$A$65=D21)*('Implementation Phases'!$D$2:$D$65=E21)*('Implementation Phases'!$C$2:$C$65=G21),'Implementation Phases'!$E$2:$E$65),0)</f>
        <v>4</v>
      </c>
      <c r="I21" s="57">
        <f>INDEX($S$5:$S$19,MATCH(B21,$P$5:$P$19,0))</f>
        <v>46251</v>
      </c>
      <c r="J21" s="57">
        <f t="shared" si="0"/>
        <v>46278</v>
      </c>
      <c r="K21" s="50">
        <f>ROUNDUP((I21-'01_INPUTS'!$C$7+1)/7,0)</f>
        <v>1</v>
      </c>
      <c r="L21" s="50">
        <f>ROUNDUP((J21-'01_INPUTS'!$C$7+1)/7,0)</f>
        <v>4</v>
      </c>
      <c r="M21" s="52" t="str">
        <f t="shared" si="1"/>
        <v>Site 03|Site Readiness</v>
      </c>
    </row>
    <row r="22" spans="2:20" x14ac:dyDescent="0.3">
      <c r="B22" s="50" t="str">
        <f>'Sites Master'!$B$4</f>
        <v>Site 03</v>
      </c>
      <c r="C22" s="50" t="str">
        <f>'Sites Master'!$A$4</f>
        <v>Mexico</v>
      </c>
      <c r="D22" s="50">
        <f>'Sites Master'!$C$4</f>
        <v>2</v>
      </c>
      <c r="E22" s="50" t="str">
        <f>'01_INPUTS'!$C$8</f>
        <v>A</v>
      </c>
      <c r="F22" s="50" t="str" cm="1">
        <f t="array" ref="F22">INDEX('Implementation Phases'!$B$2:$B$9,G22)</f>
        <v>Design Adaptation</v>
      </c>
      <c r="G22" s="50">
        <f>2</f>
        <v>2</v>
      </c>
      <c r="H22" s="50" cm="1">
        <f t="array" ref="H22">IFERROR(_xlfn.XLOOKUP(1,('Implementation Phases'!$A$2:$A$65=D22)*('Implementation Phases'!$D$2:$D$65=E22)*('Implementation Phases'!$C$2:$C$65=G22),'Implementation Phases'!$E$2:$E$65),0)</f>
        <v>1</v>
      </c>
      <c r="I22" s="57">
        <f t="shared" ref="I22:I28" si="5">J21+1</f>
        <v>46279</v>
      </c>
      <c r="J22" s="57">
        <f t="shared" si="0"/>
        <v>46285</v>
      </c>
      <c r="K22" s="50">
        <f>ROUNDUP((I22-'01_INPUTS'!$C$7+1)/7,0)</f>
        <v>5</v>
      </c>
      <c r="L22" s="50">
        <f>ROUNDUP((J22-'01_INPUTS'!$C$7+1)/7,0)</f>
        <v>5</v>
      </c>
      <c r="M22" s="52" t="str">
        <f t="shared" si="1"/>
        <v>Site 03|Design Adaptation</v>
      </c>
    </row>
    <row r="23" spans="2:20" x14ac:dyDescent="0.3">
      <c r="B23" s="50" t="str">
        <f>'Sites Master'!$B$4</f>
        <v>Site 03</v>
      </c>
      <c r="C23" s="50" t="str">
        <f>'Sites Master'!$A$4</f>
        <v>Mexico</v>
      </c>
      <c r="D23" s="50">
        <f>'Sites Master'!$C$4</f>
        <v>2</v>
      </c>
      <c r="E23" s="50" t="str">
        <f>'01_INPUTS'!$C$8</f>
        <v>A</v>
      </c>
      <c r="F23" s="50" t="str" cm="1">
        <f t="array" ref="F23">INDEX('Implementation Phases'!$B$2:$B$9,G23)</f>
        <v>Functional Review</v>
      </c>
      <c r="G23" s="50">
        <f>3</f>
        <v>3</v>
      </c>
      <c r="H23" s="50" cm="1">
        <f t="array" ref="H23">IFERROR(_xlfn.XLOOKUP(1,('Implementation Phases'!$A$2:$A$65=D23)*('Implementation Phases'!$D$2:$D$65=E23)*('Implementation Phases'!$C$2:$C$65=G23),'Implementation Phases'!$E$2:$E$65),0)</f>
        <v>1</v>
      </c>
      <c r="I23" s="57">
        <f t="shared" si="5"/>
        <v>46286</v>
      </c>
      <c r="J23" s="57">
        <f t="shared" si="0"/>
        <v>46292</v>
      </c>
      <c r="K23" s="50">
        <f>ROUNDUP((I23-'01_INPUTS'!$C$7+1)/7,0)</f>
        <v>6</v>
      </c>
      <c r="L23" s="50">
        <f>ROUNDUP((J23-'01_INPUTS'!$C$7+1)/7,0)</f>
        <v>6</v>
      </c>
      <c r="M23" s="52" t="str">
        <f t="shared" si="1"/>
        <v>Site 03|Functional Review</v>
      </c>
    </row>
    <row r="24" spans="2:20" x14ac:dyDescent="0.3">
      <c r="B24" s="50" t="str">
        <f>'Sites Master'!$B$4</f>
        <v>Site 03</v>
      </c>
      <c r="C24" s="50" t="str">
        <f>'Sites Master'!$A$4</f>
        <v>Mexico</v>
      </c>
      <c r="D24" s="50">
        <f>'Sites Master'!$C$4</f>
        <v>2</v>
      </c>
      <c r="E24" s="50" t="str">
        <f>'01_INPUTS'!$C$8</f>
        <v>A</v>
      </c>
      <c r="F24" s="50" t="str" cm="1">
        <f t="array" ref="F24">INDEX('Implementation Phases'!$B$2:$B$9,G24)</f>
        <v>UAT</v>
      </c>
      <c r="G24" s="50">
        <f>4</f>
        <v>4</v>
      </c>
      <c r="H24" s="50" cm="1">
        <f t="array" ref="H24">IFERROR(_xlfn.XLOOKUP(1,('Implementation Phases'!$A$2:$A$65=D24)*('Implementation Phases'!$D$2:$D$65=E24)*('Implementation Phases'!$C$2:$C$65=G24),'Implementation Phases'!$E$2:$E$65),0)</f>
        <v>2</v>
      </c>
      <c r="I24" s="57">
        <f t="shared" si="5"/>
        <v>46293</v>
      </c>
      <c r="J24" s="57">
        <f t="shared" si="0"/>
        <v>46306</v>
      </c>
      <c r="K24" s="50">
        <f>ROUNDUP((I24-'01_INPUTS'!$C$7+1)/7,0)</f>
        <v>7</v>
      </c>
      <c r="L24" s="50">
        <f>ROUNDUP((J24-'01_INPUTS'!$C$7+1)/7,0)</f>
        <v>8</v>
      </c>
      <c r="M24" s="52" t="str">
        <f t="shared" si="1"/>
        <v>Site 03|UAT</v>
      </c>
    </row>
    <row r="25" spans="2:20" x14ac:dyDescent="0.3">
      <c r="B25" s="50" t="str">
        <f>'Sites Master'!$B$4</f>
        <v>Site 03</v>
      </c>
      <c r="C25" s="50" t="str">
        <f>'Sites Master'!$A$4</f>
        <v>Mexico</v>
      </c>
      <c r="D25" s="50">
        <f>'Sites Master'!$C$4</f>
        <v>2</v>
      </c>
      <c r="E25" s="50" t="str">
        <f>'01_INPUTS'!$C$8</f>
        <v>A</v>
      </c>
      <c r="F25" s="50" t="str" cm="1">
        <f t="array" ref="F25">INDEX('Implementation Phases'!$B$2:$B$9,G25)</f>
        <v>Training</v>
      </c>
      <c r="G25" s="50">
        <f>5</f>
        <v>5</v>
      </c>
      <c r="H25" s="50" cm="1">
        <f t="array" ref="H25">IFERROR(_xlfn.XLOOKUP(1,('Implementation Phases'!$A$2:$A$65=D25)*('Implementation Phases'!$D$2:$D$65=E25)*('Implementation Phases'!$C$2:$C$65=G25),'Implementation Phases'!$E$2:$E$65),0)</f>
        <v>2</v>
      </c>
      <c r="I25" s="57">
        <f t="shared" si="5"/>
        <v>46307</v>
      </c>
      <c r="J25" s="57">
        <f t="shared" si="0"/>
        <v>46320</v>
      </c>
      <c r="K25" s="50">
        <f>ROUNDUP((I25-'01_INPUTS'!$C$7+1)/7,0)</f>
        <v>9</v>
      </c>
      <c r="L25" s="50">
        <f>ROUNDUP((J25-'01_INPUTS'!$C$7+1)/7,0)</f>
        <v>10</v>
      </c>
      <c r="M25" s="52" t="str">
        <f t="shared" si="1"/>
        <v>Site 03|Training</v>
      </c>
    </row>
    <row r="26" spans="2:20" x14ac:dyDescent="0.3">
      <c r="B26" s="50" t="str">
        <f>'Sites Master'!$B$4</f>
        <v>Site 03</v>
      </c>
      <c r="C26" s="50" t="str">
        <f>'Sites Master'!$A$4</f>
        <v>Mexico</v>
      </c>
      <c r="D26" s="50">
        <f>'Sites Master'!$C$4</f>
        <v>2</v>
      </c>
      <c r="E26" s="50" t="str">
        <f>'01_INPUTS'!$C$8</f>
        <v>A</v>
      </c>
      <c r="F26" s="50" t="str" cm="1">
        <f t="array" ref="F26">INDEX('Implementation Phases'!$B$2:$B$9,G26)</f>
        <v>DIALT</v>
      </c>
      <c r="G26" s="50">
        <f>6</f>
        <v>6</v>
      </c>
      <c r="H26" s="50" cm="1">
        <f t="array" ref="H26">IFERROR(_xlfn.XLOOKUP(1,('Implementation Phases'!$A$2:$A$65=D26)*('Implementation Phases'!$D$2:$D$65=E26)*('Implementation Phases'!$C$2:$C$65=G26),'Implementation Phases'!$E$2:$E$65),0)</f>
        <v>1</v>
      </c>
      <c r="I26" s="57">
        <f t="shared" si="5"/>
        <v>46321</v>
      </c>
      <c r="J26" s="57">
        <f t="shared" si="0"/>
        <v>46327</v>
      </c>
      <c r="K26" s="50">
        <f>ROUNDUP((I26-'01_INPUTS'!$C$7+1)/7,0)</f>
        <v>11</v>
      </c>
      <c r="L26" s="50">
        <f>ROUNDUP((J26-'01_INPUTS'!$C$7+1)/7,0)</f>
        <v>11</v>
      </c>
      <c r="M26" s="52" t="str">
        <f t="shared" si="1"/>
        <v>Site 03|DIALT</v>
      </c>
    </row>
    <row r="27" spans="2:20" x14ac:dyDescent="0.3">
      <c r="B27" s="50" t="str">
        <f>'Sites Master'!$B$4</f>
        <v>Site 03</v>
      </c>
      <c r="C27" s="50" t="str">
        <f>'Sites Master'!$A$4</f>
        <v>Mexico</v>
      </c>
      <c r="D27" s="50">
        <f>'Sites Master'!$C$4</f>
        <v>2</v>
      </c>
      <c r="E27" s="50" t="str">
        <f>'01_INPUTS'!$C$8</f>
        <v>A</v>
      </c>
      <c r="F27" s="50" t="str" cm="1">
        <f t="array" ref="F27">INDEX('Implementation Phases'!$B$2:$B$9,G27)</f>
        <v>Go Live</v>
      </c>
      <c r="G27" s="50">
        <f>7</f>
        <v>7</v>
      </c>
      <c r="H27" s="50" cm="1">
        <f t="array" ref="H27">IFERROR(_xlfn.XLOOKUP(1,('Implementation Phases'!$A$2:$A$65=D27)*('Implementation Phases'!$D$2:$D$65=E27)*('Implementation Phases'!$C$2:$C$65=G27),'Implementation Phases'!$E$2:$E$65),0)</f>
        <v>1</v>
      </c>
      <c r="I27" s="57">
        <f t="shared" si="5"/>
        <v>46328</v>
      </c>
      <c r="J27" s="57">
        <f t="shared" si="0"/>
        <v>46334</v>
      </c>
      <c r="K27" s="50">
        <f>ROUNDUP((I27-'01_INPUTS'!$C$7+1)/7,0)</f>
        <v>12</v>
      </c>
      <c r="L27" s="50">
        <f>ROUNDUP((J27-'01_INPUTS'!$C$7+1)/7,0)</f>
        <v>12</v>
      </c>
      <c r="M27" s="52" t="str">
        <f t="shared" si="1"/>
        <v>Site 03|Go Live</v>
      </c>
    </row>
    <row r="28" spans="2:20" x14ac:dyDescent="0.3">
      <c r="B28" s="50" t="str">
        <f>'Sites Master'!$B$4</f>
        <v>Site 03</v>
      </c>
      <c r="C28" s="50" t="str">
        <f>'Sites Master'!$A$4</f>
        <v>Mexico</v>
      </c>
      <c r="D28" s="50">
        <f>'Sites Master'!$C$4</f>
        <v>2</v>
      </c>
      <c r="E28" s="50" t="str">
        <f>'01_INPUTS'!$C$8</f>
        <v>A</v>
      </c>
      <c r="F28" s="50" t="str" cm="1">
        <f t="array" ref="F28">INDEX('Implementation Phases'!$B$2:$B$9,G28)</f>
        <v>Hypercare</v>
      </c>
      <c r="G28" s="50">
        <f>8</f>
        <v>8</v>
      </c>
      <c r="H28" s="50" cm="1">
        <f t="array" ref="H28">IFERROR(_xlfn.XLOOKUP(1,('Implementation Phases'!$A$2:$A$65=D28)*('Implementation Phases'!$D$2:$D$65=E28)*('Implementation Phases'!$C$2:$C$65=G28),'Implementation Phases'!$E$2:$E$65),0)</f>
        <v>4</v>
      </c>
      <c r="I28" s="57">
        <f t="shared" si="5"/>
        <v>46335</v>
      </c>
      <c r="J28" s="57">
        <f t="shared" si="0"/>
        <v>46362</v>
      </c>
      <c r="K28" s="50">
        <f>ROUNDUP((I28-'01_INPUTS'!$C$7+1)/7,0)</f>
        <v>13</v>
      </c>
      <c r="L28" s="50">
        <f>ROUNDUP((J28-'01_INPUTS'!$C$7+1)/7,0)</f>
        <v>16</v>
      </c>
      <c r="M28" s="52" t="str">
        <f t="shared" si="1"/>
        <v>Site 03|Hypercare</v>
      </c>
    </row>
    <row r="29" spans="2:20" x14ac:dyDescent="0.3">
      <c r="B29" s="53" t="str">
        <f>'Sites Master'!$B$5</f>
        <v>Site 04</v>
      </c>
      <c r="C29" s="53" t="str">
        <f>'Sites Master'!$A$5</f>
        <v>Mexico</v>
      </c>
      <c r="D29" s="53">
        <f>'Sites Master'!$C$5</f>
        <v>2</v>
      </c>
      <c r="E29" s="53" t="str">
        <f>'01_INPUTS'!$C$8</f>
        <v>A</v>
      </c>
      <c r="F29" s="53" t="str" cm="1">
        <f t="array" ref="F29">INDEX('Implementation Phases'!$B$2:$B$9,G29)</f>
        <v>Site Readiness</v>
      </c>
      <c r="G29" s="53">
        <f>1</f>
        <v>1</v>
      </c>
      <c r="H29" s="53" cm="1">
        <f t="array" ref="H29">IFERROR(_xlfn.XLOOKUP(1,('Implementation Phases'!$A$2:$A$65=D29)*('Implementation Phases'!$D$2:$D$65=E29)*('Implementation Phases'!$C$2:$C$65=G29),'Implementation Phases'!$E$2:$E$65),0)</f>
        <v>4</v>
      </c>
      <c r="I29" s="58">
        <f>INDEX($S$5:$S$19,MATCH(B29,$P$5:$P$19,0))</f>
        <v>46363</v>
      </c>
      <c r="J29" s="58">
        <f t="shared" si="0"/>
        <v>46390</v>
      </c>
      <c r="K29" s="53">
        <f>ROUNDUP((I29-'01_INPUTS'!$C$7+1)/7,0)</f>
        <v>17</v>
      </c>
      <c r="L29" s="53">
        <f>ROUNDUP((J29-'01_INPUTS'!$C$7+1)/7,0)</f>
        <v>20</v>
      </c>
      <c r="M29" s="52" t="str">
        <f t="shared" si="1"/>
        <v>Site 04|Site Readiness</v>
      </c>
    </row>
    <row r="30" spans="2:20" x14ac:dyDescent="0.3">
      <c r="B30" s="53" t="str">
        <f>'Sites Master'!$B$5</f>
        <v>Site 04</v>
      </c>
      <c r="C30" s="53" t="str">
        <f>'Sites Master'!$A$5</f>
        <v>Mexico</v>
      </c>
      <c r="D30" s="53">
        <f>'Sites Master'!$C$5</f>
        <v>2</v>
      </c>
      <c r="E30" s="53" t="str">
        <f>'01_INPUTS'!$C$8</f>
        <v>A</v>
      </c>
      <c r="F30" s="53" t="str" cm="1">
        <f t="array" ref="F30">INDEX('Implementation Phases'!$B$2:$B$9,G30)</f>
        <v>Design Adaptation</v>
      </c>
      <c r="G30" s="53">
        <f>2</f>
        <v>2</v>
      </c>
      <c r="H30" s="53" cm="1">
        <f t="array" ref="H30">IFERROR(_xlfn.XLOOKUP(1,('Implementation Phases'!$A$2:$A$65=D30)*('Implementation Phases'!$D$2:$D$65=E30)*('Implementation Phases'!$C$2:$C$65=G30),'Implementation Phases'!$E$2:$E$65),0)</f>
        <v>1</v>
      </c>
      <c r="I30" s="58">
        <f t="shared" ref="I30:I36" si="6">J29+1</f>
        <v>46391</v>
      </c>
      <c r="J30" s="58">
        <f t="shared" si="0"/>
        <v>46397</v>
      </c>
      <c r="K30" s="53">
        <f>ROUNDUP((I30-'01_INPUTS'!$C$7+1)/7,0)</f>
        <v>21</v>
      </c>
      <c r="L30" s="53">
        <f>ROUNDUP((J30-'01_INPUTS'!$C$7+1)/7,0)</f>
        <v>21</v>
      </c>
      <c r="M30" s="52" t="str">
        <f t="shared" si="1"/>
        <v>Site 04|Design Adaptation</v>
      </c>
    </row>
    <row r="31" spans="2:20" x14ac:dyDescent="0.3">
      <c r="B31" s="53" t="str">
        <f>'Sites Master'!$B$5</f>
        <v>Site 04</v>
      </c>
      <c r="C31" s="53" t="str">
        <f>'Sites Master'!$A$5</f>
        <v>Mexico</v>
      </c>
      <c r="D31" s="53">
        <f>'Sites Master'!$C$5</f>
        <v>2</v>
      </c>
      <c r="E31" s="53" t="str">
        <f>'01_INPUTS'!$C$8</f>
        <v>A</v>
      </c>
      <c r="F31" s="53" t="str" cm="1">
        <f t="array" ref="F31">INDEX('Implementation Phases'!$B$2:$B$9,G31)</f>
        <v>Functional Review</v>
      </c>
      <c r="G31" s="53">
        <f>3</f>
        <v>3</v>
      </c>
      <c r="H31" s="53" cm="1">
        <f t="array" ref="H31">IFERROR(_xlfn.XLOOKUP(1,('Implementation Phases'!$A$2:$A$65=D31)*('Implementation Phases'!$D$2:$D$65=E31)*('Implementation Phases'!$C$2:$C$65=G31),'Implementation Phases'!$E$2:$E$65),0)</f>
        <v>1</v>
      </c>
      <c r="I31" s="58">
        <f t="shared" si="6"/>
        <v>46398</v>
      </c>
      <c r="J31" s="58">
        <f t="shared" si="0"/>
        <v>46404</v>
      </c>
      <c r="K31" s="53">
        <f>ROUNDUP((I31-'01_INPUTS'!$C$7+1)/7,0)</f>
        <v>22</v>
      </c>
      <c r="L31" s="53">
        <f>ROUNDUP((J31-'01_INPUTS'!$C$7+1)/7,0)</f>
        <v>22</v>
      </c>
      <c r="M31" s="52" t="str">
        <f t="shared" si="1"/>
        <v>Site 04|Functional Review</v>
      </c>
    </row>
    <row r="32" spans="2:20" x14ac:dyDescent="0.3">
      <c r="B32" s="53" t="str">
        <f>'Sites Master'!$B$5</f>
        <v>Site 04</v>
      </c>
      <c r="C32" s="53" t="str">
        <f>'Sites Master'!$A$5</f>
        <v>Mexico</v>
      </c>
      <c r="D32" s="53">
        <f>'Sites Master'!$C$5</f>
        <v>2</v>
      </c>
      <c r="E32" s="53" t="str">
        <f>'01_INPUTS'!$C$8</f>
        <v>A</v>
      </c>
      <c r="F32" s="53" t="str" cm="1">
        <f t="array" ref="F32">INDEX('Implementation Phases'!$B$2:$B$9,G32)</f>
        <v>UAT</v>
      </c>
      <c r="G32" s="53">
        <f>4</f>
        <v>4</v>
      </c>
      <c r="H32" s="53" cm="1">
        <f t="array" ref="H32">IFERROR(_xlfn.XLOOKUP(1,('Implementation Phases'!$A$2:$A$65=D32)*('Implementation Phases'!$D$2:$D$65=E32)*('Implementation Phases'!$C$2:$C$65=G32),'Implementation Phases'!$E$2:$E$65),0)</f>
        <v>2</v>
      </c>
      <c r="I32" s="58">
        <f t="shared" si="6"/>
        <v>46405</v>
      </c>
      <c r="J32" s="58">
        <f t="shared" si="0"/>
        <v>46418</v>
      </c>
      <c r="K32" s="53">
        <f>ROUNDUP((I32-'01_INPUTS'!$C$7+1)/7,0)</f>
        <v>23</v>
      </c>
      <c r="L32" s="53">
        <f>ROUNDUP((J32-'01_INPUTS'!$C$7+1)/7,0)</f>
        <v>24</v>
      </c>
      <c r="M32" s="52" t="str">
        <f t="shared" si="1"/>
        <v>Site 04|UAT</v>
      </c>
    </row>
    <row r="33" spans="2:13" x14ac:dyDescent="0.3">
      <c r="B33" s="53" t="str">
        <f>'Sites Master'!$B$5</f>
        <v>Site 04</v>
      </c>
      <c r="C33" s="53" t="str">
        <f>'Sites Master'!$A$5</f>
        <v>Mexico</v>
      </c>
      <c r="D33" s="53">
        <f>'Sites Master'!$C$5</f>
        <v>2</v>
      </c>
      <c r="E33" s="53" t="str">
        <f>'01_INPUTS'!$C$8</f>
        <v>A</v>
      </c>
      <c r="F33" s="53" t="str" cm="1">
        <f t="array" ref="F33">INDEX('Implementation Phases'!$B$2:$B$9,G33)</f>
        <v>Training</v>
      </c>
      <c r="G33" s="53">
        <f>5</f>
        <v>5</v>
      </c>
      <c r="H33" s="53" cm="1">
        <f t="array" ref="H33">IFERROR(_xlfn.XLOOKUP(1,('Implementation Phases'!$A$2:$A$65=D33)*('Implementation Phases'!$D$2:$D$65=E33)*('Implementation Phases'!$C$2:$C$65=G33),'Implementation Phases'!$E$2:$E$65),0)</f>
        <v>2</v>
      </c>
      <c r="I33" s="58">
        <f t="shared" si="6"/>
        <v>46419</v>
      </c>
      <c r="J33" s="58">
        <f t="shared" si="0"/>
        <v>46432</v>
      </c>
      <c r="K33" s="53">
        <f>ROUNDUP((I33-'01_INPUTS'!$C$7+1)/7,0)</f>
        <v>25</v>
      </c>
      <c r="L33" s="53">
        <f>ROUNDUP((J33-'01_INPUTS'!$C$7+1)/7,0)</f>
        <v>26</v>
      </c>
      <c r="M33" s="52" t="str">
        <f t="shared" si="1"/>
        <v>Site 04|Training</v>
      </c>
    </row>
    <row r="34" spans="2:13" x14ac:dyDescent="0.3">
      <c r="B34" s="53" t="str">
        <f>'Sites Master'!$B$5</f>
        <v>Site 04</v>
      </c>
      <c r="C34" s="53" t="str">
        <f>'Sites Master'!$A$5</f>
        <v>Mexico</v>
      </c>
      <c r="D34" s="53">
        <f>'Sites Master'!$C$5</f>
        <v>2</v>
      </c>
      <c r="E34" s="53" t="str">
        <f>'01_INPUTS'!$C$8</f>
        <v>A</v>
      </c>
      <c r="F34" s="53" t="str" cm="1">
        <f t="array" ref="F34">INDEX('Implementation Phases'!$B$2:$B$9,G34)</f>
        <v>DIALT</v>
      </c>
      <c r="G34" s="53">
        <f>6</f>
        <v>6</v>
      </c>
      <c r="H34" s="53" cm="1">
        <f t="array" ref="H34">IFERROR(_xlfn.XLOOKUP(1,('Implementation Phases'!$A$2:$A$65=D34)*('Implementation Phases'!$D$2:$D$65=E34)*('Implementation Phases'!$C$2:$C$65=G34),'Implementation Phases'!$E$2:$E$65),0)</f>
        <v>1</v>
      </c>
      <c r="I34" s="58">
        <f t="shared" si="6"/>
        <v>46433</v>
      </c>
      <c r="J34" s="58">
        <f t="shared" si="0"/>
        <v>46439</v>
      </c>
      <c r="K34" s="53">
        <f>ROUNDUP((I34-'01_INPUTS'!$C$7+1)/7,0)</f>
        <v>27</v>
      </c>
      <c r="L34" s="53">
        <f>ROUNDUP((J34-'01_INPUTS'!$C$7+1)/7,0)</f>
        <v>27</v>
      </c>
      <c r="M34" s="52" t="str">
        <f t="shared" si="1"/>
        <v>Site 04|DIALT</v>
      </c>
    </row>
    <row r="35" spans="2:13" x14ac:dyDescent="0.3">
      <c r="B35" s="53" t="str">
        <f>'Sites Master'!$B$5</f>
        <v>Site 04</v>
      </c>
      <c r="C35" s="53" t="str">
        <f>'Sites Master'!$A$5</f>
        <v>Mexico</v>
      </c>
      <c r="D35" s="53">
        <f>'Sites Master'!$C$5</f>
        <v>2</v>
      </c>
      <c r="E35" s="53" t="str">
        <f>'01_INPUTS'!$C$8</f>
        <v>A</v>
      </c>
      <c r="F35" s="53" t="str" cm="1">
        <f t="array" ref="F35">INDEX('Implementation Phases'!$B$2:$B$9,G35)</f>
        <v>Go Live</v>
      </c>
      <c r="G35" s="53">
        <f>7</f>
        <v>7</v>
      </c>
      <c r="H35" s="53" cm="1">
        <f t="array" ref="H35">IFERROR(_xlfn.XLOOKUP(1,('Implementation Phases'!$A$2:$A$65=D35)*('Implementation Phases'!$D$2:$D$65=E35)*('Implementation Phases'!$C$2:$C$65=G35),'Implementation Phases'!$E$2:$E$65),0)</f>
        <v>1</v>
      </c>
      <c r="I35" s="58">
        <f t="shared" si="6"/>
        <v>46440</v>
      </c>
      <c r="J35" s="58">
        <f t="shared" si="0"/>
        <v>46446</v>
      </c>
      <c r="K35" s="53">
        <f>ROUNDUP((I35-'01_INPUTS'!$C$7+1)/7,0)</f>
        <v>28</v>
      </c>
      <c r="L35" s="53">
        <f>ROUNDUP((J35-'01_INPUTS'!$C$7+1)/7,0)</f>
        <v>28</v>
      </c>
      <c r="M35" s="52" t="str">
        <f t="shared" si="1"/>
        <v>Site 04|Go Live</v>
      </c>
    </row>
    <row r="36" spans="2:13" x14ac:dyDescent="0.3">
      <c r="B36" s="53" t="str">
        <f>'Sites Master'!$B$5</f>
        <v>Site 04</v>
      </c>
      <c r="C36" s="53" t="str">
        <f>'Sites Master'!$A$5</f>
        <v>Mexico</v>
      </c>
      <c r="D36" s="53">
        <f>'Sites Master'!$C$5</f>
        <v>2</v>
      </c>
      <c r="E36" s="53" t="str">
        <f>'01_INPUTS'!$C$8</f>
        <v>A</v>
      </c>
      <c r="F36" s="53" t="str" cm="1">
        <f t="array" ref="F36">INDEX('Implementation Phases'!$B$2:$B$9,G36)</f>
        <v>Hypercare</v>
      </c>
      <c r="G36" s="53">
        <f>8</f>
        <v>8</v>
      </c>
      <c r="H36" s="53" cm="1">
        <f t="array" ref="H36">IFERROR(_xlfn.XLOOKUP(1,('Implementation Phases'!$A$2:$A$65=D36)*('Implementation Phases'!$D$2:$D$65=E36)*('Implementation Phases'!$C$2:$C$65=G36),'Implementation Phases'!$E$2:$E$65),0)</f>
        <v>4</v>
      </c>
      <c r="I36" s="58">
        <f t="shared" si="6"/>
        <v>46447</v>
      </c>
      <c r="J36" s="58">
        <f t="shared" si="0"/>
        <v>46474</v>
      </c>
      <c r="K36" s="53">
        <f>ROUNDUP((I36-'01_INPUTS'!$C$7+1)/7,0)</f>
        <v>29</v>
      </c>
      <c r="L36" s="53">
        <f>ROUNDUP((J36-'01_INPUTS'!$C$7+1)/7,0)</f>
        <v>32</v>
      </c>
      <c r="M36" s="52" t="str">
        <f t="shared" si="1"/>
        <v>Site 04|Hypercare</v>
      </c>
    </row>
    <row r="37" spans="2:13" x14ac:dyDescent="0.3">
      <c r="B37" s="50" t="str">
        <f>'Sites Master'!$B$6</f>
        <v>Site 05</v>
      </c>
      <c r="C37" s="50" t="str">
        <f>'Sites Master'!$A$6</f>
        <v>Mexico</v>
      </c>
      <c r="D37" s="50">
        <f>'Sites Master'!$C$6</f>
        <v>3</v>
      </c>
      <c r="E37" s="50" t="str">
        <f>'01_INPUTS'!$C$8</f>
        <v>A</v>
      </c>
      <c r="F37" s="50" t="str" cm="1">
        <f t="array" ref="F37">INDEX('Implementation Phases'!$B$2:$B$9,G37)</f>
        <v>Site Readiness</v>
      </c>
      <c r="G37" s="50">
        <f>1</f>
        <v>1</v>
      </c>
      <c r="H37" s="50" cm="1">
        <f t="array" ref="H37">IFERROR(_xlfn.XLOOKUP(1,('Implementation Phases'!$A$2:$A$65=D37)*('Implementation Phases'!$D$2:$D$65=E37)*('Implementation Phases'!$C$2:$C$65=G37),'Implementation Phases'!$E$2:$E$65),0)</f>
        <v>4</v>
      </c>
      <c r="I37" s="57">
        <f>INDEX($S$5:$S$19,MATCH(B37,$P$5:$P$19,0))</f>
        <v>46363</v>
      </c>
      <c r="J37" s="57">
        <f t="shared" ref="J37:J68" si="7">IF(H37=0,I37,I37+H37*7-1)</f>
        <v>46390</v>
      </c>
      <c r="K37" s="50">
        <f>ROUNDUP((I37-'01_INPUTS'!$C$7+1)/7,0)</f>
        <v>17</v>
      </c>
      <c r="L37" s="50">
        <f>ROUNDUP((J37-'01_INPUTS'!$C$7+1)/7,0)</f>
        <v>20</v>
      </c>
      <c r="M37" s="52" t="str">
        <f t="shared" ref="M37:M68" si="8">B37&amp;"|"&amp;F37</f>
        <v>Site 05|Site Readiness</v>
      </c>
    </row>
    <row r="38" spans="2:13" x14ac:dyDescent="0.3">
      <c r="B38" s="50" t="str">
        <f>'Sites Master'!$B$6</f>
        <v>Site 05</v>
      </c>
      <c r="C38" s="50" t="str">
        <f>'Sites Master'!$A$6</f>
        <v>Mexico</v>
      </c>
      <c r="D38" s="50">
        <f>'Sites Master'!$C$6</f>
        <v>3</v>
      </c>
      <c r="E38" s="50" t="str">
        <f>'01_INPUTS'!$C$8</f>
        <v>A</v>
      </c>
      <c r="F38" s="50" t="str" cm="1">
        <f t="array" ref="F38">INDEX('Implementation Phases'!$B$2:$B$9,G38)</f>
        <v>Design Adaptation</v>
      </c>
      <c r="G38" s="50">
        <f>2</f>
        <v>2</v>
      </c>
      <c r="H38" s="50" cm="1">
        <f t="array" ref="H38">IFERROR(_xlfn.XLOOKUP(1,('Implementation Phases'!$A$2:$A$65=D38)*('Implementation Phases'!$D$2:$D$65=E38)*('Implementation Phases'!$C$2:$C$65=G38),'Implementation Phases'!$E$2:$E$65),0)</f>
        <v>1</v>
      </c>
      <c r="I38" s="57">
        <f t="shared" ref="I38:I44" si="9">J37+1</f>
        <v>46391</v>
      </c>
      <c r="J38" s="57">
        <f t="shared" si="7"/>
        <v>46397</v>
      </c>
      <c r="K38" s="50">
        <f>ROUNDUP((I38-'01_INPUTS'!$C$7+1)/7,0)</f>
        <v>21</v>
      </c>
      <c r="L38" s="50">
        <f>ROUNDUP((J38-'01_INPUTS'!$C$7+1)/7,0)</f>
        <v>21</v>
      </c>
      <c r="M38" s="52" t="str">
        <f t="shared" si="8"/>
        <v>Site 05|Design Adaptation</v>
      </c>
    </row>
    <row r="39" spans="2:13" x14ac:dyDescent="0.3">
      <c r="B39" s="50" t="str">
        <f>'Sites Master'!$B$6</f>
        <v>Site 05</v>
      </c>
      <c r="C39" s="50" t="str">
        <f>'Sites Master'!$A$6</f>
        <v>Mexico</v>
      </c>
      <c r="D39" s="50">
        <f>'Sites Master'!$C$6</f>
        <v>3</v>
      </c>
      <c r="E39" s="50" t="str">
        <f>'01_INPUTS'!$C$8</f>
        <v>A</v>
      </c>
      <c r="F39" s="50" t="str" cm="1">
        <f t="array" ref="F39">INDEX('Implementation Phases'!$B$2:$B$9,G39)</f>
        <v>Functional Review</v>
      </c>
      <c r="G39" s="50">
        <f>3</f>
        <v>3</v>
      </c>
      <c r="H39" s="50" cm="1">
        <f t="array" ref="H39">IFERROR(_xlfn.XLOOKUP(1,('Implementation Phases'!$A$2:$A$65=D39)*('Implementation Phases'!$D$2:$D$65=E39)*('Implementation Phases'!$C$2:$C$65=G39),'Implementation Phases'!$E$2:$E$65),0)</f>
        <v>1</v>
      </c>
      <c r="I39" s="57">
        <f t="shared" si="9"/>
        <v>46398</v>
      </c>
      <c r="J39" s="57">
        <f t="shared" si="7"/>
        <v>46404</v>
      </c>
      <c r="K39" s="50">
        <f>ROUNDUP((I39-'01_INPUTS'!$C$7+1)/7,0)</f>
        <v>22</v>
      </c>
      <c r="L39" s="50">
        <f>ROUNDUP((J39-'01_INPUTS'!$C$7+1)/7,0)</f>
        <v>22</v>
      </c>
      <c r="M39" s="52" t="str">
        <f t="shared" si="8"/>
        <v>Site 05|Functional Review</v>
      </c>
    </row>
    <row r="40" spans="2:13" x14ac:dyDescent="0.3">
      <c r="B40" s="50" t="str">
        <f>'Sites Master'!$B$6</f>
        <v>Site 05</v>
      </c>
      <c r="C40" s="50" t="str">
        <f>'Sites Master'!$A$6</f>
        <v>Mexico</v>
      </c>
      <c r="D40" s="50">
        <f>'Sites Master'!$C$6</f>
        <v>3</v>
      </c>
      <c r="E40" s="50" t="str">
        <f>'01_INPUTS'!$C$8</f>
        <v>A</v>
      </c>
      <c r="F40" s="50" t="str" cm="1">
        <f t="array" ref="F40">INDEX('Implementation Phases'!$B$2:$B$9,G40)</f>
        <v>UAT</v>
      </c>
      <c r="G40" s="50">
        <f>4</f>
        <v>4</v>
      </c>
      <c r="H40" s="50" cm="1">
        <f t="array" ref="H40">IFERROR(_xlfn.XLOOKUP(1,('Implementation Phases'!$A$2:$A$65=D40)*('Implementation Phases'!$D$2:$D$65=E40)*('Implementation Phases'!$C$2:$C$65=G40),'Implementation Phases'!$E$2:$E$65),0)</f>
        <v>1</v>
      </c>
      <c r="I40" s="57">
        <f t="shared" si="9"/>
        <v>46405</v>
      </c>
      <c r="J40" s="57">
        <f t="shared" si="7"/>
        <v>46411</v>
      </c>
      <c r="K40" s="50">
        <f>ROUNDUP((I40-'01_INPUTS'!$C$7+1)/7,0)</f>
        <v>23</v>
      </c>
      <c r="L40" s="50">
        <f>ROUNDUP((J40-'01_INPUTS'!$C$7+1)/7,0)</f>
        <v>23</v>
      </c>
      <c r="M40" s="52" t="str">
        <f t="shared" si="8"/>
        <v>Site 05|UAT</v>
      </c>
    </row>
    <row r="41" spans="2:13" x14ac:dyDescent="0.3">
      <c r="B41" s="50" t="str">
        <f>'Sites Master'!$B$6</f>
        <v>Site 05</v>
      </c>
      <c r="C41" s="50" t="str">
        <f>'Sites Master'!$A$6</f>
        <v>Mexico</v>
      </c>
      <c r="D41" s="50">
        <f>'Sites Master'!$C$6</f>
        <v>3</v>
      </c>
      <c r="E41" s="50" t="str">
        <f>'01_INPUTS'!$C$8</f>
        <v>A</v>
      </c>
      <c r="F41" s="50" t="str" cm="1">
        <f t="array" ref="F41">INDEX('Implementation Phases'!$B$2:$B$9,G41)</f>
        <v>Training</v>
      </c>
      <c r="G41" s="50">
        <f>5</f>
        <v>5</v>
      </c>
      <c r="H41" s="50" cm="1">
        <f t="array" ref="H41">IFERROR(_xlfn.XLOOKUP(1,('Implementation Phases'!$A$2:$A$65=D41)*('Implementation Phases'!$D$2:$D$65=E41)*('Implementation Phases'!$C$2:$C$65=G41),'Implementation Phases'!$E$2:$E$65),0)</f>
        <v>2</v>
      </c>
      <c r="I41" s="57">
        <f t="shared" si="9"/>
        <v>46412</v>
      </c>
      <c r="J41" s="57">
        <f t="shared" si="7"/>
        <v>46425</v>
      </c>
      <c r="K41" s="50">
        <f>ROUNDUP((I41-'01_INPUTS'!$C$7+1)/7,0)</f>
        <v>24</v>
      </c>
      <c r="L41" s="50">
        <f>ROUNDUP((J41-'01_INPUTS'!$C$7+1)/7,0)</f>
        <v>25</v>
      </c>
      <c r="M41" s="52" t="str">
        <f t="shared" si="8"/>
        <v>Site 05|Training</v>
      </c>
    </row>
    <row r="42" spans="2:13" x14ac:dyDescent="0.3">
      <c r="B42" s="50" t="str">
        <f>'Sites Master'!$B$6</f>
        <v>Site 05</v>
      </c>
      <c r="C42" s="50" t="str">
        <f>'Sites Master'!$A$6</f>
        <v>Mexico</v>
      </c>
      <c r="D42" s="50">
        <f>'Sites Master'!$C$6</f>
        <v>3</v>
      </c>
      <c r="E42" s="50" t="str">
        <f>'01_INPUTS'!$C$8</f>
        <v>A</v>
      </c>
      <c r="F42" s="50" t="str" cm="1">
        <f t="array" ref="F42">INDEX('Implementation Phases'!$B$2:$B$9,G42)</f>
        <v>DIALT</v>
      </c>
      <c r="G42" s="50">
        <f>6</f>
        <v>6</v>
      </c>
      <c r="H42" s="50" cm="1">
        <f t="array" ref="H42">IFERROR(_xlfn.XLOOKUP(1,('Implementation Phases'!$A$2:$A$65=D42)*('Implementation Phases'!$D$2:$D$65=E42)*('Implementation Phases'!$C$2:$C$65=G42),'Implementation Phases'!$E$2:$E$65),0)</f>
        <v>1</v>
      </c>
      <c r="I42" s="57">
        <f t="shared" si="9"/>
        <v>46426</v>
      </c>
      <c r="J42" s="57">
        <f t="shared" si="7"/>
        <v>46432</v>
      </c>
      <c r="K42" s="50">
        <f>ROUNDUP((I42-'01_INPUTS'!$C$7+1)/7,0)</f>
        <v>26</v>
      </c>
      <c r="L42" s="50">
        <f>ROUNDUP((J42-'01_INPUTS'!$C$7+1)/7,0)</f>
        <v>26</v>
      </c>
      <c r="M42" s="52" t="str">
        <f t="shared" si="8"/>
        <v>Site 05|DIALT</v>
      </c>
    </row>
    <row r="43" spans="2:13" x14ac:dyDescent="0.3">
      <c r="B43" s="50" t="str">
        <f>'Sites Master'!$B$6</f>
        <v>Site 05</v>
      </c>
      <c r="C43" s="50" t="str">
        <f>'Sites Master'!$A$6</f>
        <v>Mexico</v>
      </c>
      <c r="D43" s="50">
        <f>'Sites Master'!$C$6</f>
        <v>3</v>
      </c>
      <c r="E43" s="50" t="str">
        <f>'01_INPUTS'!$C$8</f>
        <v>A</v>
      </c>
      <c r="F43" s="50" t="str" cm="1">
        <f t="array" ref="F43">INDEX('Implementation Phases'!$B$2:$B$9,G43)</f>
        <v>Go Live</v>
      </c>
      <c r="G43" s="50">
        <f>7</f>
        <v>7</v>
      </c>
      <c r="H43" s="50" cm="1">
        <f t="array" ref="H43">IFERROR(_xlfn.XLOOKUP(1,('Implementation Phases'!$A$2:$A$65=D43)*('Implementation Phases'!$D$2:$D$65=E43)*('Implementation Phases'!$C$2:$C$65=G43),'Implementation Phases'!$E$2:$E$65),0)</f>
        <v>1</v>
      </c>
      <c r="I43" s="57">
        <f t="shared" si="9"/>
        <v>46433</v>
      </c>
      <c r="J43" s="57">
        <f t="shared" si="7"/>
        <v>46439</v>
      </c>
      <c r="K43" s="50">
        <f>ROUNDUP((I43-'01_INPUTS'!$C$7+1)/7,0)</f>
        <v>27</v>
      </c>
      <c r="L43" s="50">
        <f>ROUNDUP((J43-'01_INPUTS'!$C$7+1)/7,0)</f>
        <v>27</v>
      </c>
      <c r="M43" s="52" t="str">
        <f t="shared" si="8"/>
        <v>Site 05|Go Live</v>
      </c>
    </row>
    <row r="44" spans="2:13" x14ac:dyDescent="0.3">
      <c r="B44" s="50" t="str">
        <f>'Sites Master'!$B$6</f>
        <v>Site 05</v>
      </c>
      <c r="C44" s="50" t="str">
        <f>'Sites Master'!$A$6</f>
        <v>Mexico</v>
      </c>
      <c r="D44" s="50">
        <f>'Sites Master'!$C$6</f>
        <v>3</v>
      </c>
      <c r="E44" s="50" t="str">
        <f>'01_INPUTS'!$C$8</f>
        <v>A</v>
      </c>
      <c r="F44" s="50" t="str" cm="1">
        <f t="array" ref="F44">INDEX('Implementation Phases'!$B$2:$B$9,G44)</f>
        <v>Hypercare</v>
      </c>
      <c r="G44" s="50">
        <f>8</f>
        <v>8</v>
      </c>
      <c r="H44" s="50" cm="1">
        <f t="array" ref="H44">IFERROR(_xlfn.XLOOKUP(1,('Implementation Phases'!$A$2:$A$65=D44)*('Implementation Phases'!$D$2:$D$65=E44)*('Implementation Phases'!$C$2:$C$65=G44),'Implementation Phases'!$E$2:$E$65),0)</f>
        <v>4</v>
      </c>
      <c r="I44" s="57">
        <f t="shared" si="9"/>
        <v>46440</v>
      </c>
      <c r="J44" s="57">
        <f t="shared" si="7"/>
        <v>46467</v>
      </c>
      <c r="K44" s="50">
        <f>ROUNDUP((I44-'01_INPUTS'!$C$7+1)/7,0)</f>
        <v>28</v>
      </c>
      <c r="L44" s="50">
        <f>ROUNDUP((J44-'01_INPUTS'!$C$7+1)/7,0)</f>
        <v>31</v>
      </c>
      <c r="M44" s="52" t="str">
        <f t="shared" si="8"/>
        <v>Site 05|Hypercare</v>
      </c>
    </row>
    <row r="45" spans="2:13" x14ac:dyDescent="0.3">
      <c r="B45" s="53" t="str">
        <f>'Sites Master'!$B$7</f>
        <v>Site 06</v>
      </c>
      <c r="C45" s="53" t="str">
        <f>'Sites Master'!$A$7</f>
        <v>Mexico</v>
      </c>
      <c r="D45" s="53">
        <f>'Sites Master'!$C$7</f>
        <v>1</v>
      </c>
      <c r="E45" s="53" t="str">
        <f>'01_INPUTS'!$C$8</f>
        <v>A</v>
      </c>
      <c r="F45" s="53" t="str" cm="1">
        <f t="array" ref="F45">INDEX('Implementation Phases'!$B$2:$B$9,G45)</f>
        <v>Site Readiness</v>
      </c>
      <c r="G45" s="53">
        <f>1</f>
        <v>1</v>
      </c>
      <c r="H45" s="53" cm="1">
        <f t="array" ref="H45">IFERROR(_xlfn.XLOOKUP(1,('Implementation Phases'!$A$2:$A$65=D45)*('Implementation Phases'!$D$2:$D$65=E45)*('Implementation Phases'!$C$2:$C$65=G45),'Implementation Phases'!$E$2:$E$65),0)</f>
        <v>5</v>
      </c>
      <c r="I45" s="58">
        <f>INDEX($S$5:$S$19,MATCH(B45,$P$5:$P$19,0))</f>
        <v>46363</v>
      </c>
      <c r="J45" s="58">
        <f t="shared" si="7"/>
        <v>46397</v>
      </c>
      <c r="K45" s="53">
        <f>ROUNDUP((I45-'01_INPUTS'!$C$7+1)/7,0)</f>
        <v>17</v>
      </c>
      <c r="L45" s="53">
        <f>ROUNDUP((J45-'01_INPUTS'!$C$7+1)/7,0)</f>
        <v>21</v>
      </c>
      <c r="M45" s="52" t="str">
        <f t="shared" si="8"/>
        <v>Site 06|Site Readiness</v>
      </c>
    </row>
    <row r="46" spans="2:13" x14ac:dyDescent="0.3">
      <c r="B46" s="53" t="str">
        <f>'Sites Master'!$B$7</f>
        <v>Site 06</v>
      </c>
      <c r="C46" s="53" t="str">
        <f>'Sites Master'!$A$7</f>
        <v>Mexico</v>
      </c>
      <c r="D46" s="53">
        <f>'Sites Master'!$C$7</f>
        <v>1</v>
      </c>
      <c r="E46" s="53" t="str">
        <f>'01_INPUTS'!$C$8</f>
        <v>A</v>
      </c>
      <c r="F46" s="53" t="str" cm="1">
        <f t="array" ref="F46">INDEX('Implementation Phases'!$B$2:$B$9,G46)</f>
        <v>Design Adaptation</v>
      </c>
      <c r="G46" s="53">
        <f>2</f>
        <v>2</v>
      </c>
      <c r="H46" s="53" cm="1">
        <f t="array" ref="H46">IFERROR(_xlfn.XLOOKUP(1,('Implementation Phases'!$A$2:$A$65=D46)*('Implementation Phases'!$D$2:$D$65=E46)*('Implementation Phases'!$C$2:$C$65=G46),'Implementation Phases'!$E$2:$E$65),0)</f>
        <v>2</v>
      </c>
      <c r="I46" s="58">
        <f t="shared" ref="I46:I52" si="10">J45+1</f>
        <v>46398</v>
      </c>
      <c r="J46" s="58">
        <f t="shared" si="7"/>
        <v>46411</v>
      </c>
      <c r="K46" s="53">
        <f>ROUNDUP((I46-'01_INPUTS'!$C$7+1)/7,0)</f>
        <v>22</v>
      </c>
      <c r="L46" s="53">
        <f>ROUNDUP((J46-'01_INPUTS'!$C$7+1)/7,0)</f>
        <v>23</v>
      </c>
      <c r="M46" s="52" t="str">
        <f t="shared" si="8"/>
        <v>Site 06|Design Adaptation</v>
      </c>
    </row>
    <row r="47" spans="2:13" x14ac:dyDescent="0.3">
      <c r="B47" s="53" t="str">
        <f>'Sites Master'!$B$7</f>
        <v>Site 06</v>
      </c>
      <c r="C47" s="53" t="str">
        <f>'Sites Master'!$A$7</f>
        <v>Mexico</v>
      </c>
      <c r="D47" s="53">
        <f>'Sites Master'!$C$7</f>
        <v>1</v>
      </c>
      <c r="E47" s="53" t="str">
        <f>'01_INPUTS'!$C$8</f>
        <v>A</v>
      </c>
      <c r="F47" s="53" t="str" cm="1">
        <f t="array" ref="F47">INDEX('Implementation Phases'!$B$2:$B$9,G47)</f>
        <v>Functional Review</v>
      </c>
      <c r="G47" s="53">
        <f>3</f>
        <v>3</v>
      </c>
      <c r="H47" s="53" cm="1">
        <f t="array" ref="H47">IFERROR(_xlfn.XLOOKUP(1,('Implementation Phases'!$A$2:$A$65=D47)*('Implementation Phases'!$D$2:$D$65=E47)*('Implementation Phases'!$C$2:$C$65=G47),'Implementation Phases'!$E$2:$E$65),0)</f>
        <v>1</v>
      </c>
      <c r="I47" s="58">
        <f t="shared" si="10"/>
        <v>46412</v>
      </c>
      <c r="J47" s="58">
        <f t="shared" si="7"/>
        <v>46418</v>
      </c>
      <c r="K47" s="53">
        <f>ROUNDUP((I47-'01_INPUTS'!$C$7+1)/7,0)</f>
        <v>24</v>
      </c>
      <c r="L47" s="53">
        <f>ROUNDUP((J47-'01_INPUTS'!$C$7+1)/7,0)</f>
        <v>24</v>
      </c>
      <c r="M47" s="52" t="str">
        <f t="shared" si="8"/>
        <v>Site 06|Functional Review</v>
      </c>
    </row>
    <row r="48" spans="2:13" x14ac:dyDescent="0.3">
      <c r="B48" s="53" t="str">
        <f>'Sites Master'!$B$7</f>
        <v>Site 06</v>
      </c>
      <c r="C48" s="53" t="str">
        <f>'Sites Master'!$A$7</f>
        <v>Mexico</v>
      </c>
      <c r="D48" s="53">
        <f>'Sites Master'!$C$7</f>
        <v>1</v>
      </c>
      <c r="E48" s="53" t="str">
        <f>'01_INPUTS'!$C$8</f>
        <v>A</v>
      </c>
      <c r="F48" s="53" t="str" cm="1">
        <f t="array" ref="F48">INDEX('Implementation Phases'!$B$2:$B$9,G48)</f>
        <v>UAT</v>
      </c>
      <c r="G48" s="53">
        <f>4</f>
        <v>4</v>
      </c>
      <c r="H48" s="53" cm="1">
        <f t="array" ref="H48">IFERROR(_xlfn.XLOOKUP(1,('Implementation Phases'!$A$2:$A$65=D48)*('Implementation Phases'!$D$2:$D$65=E48)*('Implementation Phases'!$C$2:$C$65=G48),'Implementation Phases'!$E$2:$E$65),0)</f>
        <v>2</v>
      </c>
      <c r="I48" s="58">
        <f t="shared" si="10"/>
        <v>46419</v>
      </c>
      <c r="J48" s="58">
        <f t="shared" si="7"/>
        <v>46432</v>
      </c>
      <c r="K48" s="53">
        <f>ROUNDUP((I48-'01_INPUTS'!$C$7+1)/7,0)</f>
        <v>25</v>
      </c>
      <c r="L48" s="53">
        <f>ROUNDUP((J48-'01_INPUTS'!$C$7+1)/7,0)</f>
        <v>26</v>
      </c>
      <c r="M48" s="52" t="str">
        <f t="shared" si="8"/>
        <v>Site 06|UAT</v>
      </c>
    </row>
    <row r="49" spans="2:13" x14ac:dyDescent="0.3">
      <c r="B49" s="53" t="str">
        <f>'Sites Master'!$B$7</f>
        <v>Site 06</v>
      </c>
      <c r="C49" s="53" t="str">
        <f>'Sites Master'!$A$7</f>
        <v>Mexico</v>
      </c>
      <c r="D49" s="53">
        <f>'Sites Master'!$C$7</f>
        <v>1</v>
      </c>
      <c r="E49" s="53" t="str">
        <f>'01_INPUTS'!$C$8</f>
        <v>A</v>
      </c>
      <c r="F49" s="53" t="str" cm="1">
        <f t="array" ref="F49">INDEX('Implementation Phases'!$B$2:$B$9,G49)</f>
        <v>Training</v>
      </c>
      <c r="G49" s="53">
        <f>5</f>
        <v>5</v>
      </c>
      <c r="H49" s="53" cm="1">
        <f t="array" ref="H49">IFERROR(_xlfn.XLOOKUP(1,('Implementation Phases'!$A$2:$A$65=D49)*('Implementation Phases'!$D$2:$D$65=E49)*('Implementation Phases'!$C$2:$C$65=G49),'Implementation Phases'!$E$2:$E$65),0)</f>
        <v>3</v>
      </c>
      <c r="I49" s="58">
        <f t="shared" si="10"/>
        <v>46433</v>
      </c>
      <c r="J49" s="58">
        <f t="shared" si="7"/>
        <v>46453</v>
      </c>
      <c r="K49" s="53">
        <f>ROUNDUP((I49-'01_INPUTS'!$C$7+1)/7,0)</f>
        <v>27</v>
      </c>
      <c r="L49" s="53">
        <f>ROUNDUP((J49-'01_INPUTS'!$C$7+1)/7,0)</f>
        <v>29</v>
      </c>
      <c r="M49" s="52" t="str">
        <f t="shared" si="8"/>
        <v>Site 06|Training</v>
      </c>
    </row>
    <row r="50" spans="2:13" x14ac:dyDescent="0.3">
      <c r="B50" s="53" t="str">
        <f>'Sites Master'!$B$7</f>
        <v>Site 06</v>
      </c>
      <c r="C50" s="53" t="str">
        <f>'Sites Master'!$A$7</f>
        <v>Mexico</v>
      </c>
      <c r="D50" s="53">
        <f>'Sites Master'!$C$7</f>
        <v>1</v>
      </c>
      <c r="E50" s="53" t="str">
        <f>'01_INPUTS'!$C$8</f>
        <v>A</v>
      </c>
      <c r="F50" s="53" t="str" cm="1">
        <f t="array" ref="F50">INDEX('Implementation Phases'!$B$2:$B$9,G50)</f>
        <v>DIALT</v>
      </c>
      <c r="G50" s="53">
        <f>6</f>
        <v>6</v>
      </c>
      <c r="H50" s="53" cm="1">
        <f t="array" ref="H50">IFERROR(_xlfn.XLOOKUP(1,('Implementation Phases'!$A$2:$A$65=D50)*('Implementation Phases'!$D$2:$D$65=E50)*('Implementation Phases'!$C$2:$C$65=G50),'Implementation Phases'!$E$2:$E$65),0)</f>
        <v>1</v>
      </c>
      <c r="I50" s="58">
        <f t="shared" si="10"/>
        <v>46454</v>
      </c>
      <c r="J50" s="58">
        <f t="shared" si="7"/>
        <v>46460</v>
      </c>
      <c r="K50" s="53">
        <f>ROUNDUP((I50-'01_INPUTS'!$C$7+1)/7,0)</f>
        <v>30</v>
      </c>
      <c r="L50" s="53">
        <f>ROUNDUP((J50-'01_INPUTS'!$C$7+1)/7,0)</f>
        <v>30</v>
      </c>
      <c r="M50" s="52" t="str">
        <f t="shared" si="8"/>
        <v>Site 06|DIALT</v>
      </c>
    </row>
    <row r="51" spans="2:13" x14ac:dyDescent="0.3">
      <c r="B51" s="53" t="str">
        <f>'Sites Master'!$B$7</f>
        <v>Site 06</v>
      </c>
      <c r="C51" s="53" t="str">
        <f>'Sites Master'!$A$7</f>
        <v>Mexico</v>
      </c>
      <c r="D51" s="53">
        <f>'Sites Master'!$C$7</f>
        <v>1</v>
      </c>
      <c r="E51" s="53" t="str">
        <f>'01_INPUTS'!$C$8</f>
        <v>A</v>
      </c>
      <c r="F51" s="53" t="str" cm="1">
        <f t="array" ref="F51">INDEX('Implementation Phases'!$B$2:$B$9,G51)</f>
        <v>Go Live</v>
      </c>
      <c r="G51" s="53">
        <f>7</f>
        <v>7</v>
      </c>
      <c r="H51" s="53" cm="1">
        <f t="array" ref="H51">IFERROR(_xlfn.XLOOKUP(1,('Implementation Phases'!$A$2:$A$65=D51)*('Implementation Phases'!$D$2:$D$65=E51)*('Implementation Phases'!$C$2:$C$65=G51),'Implementation Phases'!$E$2:$E$65),0)</f>
        <v>1</v>
      </c>
      <c r="I51" s="58">
        <f t="shared" si="10"/>
        <v>46461</v>
      </c>
      <c r="J51" s="58">
        <f t="shared" si="7"/>
        <v>46467</v>
      </c>
      <c r="K51" s="53">
        <f>ROUNDUP((I51-'01_INPUTS'!$C$7+1)/7,0)</f>
        <v>31</v>
      </c>
      <c r="L51" s="53">
        <f>ROUNDUP((J51-'01_INPUTS'!$C$7+1)/7,0)</f>
        <v>31</v>
      </c>
      <c r="M51" s="52" t="str">
        <f t="shared" si="8"/>
        <v>Site 06|Go Live</v>
      </c>
    </row>
    <row r="52" spans="2:13" x14ac:dyDescent="0.3">
      <c r="B52" s="53" t="str">
        <f>'Sites Master'!$B$7</f>
        <v>Site 06</v>
      </c>
      <c r="C52" s="53" t="str">
        <f>'Sites Master'!$A$7</f>
        <v>Mexico</v>
      </c>
      <c r="D52" s="53">
        <f>'Sites Master'!$C$7</f>
        <v>1</v>
      </c>
      <c r="E52" s="53" t="str">
        <f>'01_INPUTS'!$C$8</f>
        <v>A</v>
      </c>
      <c r="F52" s="53" t="str" cm="1">
        <f t="array" ref="F52">INDEX('Implementation Phases'!$B$2:$B$9,G52)</f>
        <v>Hypercare</v>
      </c>
      <c r="G52" s="53">
        <f>8</f>
        <v>8</v>
      </c>
      <c r="H52" s="53" cm="1">
        <f t="array" ref="H52">IFERROR(_xlfn.XLOOKUP(1,('Implementation Phases'!$A$2:$A$65=D52)*('Implementation Phases'!$D$2:$D$65=E52)*('Implementation Phases'!$C$2:$C$65=G52),'Implementation Phases'!$E$2:$E$65),0)</f>
        <v>4</v>
      </c>
      <c r="I52" s="58">
        <f t="shared" si="10"/>
        <v>46468</v>
      </c>
      <c r="J52" s="58">
        <f t="shared" si="7"/>
        <v>46495</v>
      </c>
      <c r="K52" s="53">
        <f>ROUNDUP((I52-'01_INPUTS'!$C$7+1)/7,0)</f>
        <v>32</v>
      </c>
      <c r="L52" s="53">
        <f>ROUNDUP((J52-'01_INPUTS'!$C$7+1)/7,0)</f>
        <v>35</v>
      </c>
      <c r="M52" s="52" t="str">
        <f t="shared" si="8"/>
        <v>Site 06|Hypercare</v>
      </c>
    </row>
    <row r="53" spans="2:13" x14ac:dyDescent="0.3">
      <c r="B53" s="50" t="str">
        <f>'Sites Master'!$B$8</f>
        <v>Site 07</v>
      </c>
      <c r="C53" s="50" t="str">
        <f>'Sites Master'!$A$8</f>
        <v>Mexico</v>
      </c>
      <c r="D53" s="50">
        <f>'Sites Master'!$C$8</f>
        <v>2</v>
      </c>
      <c r="E53" s="50" t="str">
        <f>'01_INPUTS'!$C$8</f>
        <v>A</v>
      </c>
      <c r="F53" s="50" t="str" cm="1">
        <f t="array" ref="F53">INDEX('Implementation Phases'!$B$2:$B$9,G53)</f>
        <v>Site Readiness</v>
      </c>
      <c r="G53" s="50">
        <f>1</f>
        <v>1</v>
      </c>
      <c r="H53" s="50" cm="1">
        <f t="array" ref="H53">IFERROR(_xlfn.XLOOKUP(1,('Implementation Phases'!$A$2:$A$65=D53)*('Implementation Phases'!$D$2:$D$65=E53)*('Implementation Phases'!$C$2:$C$65=G53),'Implementation Phases'!$E$2:$E$65),0)</f>
        <v>4</v>
      </c>
      <c r="I53" s="57">
        <f>INDEX($S$5:$S$19,MATCH(B53,$P$5:$P$19,0))</f>
        <v>46475</v>
      </c>
      <c r="J53" s="57">
        <f t="shared" si="7"/>
        <v>46502</v>
      </c>
      <c r="K53" s="50">
        <f>ROUNDUP((I53-'01_INPUTS'!$C$7+1)/7,0)</f>
        <v>33</v>
      </c>
      <c r="L53" s="50">
        <f>ROUNDUP((J53-'01_INPUTS'!$C$7+1)/7,0)</f>
        <v>36</v>
      </c>
      <c r="M53" s="52" t="str">
        <f t="shared" si="8"/>
        <v>Site 07|Site Readiness</v>
      </c>
    </row>
    <row r="54" spans="2:13" x14ac:dyDescent="0.3">
      <c r="B54" s="50" t="str">
        <f>'Sites Master'!$B$8</f>
        <v>Site 07</v>
      </c>
      <c r="C54" s="50" t="str">
        <f>'Sites Master'!$A$8</f>
        <v>Mexico</v>
      </c>
      <c r="D54" s="50">
        <f>'Sites Master'!$C$8</f>
        <v>2</v>
      </c>
      <c r="E54" s="50" t="str">
        <f>'01_INPUTS'!$C$8</f>
        <v>A</v>
      </c>
      <c r="F54" s="50" t="str" cm="1">
        <f t="array" ref="F54">INDEX('Implementation Phases'!$B$2:$B$9,G54)</f>
        <v>Design Adaptation</v>
      </c>
      <c r="G54" s="50">
        <f>2</f>
        <v>2</v>
      </c>
      <c r="H54" s="50" cm="1">
        <f t="array" ref="H54">IFERROR(_xlfn.XLOOKUP(1,('Implementation Phases'!$A$2:$A$65=D54)*('Implementation Phases'!$D$2:$D$65=E54)*('Implementation Phases'!$C$2:$C$65=G54),'Implementation Phases'!$E$2:$E$65),0)</f>
        <v>1</v>
      </c>
      <c r="I54" s="57">
        <f t="shared" ref="I54:I60" si="11">J53+1</f>
        <v>46503</v>
      </c>
      <c r="J54" s="57">
        <f t="shared" si="7"/>
        <v>46509</v>
      </c>
      <c r="K54" s="50">
        <f>ROUNDUP((I54-'01_INPUTS'!$C$7+1)/7,0)</f>
        <v>37</v>
      </c>
      <c r="L54" s="50">
        <f>ROUNDUP((J54-'01_INPUTS'!$C$7+1)/7,0)</f>
        <v>37</v>
      </c>
      <c r="M54" s="52" t="str">
        <f t="shared" si="8"/>
        <v>Site 07|Design Adaptation</v>
      </c>
    </row>
    <row r="55" spans="2:13" x14ac:dyDescent="0.3">
      <c r="B55" s="50" t="str">
        <f>'Sites Master'!$B$8</f>
        <v>Site 07</v>
      </c>
      <c r="C55" s="50" t="str">
        <f>'Sites Master'!$A$8</f>
        <v>Mexico</v>
      </c>
      <c r="D55" s="50">
        <f>'Sites Master'!$C$8</f>
        <v>2</v>
      </c>
      <c r="E55" s="50" t="str">
        <f>'01_INPUTS'!$C$8</f>
        <v>A</v>
      </c>
      <c r="F55" s="50" t="str" cm="1">
        <f t="array" ref="F55">INDEX('Implementation Phases'!$B$2:$B$9,G55)</f>
        <v>Functional Review</v>
      </c>
      <c r="G55" s="50">
        <f>3</f>
        <v>3</v>
      </c>
      <c r="H55" s="50" cm="1">
        <f t="array" ref="H55">IFERROR(_xlfn.XLOOKUP(1,('Implementation Phases'!$A$2:$A$65=D55)*('Implementation Phases'!$D$2:$D$65=E55)*('Implementation Phases'!$C$2:$C$65=G55),'Implementation Phases'!$E$2:$E$65),0)</f>
        <v>1</v>
      </c>
      <c r="I55" s="57">
        <f t="shared" si="11"/>
        <v>46510</v>
      </c>
      <c r="J55" s="57">
        <f t="shared" si="7"/>
        <v>46516</v>
      </c>
      <c r="K55" s="50">
        <f>ROUNDUP((I55-'01_INPUTS'!$C$7+1)/7,0)</f>
        <v>38</v>
      </c>
      <c r="L55" s="50">
        <f>ROUNDUP((J55-'01_INPUTS'!$C$7+1)/7,0)</f>
        <v>38</v>
      </c>
      <c r="M55" s="52" t="str">
        <f t="shared" si="8"/>
        <v>Site 07|Functional Review</v>
      </c>
    </row>
    <row r="56" spans="2:13" x14ac:dyDescent="0.3">
      <c r="B56" s="50" t="str">
        <f>'Sites Master'!$B$8</f>
        <v>Site 07</v>
      </c>
      <c r="C56" s="50" t="str">
        <f>'Sites Master'!$A$8</f>
        <v>Mexico</v>
      </c>
      <c r="D56" s="50">
        <f>'Sites Master'!$C$8</f>
        <v>2</v>
      </c>
      <c r="E56" s="50" t="str">
        <f>'01_INPUTS'!$C$8</f>
        <v>A</v>
      </c>
      <c r="F56" s="50" t="str" cm="1">
        <f t="array" ref="F56">INDEX('Implementation Phases'!$B$2:$B$9,G56)</f>
        <v>UAT</v>
      </c>
      <c r="G56" s="50">
        <f>4</f>
        <v>4</v>
      </c>
      <c r="H56" s="50" cm="1">
        <f t="array" ref="H56">IFERROR(_xlfn.XLOOKUP(1,('Implementation Phases'!$A$2:$A$65=D56)*('Implementation Phases'!$D$2:$D$65=E56)*('Implementation Phases'!$C$2:$C$65=G56),'Implementation Phases'!$E$2:$E$65),0)</f>
        <v>2</v>
      </c>
      <c r="I56" s="57">
        <f t="shared" si="11"/>
        <v>46517</v>
      </c>
      <c r="J56" s="57">
        <f t="shared" si="7"/>
        <v>46530</v>
      </c>
      <c r="K56" s="50">
        <f>ROUNDUP((I56-'01_INPUTS'!$C$7+1)/7,0)</f>
        <v>39</v>
      </c>
      <c r="L56" s="50">
        <f>ROUNDUP((J56-'01_INPUTS'!$C$7+1)/7,0)</f>
        <v>40</v>
      </c>
      <c r="M56" s="52" t="str">
        <f t="shared" si="8"/>
        <v>Site 07|UAT</v>
      </c>
    </row>
    <row r="57" spans="2:13" x14ac:dyDescent="0.3">
      <c r="B57" s="50" t="str">
        <f>'Sites Master'!$B$8</f>
        <v>Site 07</v>
      </c>
      <c r="C57" s="50" t="str">
        <f>'Sites Master'!$A$8</f>
        <v>Mexico</v>
      </c>
      <c r="D57" s="50">
        <f>'Sites Master'!$C$8</f>
        <v>2</v>
      </c>
      <c r="E57" s="50" t="str">
        <f>'01_INPUTS'!$C$8</f>
        <v>A</v>
      </c>
      <c r="F57" s="50" t="str" cm="1">
        <f t="array" ref="F57">INDEX('Implementation Phases'!$B$2:$B$9,G57)</f>
        <v>Training</v>
      </c>
      <c r="G57" s="50">
        <f>5</f>
        <v>5</v>
      </c>
      <c r="H57" s="50" cm="1">
        <f t="array" ref="H57">IFERROR(_xlfn.XLOOKUP(1,('Implementation Phases'!$A$2:$A$65=D57)*('Implementation Phases'!$D$2:$D$65=E57)*('Implementation Phases'!$C$2:$C$65=G57),'Implementation Phases'!$E$2:$E$65),0)</f>
        <v>2</v>
      </c>
      <c r="I57" s="57">
        <f t="shared" si="11"/>
        <v>46531</v>
      </c>
      <c r="J57" s="57">
        <f t="shared" si="7"/>
        <v>46544</v>
      </c>
      <c r="K57" s="50">
        <f>ROUNDUP((I57-'01_INPUTS'!$C$7+1)/7,0)</f>
        <v>41</v>
      </c>
      <c r="L57" s="50">
        <f>ROUNDUP((J57-'01_INPUTS'!$C$7+1)/7,0)</f>
        <v>42</v>
      </c>
      <c r="M57" s="52" t="str">
        <f t="shared" si="8"/>
        <v>Site 07|Training</v>
      </c>
    </row>
    <row r="58" spans="2:13" x14ac:dyDescent="0.3">
      <c r="B58" s="50" t="str">
        <f>'Sites Master'!$B$8</f>
        <v>Site 07</v>
      </c>
      <c r="C58" s="50" t="str">
        <f>'Sites Master'!$A$8</f>
        <v>Mexico</v>
      </c>
      <c r="D58" s="50">
        <f>'Sites Master'!$C$8</f>
        <v>2</v>
      </c>
      <c r="E58" s="50" t="str">
        <f>'01_INPUTS'!$C$8</f>
        <v>A</v>
      </c>
      <c r="F58" s="50" t="str" cm="1">
        <f t="array" ref="F58">INDEX('Implementation Phases'!$B$2:$B$9,G58)</f>
        <v>DIALT</v>
      </c>
      <c r="G58" s="50">
        <f>6</f>
        <v>6</v>
      </c>
      <c r="H58" s="50" cm="1">
        <f t="array" ref="H58">IFERROR(_xlfn.XLOOKUP(1,('Implementation Phases'!$A$2:$A$65=D58)*('Implementation Phases'!$D$2:$D$65=E58)*('Implementation Phases'!$C$2:$C$65=G58),'Implementation Phases'!$E$2:$E$65),0)</f>
        <v>1</v>
      </c>
      <c r="I58" s="57">
        <f t="shared" si="11"/>
        <v>46545</v>
      </c>
      <c r="J58" s="57">
        <f t="shared" si="7"/>
        <v>46551</v>
      </c>
      <c r="K58" s="50">
        <f>ROUNDUP((I58-'01_INPUTS'!$C$7+1)/7,0)</f>
        <v>43</v>
      </c>
      <c r="L58" s="50">
        <f>ROUNDUP((J58-'01_INPUTS'!$C$7+1)/7,0)</f>
        <v>43</v>
      </c>
      <c r="M58" s="52" t="str">
        <f t="shared" si="8"/>
        <v>Site 07|DIALT</v>
      </c>
    </row>
    <row r="59" spans="2:13" x14ac:dyDescent="0.3">
      <c r="B59" s="50" t="str">
        <f>'Sites Master'!$B$8</f>
        <v>Site 07</v>
      </c>
      <c r="C59" s="50" t="str">
        <f>'Sites Master'!$A$8</f>
        <v>Mexico</v>
      </c>
      <c r="D59" s="50">
        <f>'Sites Master'!$C$8</f>
        <v>2</v>
      </c>
      <c r="E59" s="50" t="str">
        <f>'01_INPUTS'!$C$8</f>
        <v>A</v>
      </c>
      <c r="F59" s="50" t="str" cm="1">
        <f t="array" ref="F59">INDEX('Implementation Phases'!$B$2:$B$9,G59)</f>
        <v>Go Live</v>
      </c>
      <c r="G59" s="50">
        <f>7</f>
        <v>7</v>
      </c>
      <c r="H59" s="50" cm="1">
        <f t="array" ref="H59">IFERROR(_xlfn.XLOOKUP(1,('Implementation Phases'!$A$2:$A$65=D59)*('Implementation Phases'!$D$2:$D$65=E59)*('Implementation Phases'!$C$2:$C$65=G59),'Implementation Phases'!$E$2:$E$65),0)</f>
        <v>1</v>
      </c>
      <c r="I59" s="57">
        <f t="shared" si="11"/>
        <v>46552</v>
      </c>
      <c r="J59" s="57">
        <f t="shared" si="7"/>
        <v>46558</v>
      </c>
      <c r="K59" s="50">
        <f>ROUNDUP((I59-'01_INPUTS'!$C$7+1)/7,0)</f>
        <v>44</v>
      </c>
      <c r="L59" s="50">
        <f>ROUNDUP((J59-'01_INPUTS'!$C$7+1)/7,0)</f>
        <v>44</v>
      </c>
      <c r="M59" s="52" t="str">
        <f t="shared" si="8"/>
        <v>Site 07|Go Live</v>
      </c>
    </row>
    <row r="60" spans="2:13" x14ac:dyDescent="0.3">
      <c r="B60" s="50" t="str">
        <f>'Sites Master'!$B$8</f>
        <v>Site 07</v>
      </c>
      <c r="C60" s="50" t="str">
        <f>'Sites Master'!$A$8</f>
        <v>Mexico</v>
      </c>
      <c r="D60" s="50">
        <f>'Sites Master'!$C$8</f>
        <v>2</v>
      </c>
      <c r="E60" s="50" t="str">
        <f>'01_INPUTS'!$C$8</f>
        <v>A</v>
      </c>
      <c r="F60" s="50" t="str" cm="1">
        <f t="array" ref="F60">INDEX('Implementation Phases'!$B$2:$B$9,G60)</f>
        <v>Hypercare</v>
      </c>
      <c r="G60" s="50">
        <f>8</f>
        <v>8</v>
      </c>
      <c r="H60" s="50" cm="1">
        <f t="array" ref="H60">IFERROR(_xlfn.XLOOKUP(1,('Implementation Phases'!$A$2:$A$65=D60)*('Implementation Phases'!$D$2:$D$65=E60)*('Implementation Phases'!$C$2:$C$65=G60),'Implementation Phases'!$E$2:$E$65),0)</f>
        <v>4</v>
      </c>
      <c r="I60" s="57">
        <f t="shared" si="11"/>
        <v>46559</v>
      </c>
      <c r="J60" s="57">
        <f t="shared" si="7"/>
        <v>46586</v>
      </c>
      <c r="K60" s="50">
        <f>ROUNDUP((I60-'01_INPUTS'!$C$7+1)/7,0)</f>
        <v>45</v>
      </c>
      <c r="L60" s="50">
        <f>ROUNDUP((J60-'01_INPUTS'!$C$7+1)/7,0)</f>
        <v>48</v>
      </c>
      <c r="M60" s="52" t="str">
        <f t="shared" si="8"/>
        <v>Site 07|Hypercare</v>
      </c>
    </row>
    <row r="61" spans="2:13" x14ac:dyDescent="0.3">
      <c r="B61" s="53" t="str">
        <f>'Sites Master'!$B$9</f>
        <v>Site 08</v>
      </c>
      <c r="C61" s="53" t="str">
        <f>'Sites Master'!$A$9</f>
        <v>Colombia</v>
      </c>
      <c r="D61" s="53">
        <f>'Sites Master'!$C$9</f>
        <v>1</v>
      </c>
      <c r="E61" s="53" t="str">
        <f>'01_INPUTS'!$C$8</f>
        <v>A</v>
      </c>
      <c r="F61" s="53" t="str" cm="1">
        <f t="array" ref="F61">INDEX('Implementation Phases'!$B$2:$B$9,G61)</f>
        <v>Site Readiness</v>
      </c>
      <c r="G61" s="53">
        <f>1</f>
        <v>1</v>
      </c>
      <c r="H61" s="53" cm="1">
        <f t="array" ref="H61">IFERROR(_xlfn.XLOOKUP(1,('Implementation Phases'!$A$2:$A$65=D61)*('Implementation Phases'!$D$2:$D$65=E61)*('Implementation Phases'!$C$2:$C$65=G61),'Implementation Phases'!$E$2:$E$65),0)</f>
        <v>5</v>
      </c>
      <c r="I61" s="58">
        <f>INDEX($S$5:$S$19,MATCH(B61,$P$5:$P$19,0))</f>
        <v>46468</v>
      </c>
      <c r="J61" s="58">
        <f t="shared" si="7"/>
        <v>46502</v>
      </c>
      <c r="K61" s="53">
        <f>ROUNDUP((I61-'01_INPUTS'!$C$7+1)/7,0)</f>
        <v>32</v>
      </c>
      <c r="L61" s="53">
        <f>ROUNDUP((J61-'01_INPUTS'!$C$7+1)/7,0)</f>
        <v>36</v>
      </c>
      <c r="M61" s="52" t="str">
        <f t="shared" si="8"/>
        <v>Site 08|Site Readiness</v>
      </c>
    </row>
    <row r="62" spans="2:13" x14ac:dyDescent="0.3">
      <c r="B62" s="53" t="str">
        <f>'Sites Master'!$B$9</f>
        <v>Site 08</v>
      </c>
      <c r="C62" s="53" t="str">
        <f>'Sites Master'!$A$9</f>
        <v>Colombia</v>
      </c>
      <c r="D62" s="53">
        <f>'Sites Master'!$C$9</f>
        <v>1</v>
      </c>
      <c r="E62" s="53" t="str">
        <f>'01_INPUTS'!$C$8</f>
        <v>A</v>
      </c>
      <c r="F62" s="53" t="str" cm="1">
        <f t="array" ref="F62">INDEX('Implementation Phases'!$B$2:$B$9,G62)</f>
        <v>Design Adaptation</v>
      </c>
      <c r="G62" s="53">
        <f>2</f>
        <v>2</v>
      </c>
      <c r="H62" s="53" cm="1">
        <f t="array" ref="H62">IFERROR(_xlfn.XLOOKUP(1,('Implementation Phases'!$A$2:$A$65=D62)*('Implementation Phases'!$D$2:$D$65=E62)*('Implementation Phases'!$C$2:$C$65=G62),'Implementation Phases'!$E$2:$E$65),0)</f>
        <v>2</v>
      </c>
      <c r="I62" s="58">
        <f t="shared" ref="I62:I68" si="12">J61+1</f>
        <v>46503</v>
      </c>
      <c r="J62" s="58">
        <f t="shared" si="7"/>
        <v>46516</v>
      </c>
      <c r="K62" s="53">
        <f>ROUNDUP((I62-'01_INPUTS'!$C$7+1)/7,0)</f>
        <v>37</v>
      </c>
      <c r="L62" s="53">
        <f>ROUNDUP((J62-'01_INPUTS'!$C$7+1)/7,0)</f>
        <v>38</v>
      </c>
      <c r="M62" s="52" t="str">
        <f t="shared" si="8"/>
        <v>Site 08|Design Adaptation</v>
      </c>
    </row>
    <row r="63" spans="2:13" x14ac:dyDescent="0.3">
      <c r="B63" s="53" t="str">
        <f>'Sites Master'!$B$9</f>
        <v>Site 08</v>
      </c>
      <c r="C63" s="53" t="str">
        <f>'Sites Master'!$A$9</f>
        <v>Colombia</v>
      </c>
      <c r="D63" s="53">
        <f>'Sites Master'!$C$9</f>
        <v>1</v>
      </c>
      <c r="E63" s="53" t="str">
        <f>'01_INPUTS'!$C$8</f>
        <v>A</v>
      </c>
      <c r="F63" s="53" t="str" cm="1">
        <f t="array" ref="F63">INDEX('Implementation Phases'!$B$2:$B$9,G63)</f>
        <v>Functional Review</v>
      </c>
      <c r="G63" s="53">
        <f>3</f>
        <v>3</v>
      </c>
      <c r="H63" s="53" cm="1">
        <f t="array" ref="H63">IFERROR(_xlfn.XLOOKUP(1,('Implementation Phases'!$A$2:$A$65=D63)*('Implementation Phases'!$D$2:$D$65=E63)*('Implementation Phases'!$C$2:$C$65=G63),'Implementation Phases'!$E$2:$E$65),0)</f>
        <v>1</v>
      </c>
      <c r="I63" s="58">
        <f t="shared" si="12"/>
        <v>46517</v>
      </c>
      <c r="J63" s="58">
        <f t="shared" si="7"/>
        <v>46523</v>
      </c>
      <c r="K63" s="53">
        <f>ROUNDUP((I63-'01_INPUTS'!$C$7+1)/7,0)</f>
        <v>39</v>
      </c>
      <c r="L63" s="53">
        <f>ROUNDUP((J63-'01_INPUTS'!$C$7+1)/7,0)</f>
        <v>39</v>
      </c>
      <c r="M63" s="52" t="str">
        <f t="shared" si="8"/>
        <v>Site 08|Functional Review</v>
      </c>
    </row>
    <row r="64" spans="2:13" x14ac:dyDescent="0.3">
      <c r="B64" s="53" t="str">
        <f>'Sites Master'!$B$9</f>
        <v>Site 08</v>
      </c>
      <c r="C64" s="53" t="str">
        <f>'Sites Master'!$A$9</f>
        <v>Colombia</v>
      </c>
      <c r="D64" s="53">
        <f>'Sites Master'!$C$9</f>
        <v>1</v>
      </c>
      <c r="E64" s="53" t="str">
        <f>'01_INPUTS'!$C$8</f>
        <v>A</v>
      </c>
      <c r="F64" s="53" t="str" cm="1">
        <f t="array" ref="F64">INDEX('Implementation Phases'!$B$2:$B$9,G64)</f>
        <v>UAT</v>
      </c>
      <c r="G64" s="53">
        <f>4</f>
        <v>4</v>
      </c>
      <c r="H64" s="53" cm="1">
        <f t="array" ref="H64">IFERROR(_xlfn.XLOOKUP(1,('Implementation Phases'!$A$2:$A$65=D64)*('Implementation Phases'!$D$2:$D$65=E64)*('Implementation Phases'!$C$2:$C$65=G64),'Implementation Phases'!$E$2:$E$65),0)</f>
        <v>2</v>
      </c>
      <c r="I64" s="58">
        <f t="shared" si="12"/>
        <v>46524</v>
      </c>
      <c r="J64" s="58">
        <f t="shared" si="7"/>
        <v>46537</v>
      </c>
      <c r="K64" s="53">
        <f>ROUNDUP((I64-'01_INPUTS'!$C$7+1)/7,0)</f>
        <v>40</v>
      </c>
      <c r="L64" s="53">
        <f>ROUNDUP((J64-'01_INPUTS'!$C$7+1)/7,0)</f>
        <v>41</v>
      </c>
      <c r="M64" s="52" t="str">
        <f t="shared" si="8"/>
        <v>Site 08|UAT</v>
      </c>
    </row>
    <row r="65" spans="2:13" x14ac:dyDescent="0.3">
      <c r="B65" s="53" t="str">
        <f>'Sites Master'!$B$9</f>
        <v>Site 08</v>
      </c>
      <c r="C65" s="53" t="str">
        <f>'Sites Master'!$A$9</f>
        <v>Colombia</v>
      </c>
      <c r="D65" s="53">
        <f>'Sites Master'!$C$9</f>
        <v>1</v>
      </c>
      <c r="E65" s="53" t="str">
        <f>'01_INPUTS'!$C$8</f>
        <v>A</v>
      </c>
      <c r="F65" s="53" t="str" cm="1">
        <f t="array" ref="F65">INDEX('Implementation Phases'!$B$2:$B$9,G65)</f>
        <v>Training</v>
      </c>
      <c r="G65" s="53">
        <f>5</f>
        <v>5</v>
      </c>
      <c r="H65" s="53" cm="1">
        <f t="array" ref="H65">IFERROR(_xlfn.XLOOKUP(1,('Implementation Phases'!$A$2:$A$65=D65)*('Implementation Phases'!$D$2:$D$65=E65)*('Implementation Phases'!$C$2:$C$65=G65),'Implementation Phases'!$E$2:$E$65),0)</f>
        <v>3</v>
      </c>
      <c r="I65" s="58">
        <f t="shared" si="12"/>
        <v>46538</v>
      </c>
      <c r="J65" s="58">
        <f t="shared" si="7"/>
        <v>46558</v>
      </c>
      <c r="K65" s="53">
        <f>ROUNDUP((I65-'01_INPUTS'!$C$7+1)/7,0)</f>
        <v>42</v>
      </c>
      <c r="L65" s="53">
        <f>ROUNDUP((J65-'01_INPUTS'!$C$7+1)/7,0)</f>
        <v>44</v>
      </c>
      <c r="M65" s="52" t="str">
        <f t="shared" si="8"/>
        <v>Site 08|Training</v>
      </c>
    </row>
    <row r="66" spans="2:13" x14ac:dyDescent="0.3">
      <c r="B66" s="53" t="str">
        <f>'Sites Master'!$B$9</f>
        <v>Site 08</v>
      </c>
      <c r="C66" s="53" t="str">
        <f>'Sites Master'!$A$9</f>
        <v>Colombia</v>
      </c>
      <c r="D66" s="53">
        <f>'Sites Master'!$C$9</f>
        <v>1</v>
      </c>
      <c r="E66" s="53" t="str">
        <f>'01_INPUTS'!$C$8</f>
        <v>A</v>
      </c>
      <c r="F66" s="53" t="str" cm="1">
        <f t="array" ref="F66">INDEX('Implementation Phases'!$B$2:$B$9,G66)</f>
        <v>DIALT</v>
      </c>
      <c r="G66" s="53">
        <f>6</f>
        <v>6</v>
      </c>
      <c r="H66" s="53" cm="1">
        <f t="array" ref="H66">IFERROR(_xlfn.XLOOKUP(1,('Implementation Phases'!$A$2:$A$65=D66)*('Implementation Phases'!$D$2:$D$65=E66)*('Implementation Phases'!$C$2:$C$65=G66),'Implementation Phases'!$E$2:$E$65),0)</f>
        <v>1</v>
      </c>
      <c r="I66" s="58">
        <f t="shared" si="12"/>
        <v>46559</v>
      </c>
      <c r="J66" s="58">
        <f t="shared" si="7"/>
        <v>46565</v>
      </c>
      <c r="K66" s="53">
        <f>ROUNDUP((I66-'01_INPUTS'!$C$7+1)/7,0)</f>
        <v>45</v>
      </c>
      <c r="L66" s="53">
        <f>ROUNDUP((J66-'01_INPUTS'!$C$7+1)/7,0)</f>
        <v>45</v>
      </c>
      <c r="M66" s="52" t="str">
        <f t="shared" si="8"/>
        <v>Site 08|DIALT</v>
      </c>
    </row>
    <row r="67" spans="2:13" x14ac:dyDescent="0.3">
      <c r="B67" s="53" t="str">
        <f>'Sites Master'!$B$9</f>
        <v>Site 08</v>
      </c>
      <c r="C67" s="53" t="str">
        <f>'Sites Master'!$A$9</f>
        <v>Colombia</v>
      </c>
      <c r="D67" s="53">
        <f>'Sites Master'!$C$9</f>
        <v>1</v>
      </c>
      <c r="E67" s="53" t="str">
        <f>'01_INPUTS'!$C$8</f>
        <v>A</v>
      </c>
      <c r="F67" s="53" t="str" cm="1">
        <f t="array" ref="F67">INDEX('Implementation Phases'!$B$2:$B$9,G67)</f>
        <v>Go Live</v>
      </c>
      <c r="G67" s="53">
        <f>7</f>
        <v>7</v>
      </c>
      <c r="H67" s="53" cm="1">
        <f t="array" ref="H67">IFERROR(_xlfn.XLOOKUP(1,('Implementation Phases'!$A$2:$A$65=D67)*('Implementation Phases'!$D$2:$D$65=E67)*('Implementation Phases'!$C$2:$C$65=G67),'Implementation Phases'!$E$2:$E$65),0)</f>
        <v>1</v>
      </c>
      <c r="I67" s="58">
        <f t="shared" si="12"/>
        <v>46566</v>
      </c>
      <c r="J67" s="58">
        <f t="shared" si="7"/>
        <v>46572</v>
      </c>
      <c r="K67" s="53">
        <f>ROUNDUP((I67-'01_INPUTS'!$C$7+1)/7,0)</f>
        <v>46</v>
      </c>
      <c r="L67" s="53">
        <f>ROUNDUP((J67-'01_INPUTS'!$C$7+1)/7,0)</f>
        <v>46</v>
      </c>
      <c r="M67" s="52" t="str">
        <f t="shared" si="8"/>
        <v>Site 08|Go Live</v>
      </c>
    </row>
    <row r="68" spans="2:13" x14ac:dyDescent="0.3">
      <c r="B68" s="53" t="str">
        <f>'Sites Master'!$B$9</f>
        <v>Site 08</v>
      </c>
      <c r="C68" s="53" t="str">
        <f>'Sites Master'!$A$9</f>
        <v>Colombia</v>
      </c>
      <c r="D68" s="53">
        <f>'Sites Master'!$C$9</f>
        <v>1</v>
      </c>
      <c r="E68" s="53" t="str">
        <f>'01_INPUTS'!$C$8</f>
        <v>A</v>
      </c>
      <c r="F68" s="53" t="str" cm="1">
        <f t="array" ref="F68">INDEX('Implementation Phases'!$B$2:$B$9,G68)</f>
        <v>Hypercare</v>
      </c>
      <c r="G68" s="53">
        <f>8</f>
        <v>8</v>
      </c>
      <c r="H68" s="53" cm="1">
        <f t="array" ref="H68">IFERROR(_xlfn.XLOOKUP(1,('Implementation Phases'!$A$2:$A$65=D68)*('Implementation Phases'!$D$2:$D$65=E68)*('Implementation Phases'!$C$2:$C$65=G68),'Implementation Phases'!$E$2:$E$65),0)</f>
        <v>4</v>
      </c>
      <c r="I68" s="58">
        <f t="shared" si="12"/>
        <v>46573</v>
      </c>
      <c r="J68" s="58">
        <f t="shared" si="7"/>
        <v>46600</v>
      </c>
      <c r="K68" s="53">
        <f>ROUNDUP((I68-'01_INPUTS'!$C$7+1)/7,0)</f>
        <v>47</v>
      </c>
      <c r="L68" s="53">
        <f>ROUNDUP((J68-'01_INPUTS'!$C$7+1)/7,0)</f>
        <v>50</v>
      </c>
      <c r="M68" s="52" t="str">
        <f t="shared" si="8"/>
        <v>Site 08|Hypercare</v>
      </c>
    </row>
    <row r="69" spans="2:13" x14ac:dyDescent="0.3">
      <c r="B69" s="50" t="str">
        <f>'Sites Master'!$B$10</f>
        <v>Site 09</v>
      </c>
      <c r="C69" s="50" t="str">
        <f>'Sites Master'!$A$10</f>
        <v>Colombia</v>
      </c>
      <c r="D69" s="50">
        <f>'Sites Master'!$C$10</f>
        <v>2</v>
      </c>
      <c r="E69" s="50" t="str">
        <f>'01_INPUTS'!$C$8</f>
        <v>A</v>
      </c>
      <c r="F69" s="50" t="str" cm="1">
        <f t="array" ref="F69">INDEX('Implementation Phases'!$B$2:$B$9,G69)</f>
        <v>Site Readiness</v>
      </c>
      <c r="G69" s="50">
        <f>1</f>
        <v>1</v>
      </c>
      <c r="H69" s="50" cm="1">
        <f t="array" ref="H69">IFERROR(_xlfn.XLOOKUP(1,('Implementation Phases'!$A$2:$A$65=D69)*('Implementation Phases'!$D$2:$D$65=E69)*('Implementation Phases'!$C$2:$C$65=G69),'Implementation Phases'!$E$2:$E$65),0)</f>
        <v>4</v>
      </c>
      <c r="I69" s="57">
        <f>INDEX($S$5:$S$19,MATCH(B69,$P$5:$P$19,0))</f>
        <v>46496</v>
      </c>
      <c r="J69" s="57">
        <f t="shared" ref="J69:J100" si="13">IF(H69=0,I69,I69+H69*7-1)</f>
        <v>46523</v>
      </c>
      <c r="K69" s="50">
        <f>ROUNDUP((I69-'01_INPUTS'!$C$7+1)/7,0)</f>
        <v>36</v>
      </c>
      <c r="L69" s="50">
        <f>ROUNDUP((J69-'01_INPUTS'!$C$7+1)/7,0)</f>
        <v>39</v>
      </c>
      <c r="M69" s="52" t="str">
        <f t="shared" ref="M69:M100" si="14">B69&amp;"|"&amp;F69</f>
        <v>Site 09|Site Readiness</v>
      </c>
    </row>
    <row r="70" spans="2:13" x14ac:dyDescent="0.3">
      <c r="B70" s="50" t="str">
        <f>'Sites Master'!$B$10</f>
        <v>Site 09</v>
      </c>
      <c r="C70" s="50" t="str">
        <f>'Sites Master'!$A$10</f>
        <v>Colombia</v>
      </c>
      <c r="D70" s="50">
        <f>'Sites Master'!$C$10</f>
        <v>2</v>
      </c>
      <c r="E70" s="50" t="str">
        <f>'01_INPUTS'!$C$8</f>
        <v>A</v>
      </c>
      <c r="F70" s="50" t="str" cm="1">
        <f t="array" ref="F70">INDEX('Implementation Phases'!$B$2:$B$9,G70)</f>
        <v>Design Adaptation</v>
      </c>
      <c r="G70" s="50">
        <f>2</f>
        <v>2</v>
      </c>
      <c r="H70" s="50" cm="1">
        <f t="array" ref="H70">IFERROR(_xlfn.XLOOKUP(1,('Implementation Phases'!$A$2:$A$65=D70)*('Implementation Phases'!$D$2:$D$65=E70)*('Implementation Phases'!$C$2:$C$65=G70),'Implementation Phases'!$E$2:$E$65),0)</f>
        <v>1</v>
      </c>
      <c r="I70" s="57">
        <f t="shared" ref="I70:I76" si="15">J69+1</f>
        <v>46524</v>
      </c>
      <c r="J70" s="57">
        <f t="shared" si="13"/>
        <v>46530</v>
      </c>
      <c r="K70" s="50">
        <f>ROUNDUP((I70-'01_INPUTS'!$C$7+1)/7,0)</f>
        <v>40</v>
      </c>
      <c r="L70" s="50">
        <f>ROUNDUP((J70-'01_INPUTS'!$C$7+1)/7,0)</f>
        <v>40</v>
      </c>
      <c r="M70" s="52" t="str">
        <f t="shared" si="14"/>
        <v>Site 09|Design Adaptation</v>
      </c>
    </row>
    <row r="71" spans="2:13" x14ac:dyDescent="0.3">
      <c r="B71" s="50" t="str">
        <f>'Sites Master'!$B$10</f>
        <v>Site 09</v>
      </c>
      <c r="C71" s="50" t="str">
        <f>'Sites Master'!$A$10</f>
        <v>Colombia</v>
      </c>
      <c r="D71" s="50">
        <f>'Sites Master'!$C$10</f>
        <v>2</v>
      </c>
      <c r="E71" s="50" t="str">
        <f>'01_INPUTS'!$C$8</f>
        <v>A</v>
      </c>
      <c r="F71" s="50" t="str" cm="1">
        <f t="array" ref="F71">INDEX('Implementation Phases'!$B$2:$B$9,G71)</f>
        <v>Functional Review</v>
      </c>
      <c r="G71" s="50">
        <f>3</f>
        <v>3</v>
      </c>
      <c r="H71" s="50" cm="1">
        <f t="array" ref="H71">IFERROR(_xlfn.XLOOKUP(1,('Implementation Phases'!$A$2:$A$65=D71)*('Implementation Phases'!$D$2:$D$65=E71)*('Implementation Phases'!$C$2:$C$65=G71),'Implementation Phases'!$E$2:$E$65),0)</f>
        <v>1</v>
      </c>
      <c r="I71" s="57">
        <f t="shared" si="15"/>
        <v>46531</v>
      </c>
      <c r="J71" s="57">
        <f t="shared" si="13"/>
        <v>46537</v>
      </c>
      <c r="K71" s="50">
        <f>ROUNDUP((I71-'01_INPUTS'!$C$7+1)/7,0)</f>
        <v>41</v>
      </c>
      <c r="L71" s="50">
        <f>ROUNDUP((J71-'01_INPUTS'!$C$7+1)/7,0)</f>
        <v>41</v>
      </c>
      <c r="M71" s="52" t="str">
        <f t="shared" si="14"/>
        <v>Site 09|Functional Review</v>
      </c>
    </row>
    <row r="72" spans="2:13" x14ac:dyDescent="0.3">
      <c r="B72" s="50" t="str">
        <f>'Sites Master'!$B$10</f>
        <v>Site 09</v>
      </c>
      <c r="C72" s="50" t="str">
        <f>'Sites Master'!$A$10</f>
        <v>Colombia</v>
      </c>
      <c r="D72" s="50">
        <f>'Sites Master'!$C$10</f>
        <v>2</v>
      </c>
      <c r="E72" s="50" t="str">
        <f>'01_INPUTS'!$C$8</f>
        <v>A</v>
      </c>
      <c r="F72" s="50" t="str" cm="1">
        <f t="array" ref="F72">INDEX('Implementation Phases'!$B$2:$B$9,G72)</f>
        <v>UAT</v>
      </c>
      <c r="G72" s="50">
        <f>4</f>
        <v>4</v>
      </c>
      <c r="H72" s="50" cm="1">
        <f t="array" ref="H72">IFERROR(_xlfn.XLOOKUP(1,('Implementation Phases'!$A$2:$A$65=D72)*('Implementation Phases'!$D$2:$D$65=E72)*('Implementation Phases'!$C$2:$C$65=G72),'Implementation Phases'!$E$2:$E$65),0)</f>
        <v>2</v>
      </c>
      <c r="I72" s="57">
        <f t="shared" si="15"/>
        <v>46538</v>
      </c>
      <c r="J72" s="57">
        <f t="shared" si="13"/>
        <v>46551</v>
      </c>
      <c r="K72" s="50">
        <f>ROUNDUP((I72-'01_INPUTS'!$C$7+1)/7,0)</f>
        <v>42</v>
      </c>
      <c r="L72" s="50">
        <f>ROUNDUP((J72-'01_INPUTS'!$C$7+1)/7,0)</f>
        <v>43</v>
      </c>
      <c r="M72" s="52" t="str">
        <f t="shared" si="14"/>
        <v>Site 09|UAT</v>
      </c>
    </row>
    <row r="73" spans="2:13" x14ac:dyDescent="0.3">
      <c r="B73" s="50" t="str">
        <f>'Sites Master'!$B$10</f>
        <v>Site 09</v>
      </c>
      <c r="C73" s="50" t="str">
        <f>'Sites Master'!$A$10</f>
        <v>Colombia</v>
      </c>
      <c r="D73" s="50">
        <f>'Sites Master'!$C$10</f>
        <v>2</v>
      </c>
      <c r="E73" s="50" t="str">
        <f>'01_INPUTS'!$C$8</f>
        <v>A</v>
      </c>
      <c r="F73" s="50" t="str" cm="1">
        <f t="array" ref="F73">INDEX('Implementation Phases'!$B$2:$B$9,G73)</f>
        <v>Training</v>
      </c>
      <c r="G73" s="50">
        <f>5</f>
        <v>5</v>
      </c>
      <c r="H73" s="50" cm="1">
        <f t="array" ref="H73">IFERROR(_xlfn.XLOOKUP(1,('Implementation Phases'!$A$2:$A$65=D73)*('Implementation Phases'!$D$2:$D$65=E73)*('Implementation Phases'!$C$2:$C$65=G73),'Implementation Phases'!$E$2:$E$65),0)</f>
        <v>2</v>
      </c>
      <c r="I73" s="57">
        <f t="shared" si="15"/>
        <v>46552</v>
      </c>
      <c r="J73" s="57">
        <f t="shared" si="13"/>
        <v>46565</v>
      </c>
      <c r="K73" s="50">
        <f>ROUNDUP((I73-'01_INPUTS'!$C$7+1)/7,0)</f>
        <v>44</v>
      </c>
      <c r="L73" s="50">
        <f>ROUNDUP((J73-'01_INPUTS'!$C$7+1)/7,0)</f>
        <v>45</v>
      </c>
      <c r="M73" s="52" t="str">
        <f t="shared" si="14"/>
        <v>Site 09|Training</v>
      </c>
    </row>
    <row r="74" spans="2:13" x14ac:dyDescent="0.3">
      <c r="B74" s="50" t="str">
        <f>'Sites Master'!$B$10</f>
        <v>Site 09</v>
      </c>
      <c r="C74" s="50" t="str">
        <f>'Sites Master'!$A$10</f>
        <v>Colombia</v>
      </c>
      <c r="D74" s="50">
        <f>'Sites Master'!$C$10</f>
        <v>2</v>
      </c>
      <c r="E74" s="50" t="str">
        <f>'01_INPUTS'!$C$8</f>
        <v>A</v>
      </c>
      <c r="F74" s="50" t="str" cm="1">
        <f t="array" ref="F74">INDEX('Implementation Phases'!$B$2:$B$9,G74)</f>
        <v>DIALT</v>
      </c>
      <c r="G74" s="50">
        <f>6</f>
        <v>6</v>
      </c>
      <c r="H74" s="50" cm="1">
        <f t="array" ref="H74">IFERROR(_xlfn.XLOOKUP(1,('Implementation Phases'!$A$2:$A$65=D74)*('Implementation Phases'!$D$2:$D$65=E74)*('Implementation Phases'!$C$2:$C$65=G74),'Implementation Phases'!$E$2:$E$65),0)</f>
        <v>1</v>
      </c>
      <c r="I74" s="57">
        <f t="shared" si="15"/>
        <v>46566</v>
      </c>
      <c r="J74" s="57">
        <f t="shared" si="13"/>
        <v>46572</v>
      </c>
      <c r="K74" s="50">
        <f>ROUNDUP((I74-'01_INPUTS'!$C$7+1)/7,0)</f>
        <v>46</v>
      </c>
      <c r="L74" s="50">
        <f>ROUNDUP((J74-'01_INPUTS'!$C$7+1)/7,0)</f>
        <v>46</v>
      </c>
      <c r="M74" s="52" t="str">
        <f t="shared" si="14"/>
        <v>Site 09|DIALT</v>
      </c>
    </row>
    <row r="75" spans="2:13" x14ac:dyDescent="0.3">
      <c r="B75" s="50" t="str">
        <f>'Sites Master'!$B$10</f>
        <v>Site 09</v>
      </c>
      <c r="C75" s="50" t="str">
        <f>'Sites Master'!$A$10</f>
        <v>Colombia</v>
      </c>
      <c r="D75" s="50">
        <f>'Sites Master'!$C$10</f>
        <v>2</v>
      </c>
      <c r="E75" s="50" t="str">
        <f>'01_INPUTS'!$C$8</f>
        <v>A</v>
      </c>
      <c r="F75" s="50" t="str" cm="1">
        <f t="array" ref="F75">INDEX('Implementation Phases'!$B$2:$B$9,G75)</f>
        <v>Go Live</v>
      </c>
      <c r="G75" s="50">
        <f>7</f>
        <v>7</v>
      </c>
      <c r="H75" s="50" cm="1">
        <f t="array" ref="H75">IFERROR(_xlfn.XLOOKUP(1,('Implementation Phases'!$A$2:$A$65=D75)*('Implementation Phases'!$D$2:$D$65=E75)*('Implementation Phases'!$C$2:$C$65=G75),'Implementation Phases'!$E$2:$E$65),0)</f>
        <v>1</v>
      </c>
      <c r="I75" s="57">
        <f t="shared" si="15"/>
        <v>46573</v>
      </c>
      <c r="J75" s="57">
        <f t="shared" si="13"/>
        <v>46579</v>
      </c>
      <c r="K75" s="50">
        <f>ROUNDUP((I75-'01_INPUTS'!$C$7+1)/7,0)</f>
        <v>47</v>
      </c>
      <c r="L75" s="50">
        <f>ROUNDUP((J75-'01_INPUTS'!$C$7+1)/7,0)</f>
        <v>47</v>
      </c>
      <c r="M75" s="52" t="str">
        <f t="shared" si="14"/>
        <v>Site 09|Go Live</v>
      </c>
    </row>
    <row r="76" spans="2:13" x14ac:dyDescent="0.3">
      <c r="B76" s="50" t="str">
        <f>'Sites Master'!$B$10</f>
        <v>Site 09</v>
      </c>
      <c r="C76" s="50" t="str">
        <f>'Sites Master'!$A$10</f>
        <v>Colombia</v>
      </c>
      <c r="D76" s="50">
        <f>'Sites Master'!$C$10</f>
        <v>2</v>
      </c>
      <c r="E76" s="50" t="str">
        <f>'01_INPUTS'!$C$8</f>
        <v>A</v>
      </c>
      <c r="F76" s="50" t="str" cm="1">
        <f t="array" ref="F76">INDEX('Implementation Phases'!$B$2:$B$9,G76)</f>
        <v>Hypercare</v>
      </c>
      <c r="G76" s="50">
        <f>8</f>
        <v>8</v>
      </c>
      <c r="H76" s="50" cm="1">
        <f t="array" ref="H76">IFERROR(_xlfn.XLOOKUP(1,('Implementation Phases'!$A$2:$A$65=D76)*('Implementation Phases'!$D$2:$D$65=E76)*('Implementation Phases'!$C$2:$C$65=G76),'Implementation Phases'!$E$2:$E$65),0)</f>
        <v>4</v>
      </c>
      <c r="I76" s="57">
        <f t="shared" si="15"/>
        <v>46580</v>
      </c>
      <c r="J76" s="57">
        <f t="shared" si="13"/>
        <v>46607</v>
      </c>
      <c r="K76" s="50">
        <f>ROUNDUP((I76-'01_INPUTS'!$C$7+1)/7,0)</f>
        <v>48</v>
      </c>
      <c r="L76" s="50">
        <f>ROUNDUP((J76-'01_INPUTS'!$C$7+1)/7,0)</f>
        <v>51</v>
      </c>
      <c r="M76" s="52" t="str">
        <f t="shared" si="14"/>
        <v>Site 09|Hypercare</v>
      </c>
    </row>
    <row r="77" spans="2:13" x14ac:dyDescent="0.3">
      <c r="B77" s="53" t="str">
        <f>'Sites Master'!$B$11</f>
        <v>Site 10</v>
      </c>
      <c r="C77" s="53" t="str">
        <f>'Sites Master'!$A$11</f>
        <v>Colombia</v>
      </c>
      <c r="D77" s="53">
        <f>'Sites Master'!$C$11</f>
        <v>1</v>
      </c>
      <c r="E77" s="53" t="str">
        <f>'01_INPUTS'!$C$8</f>
        <v>A</v>
      </c>
      <c r="F77" s="53" t="str" cm="1">
        <f t="array" ref="F77">INDEX('Implementation Phases'!$B$2:$B$9,G77)</f>
        <v>Site Readiness</v>
      </c>
      <c r="G77" s="53">
        <f>1</f>
        <v>1</v>
      </c>
      <c r="H77" s="53" cm="1">
        <f t="array" ref="H77">IFERROR(_xlfn.XLOOKUP(1,('Implementation Phases'!$A$2:$A$65=D77)*('Implementation Phases'!$D$2:$D$65=E77)*('Implementation Phases'!$C$2:$C$65=G77),'Implementation Phases'!$E$2:$E$65),0)</f>
        <v>5</v>
      </c>
      <c r="I77" s="58">
        <f>INDEX($S$5:$S$19,MATCH(B77,$P$5:$P$19,0))</f>
        <v>46587</v>
      </c>
      <c r="J77" s="58">
        <f t="shared" si="13"/>
        <v>46621</v>
      </c>
      <c r="K77" s="53">
        <f>ROUNDUP((I77-'01_INPUTS'!$C$7+1)/7,0)</f>
        <v>49</v>
      </c>
      <c r="L77" s="53">
        <f>ROUNDUP((J77-'01_INPUTS'!$C$7+1)/7,0)</f>
        <v>53</v>
      </c>
      <c r="M77" s="52" t="str">
        <f t="shared" si="14"/>
        <v>Site 10|Site Readiness</v>
      </c>
    </row>
    <row r="78" spans="2:13" x14ac:dyDescent="0.3">
      <c r="B78" s="53" t="str">
        <f>'Sites Master'!$B$11</f>
        <v>Site 10</v>
      </c>
      <c r="C78" s="53" t="str">
        <f>'Sites Master'!$A$11</f>
        <v>Colombia</v>
      </c>
      <c r="D78" s="53">
        <f>'Sites Master'!$C$11</f>
        <v>1</v>
      </c>
      <c r="E78" s="53" t="str">
        <f>'01_INPUTS'!$C$8</f>
        <v>A</v>
      </c>
      <c r="F78" s="53" t="str" cm="1">
        <f t="array" ref="F78">INDEX('Implementation Phases'!$B$2:$B$9,G78)</f>
        <v>Design Adaptation</v>
      </c>
      <c r="G78" s="53">
        <f>2</f>
        <v>2</v>
      </c>
      <c r="H78" s="53" cm="1">
        <f t="array" ref="H78">IFERROR(_xlfn.XLOOKUP(1,('Implementation Phases'!$A$2:$A$65=D78)*('Implementation Phases'!$D$2:$D$65=E78)*('Implementation Phases'!$C$2:$C$65=G78),'Implementation Phases'!$E$2:$E$65),0)</f>
        <v>2</v>
      </c>
      <c r="I78" s="58">
        <f t="shared" ref="I78:I84" si="16">J77+1</f>
        <v>46622</v>
      </c>
      <c r="J78" s="58">
        <f t="shared" si="13"/>
        <v>46635</v>
      </c>
      <c r="K78" s="53">
        <f>ROUNDUP((I78-'01_INPUTS'!$C$7+1)/7,0)</f>
        <v>54</v>
      </c>
      <c r="L78" s="53">
        <f>ROUNDUP((J78-'01_INPUTS'!$C$7+1)/7,0)</f>
        <v>55</v>
      </c>
      <c r="M78" s="52" t="str">
        <f t="shared" si="14"/>
        <v>Site 10|Design Adaptation</v>
      </c>
    </row>
    <row r="79" spans="2:13" x14ac:dyDescent="0.3">
      <c r="B79" s="53" t="str">
        <f>'Sites Master'!$B$11</f>
        <v>Site 10</v>
      </c>
      <c r="C79" s="53" t="str">
        <f>'Sites Master'!$A$11</f>
        <v>Colombia</v>
      </c>
      <c r="D79" s="53">
        <f>'Sites Master'!$C$11</f>
        <v>1</v>
      </c>
      <c r="E79" s="53" t="str">
        <f>'01_INPUTS'!$C$8</f>
        <v>A</v>
      </c>
      <c r="F79" s="53" t="str" cm="1">
        <f t="array" ref="F79">INDEX('Implementation Phases'!$B$2:$B$9,G79)</f>
        <v>Functional Review</v>
      </c>
      <c r="G79" s="53">
        <f>3</f>
        <v>3</v>
      </c>
      <c r="H79" s="53" cm="1">
        <f t="array" ref="H79">IFERROR(_xlfn.XLOOKUP(1,('Implementation Phases'!$A$2:$A$65=D79)*('Implementation Phases'!$D$2:$D$65=E79)*('Implementation Phases'!$C$2:$C$65=G79),'Implementation Phases'!$E$2:$E$65),0)</f>
        <v>1</v>
      </c>
      <c r="I79" s="58">
        <f t="shared" si="16"/>
        <v>46636</v>
      </c>
      <c r="J79" s="58">
        <f t="shared" si="13"/>
        <v>46642</v>
      </c>
      <c r="K79" s="53">
        <f>ROUNDUP((I79-'01_INPUTS'!$C$7+1)/7,0)</f>
        <v>56</v>
      </c>
      <c r="L79" s="53">
        <f>ROUNDUP((J79-'01_INPUTS'!$C$7+1)/7,0)</f>
        <v>56</v>
      </c>
      <c r="M79" s="52" t="str">
        <f t="shared" si="14"/>
        <v>Site 10|Functional Review</v>
      </c>
    </row>
    <row r="80" spans="2:13" x14ac:dyDescent="0.3">
      <c r="B80" s="53" t="str">
        <f>'Sites Master'!$B$11</f>
        <v>Site 10</v>
      </c>
      <c r="C80" s="53" t="str">
        <f>'Sites Master'!$A$11</f>
        <v>Colombia</v>
      </c>
      <c r="D80" s="53">
        <f>'Sites Master'!$C$11</f>
        <v>1</v>
      </c>
      <c r="E80" s="53" t="str">
        <f>'01_INPUTS'!$C$8</f>
        <v>A</v>
      </c>
      <c r="F80" s="53" t="str" cm="1">
        <f t="array" ref="F80">INDEX('Implementation Phases'!$B$2:$B$9,G80)</f>
        <v>UAT</v>
      </c>
      <c r="G80" s="53">
        <f>4</f>
        <v>4</v>
      </c>
      <c r="H80" s="53" cm="1">
        <f t="array" ref="H80">IFERROR(_xlfn.XLOOKUP(1,('Implementation Phases'!$A$2:$A$65=D80)*('Implementation Phases'!$D$2:$D$65=E80)*('Implementation Phases'!$C$2:$C$65=G80),'Implementation Phases'!$E$2:$E$65),0)</f>
        <v>2</v>
      </c>
      <c r="I80" s="58">
        <f t="shared" si="16"/>
        <v>46643</v>
      </c>
      <c r="J80" s="58">
        <f t="shared" si="13"/>
        <v>46656</v>
      </c>
      <c r="K80" s="53">
        <f>ROUNDUP((I80-'01_INPUTS'!$C$7+1)/7,0)</f>
        <v>57</v>
      </c>
      <c r="L80" s="53">
        <f>ROUNDUP((J80-'01_INPUTS'!$C$7+1)/7,0)</f>
        <v>58</v>
      </c>
      <c r="M80" s="52" t="str">
        <f t="shared" si="14"/>
        <v>Site 10|UAT</v>
      </c>
    </row>
    <row r="81" spans="2:13" x14ac:dyDescent="0.3">
      <c r="B81" s="53" t="str">
        <f>'Sites Master'!$B$11</f>
        <v>Site 10</v>
      </c>
      <c r="C81" s="53" t="str">
        <f>'Sites Master'!$A$11</f>
        <v>Colombia</v>
      </c>
      <c r="D81" s="53">
        <f>'Sites Master'!$C$11</f>
        <v>1</v>
      </c>
      <c r="E81" s="53" t="str">
        <f>'01_INPUTS'!$C$8</f>
        <v>A</v>
      </c>
      <c r="F81" s="53" t="str" cm="1">
        <f t="array" ref="F81">INDEX('Implementation Phases'!$B$2:$B$9,G81)</f>
        <v>Training</v>
      </c>
      <c r="G81" s="53">
        <f>5</f>
        <v>5</v>
      </c>
      <c r="H81" s="53" cm="1">
        <f t="array" ref="H81">IFERROR(_xlfn.XLOOKUP(1,('Implementation Phases'!$A$2:$A$65=D81)*('Implementation Phases'!$D$2:$D$65=E81)*('Implementation Phases'!$C$2:$C$65=G81),'Implementation Phases'!$E$2:$E$65),0)</f>
        <v>3</v>
      </c>
      <c r="I81" s="58">
        <f t="shared" si="16"/>
        <v>46657</v>
      </c>
      <c r="J81" s="58">
        <f t="shared" si="13"/>
        <v>46677</v>
      </c>
      <c r="K81" s="53">
        <f>ROUNDUP((I81-'01_INPUTS'!$C$7+1)/7,0)</f>
        <v>59</v>
      </c>
      <c r="L81" s="53">
        <f>ROUNDUP((J81-'01_INPUTS'!$C$7+1)/7,0)</f>
        <v>61</v>
      </c>
      <c r="M81" s="52" t="str">
        <f t="shared" si="14"/>
        <v>Site 10|Training</v>
      </c>
    </row>
    <row r="82" spans="2:13" x14ac:dyDescent="0.3">
      <c r="B82" s="53" t="str">
        <f>'Sites Master'!$B$11</f>
        <v>Site 10</v>
      </c>
      <c r="C82" s="53" t="str">
        <f>'Sites Master'!$A$11</f>
        <v>Colombia</v>
      </c>
      <c r="D82" s="53">
        <f>'Sites Master'!$C$11</f>
        <v>1</v>
      </c>
      <c r="E82" s="53" t="str">
        <f>'01_INPUTS'!$C$8</f>
        <v>A</v>
      </c>
      <c r="F82" s="53" t="str" cm="1">
        <f t="array" ref="F82">INDEX('Implementation Phases'!$B$2:$B$9,G82)</f>
        <v>DIALT</v>
      </c>
      <c r="G82" s="53">
        <f>6</f>
        <v>6</v>
      </c>
      <c r="H82" s="53" cm="1">
        <f t="array" ref="H82">IFERROR(_xlfn.XLOOKUP(1,('Implementation Phases'!$A$2:$A$65=D82)*('Implementation Phases'!$D$2:$D$65=E82)*('Implementation Phases'!$C$2:$C$65=G82),'Implementation Phases'!$E$2:$E$65),0)</f>
        <v>1</v>
      </c>
      <c r="I82" s="58">
        <f t="shared" si="16"/>
        <v>46678</v>
      </c>
      <c r="J82" s="58">
        <f t="shared" si="13"/>
        <v>46684</v>
      </c>
      <c r="K82" s="53">
        <f>ROUNDUP((I82-'01_INPUTS'!$C$7+1)/7,0)</f>
        <v>62</v>
      </c>
      <c r="L82" s="53">
        <f>ROUNDUP((J82-'01_INPUTS'!$C$7+1)/7,0)</f>
        <v>62</v>
      </c>
      <c r="M82" s="52" t="str">
        <f t="shared" si="14"/>
        <v>Site 10|DIALT</v>
      </c>
    </row>
    <row r="83" spans="2:13" x14ac:dyDescent="0.3">
      <c r="B83" s="53" t="str">
        <f>'Sites Master'!$B$11</f>
        <v>Site 10</v>
      </c>
      <c r="C83" s="53" t="str">
        <f>'Sites Master'!$A$11</f>
        <v>Colombia</v>
      </c>
      <c r="D83" s="53">
        <f>'Sites Master'!$C$11</f>
        <v>1</v>
      </c>
      <c r="E83" s="53" t="str">
        <f>'01_INPUTS'!$C$8</f>
        <v>A</v>
      </c>
      <c r="F83" s="53" t="str" cm="1">
        <f t="array" ref="F83">INDEX('Implementation Phases'!$B$2:$B$9,G83)</f>
        <v>Go Live</v>
      </c>
      <c r="G83" s="53">
        <f>7</f>
        <v>7</v>
      </c>
      <c r="H83" s="53" cm="1">
        <f t="array" ref="H83">IFERROR(_xlfn.XLOOKUP(1,('Implementation Phases'!$A$2:$A$65=D83)*('Implementation Phases'!$D$2:$D$65=E83)*('Implementation Phases'!$C$2:$C$65=G83),'Implementation Phases'!$E$2:$E$65),0)</f>
        <v>1</v>
      </c>
      <c r="I83" s="58">
        <f t="shared" si="16"/>
        <v>46685</v>
      </c>
      <c r="J83" s="58">
        <f t="shared" si="13"/>
        <v>46691</v>
      </c>
      <c r="K83" s="53">
        <f>ROUNDUP((I83-'01_INPUTS'!$C$7+1)/7,0)</f>
        <v>63</v>
      </c>
      <c r="L83" s="53">
        <f>ROUNDUP((J83-'01_INPUTS'!$C$7+1)/7,0)</f>
        <v>63</v>
      </c>
      <c r="M83" s="52" t="str">
        <f t="shared" si="14"/>
        <v>Site 10|Go Live</v>
      </c>
    </row>
    <row r="84" spans="2:13" x14ac:dyDescent="0.3">
      <c r="B84" s="53" t="str">
        <f>'Sites Master'!$B$11</f>
        <v>Site 10</v>
      </c>
      <c r="C84" s="53" t="str">
        <f>'Sites Master'!$A$11</f>
        <v>Colombia</v>
      </c>
      <c r="D84" s="53">
        <f>'Sites Master'!$C$11</f>
        <v>1</v>
      </c>
      <c r="E84" s="53" t="str">
        <f>'01_INPUTS'!$C$8</f>
        <v>A</v>
      </c>
      <c r="F84" s="53" t="str" cm="1">
        <f t="array" ref="F84">INDEX('Implementation Phases'!$B$2:$B$9,G84)</f>
        <v>Hypercare</v>
      </c>
      <c r="G84" s="53">
        <f>8</f>
        <v>8</v>
      </c>
      <c r="H84" s="53" cm="1">
        <f t="array" ref="H84">IFERROR(_xlfn.XLOOKUP(1,('Implementation Phases'!$A$2:$A$65=D84)*('Implementation Phases'!$D$2:$D$65=E84)*('Implementation Phases'!$C$2:$C$65=G84),'Implementation Phases'!$E$2:$E$65),0)</f>
        <v>4</v>
      </c>
      <c r="I84" s="58">
        <f t="shared" si="16"/>
        <v>46692</v>
      </c>
      <c r="J84" s="58">
        <f t="shared" si="13"/>
        <v>46719</v>
      </c>
      <c r="K84" s="53">
        <f>ROUNDUP((I84-'01_INPUTS'!$C$7+1)/7,0)</f>
        <v>64</v>
      </c>
      <c r="L84" s="53">
        <f>ROUNDUP((J84-'01_INPUTS'!$C$7+1)/7,0)</f>
        <v>67</v>
      </c>
      <c r="M84" s="52" t="str">
        <f t="shared" si="14"/>
        <v>Site 10|Hypercare</v>
      </c>
    </row>
    <row r="85" spans="2:13" x14ac:dyDescent="0.3">
      <c r="B85" s="50" t="str">
        <f>'Sites Master'!$B$12</f>
        <v>Site 11</v>
      </c>
      <c r="C85" s="50" t="str">
        <f>'Sites Master'!$A$12</f>
        <v>Colombia</v>
      </c>
      <c r="D85" s="50">
        <f>'Sites Master'!$C$12</f>
        <v>3</v>
      </c>
      <c r="E85" s="50" t="str">
        <f>'01_INPUTS'!$C$8</f>
        <v>A</v>
      </c>
      <c r="F85" s="50" t="str" cm="1">
        <f t="array" ref="F85">INDEX('Implementation Phases'!$B$2:$B$9,G85)</f>
        <v>Site Readiness</v>
      </c>
      <c r="G85" s="50">
        <f>1</f>
        <v>1</v>
      </c>
      <c r="H85" s="50" cm="1">
        <f t="array" ref="H85">IFERROR(_xlfn.XLOOKUP(1,('Implementation Phases'!$A$2:$A$65=D85)*('Implementation Phases'!$D$2:$D$65=E85)*('Implementation Phases'!$C$2:$C$65=G85),'Implementation Phases'!$E$2:$E$65),0)</f>
        <v>4</v>
      </c>
      <c r="I85" s="57">
        <f>INDEX($S$5:$S$19,MATCH(B85,$P$5:$P$19,0))</f>
        <v>46601</v>
      </c>
      <c r="J85" s="57">
        <f t="shared" si="13"/>
        <v>46628</v>
      </c>
      <c r="K85" s="50">
        <f>ROUNDUP((I85-'01_INPUTS'!$C$7+1)/7,0)</f>
        <v>51</v>
      </c>
      <c r="L85" s="50">
        <f>ROUNDUP((J85-'01_INPUTS'!$C$7+1)/7,0)</f>
        <v>54</v>
      </c>
      <c r="M85" s="52" t="str">
        <f t="shared" si="14"/>
        <v>Site 11|Site Readiness</v>
      </c>
    </row>
    <row r="86" spans="2:13" x14ac:dyDescent="0.3">
      <c r="B86" s="50" t="str">
        <f>'Sites Master'!$B$12</f>
        <v>Site 11</v>
      </c>
      <c r="C86" s="50" t="str">
        <f>'Sites Master'!$A$12</f>
        <v>Colombia</v>
      </c>
      <c r="D86" s="50">
        <f>'Sites Master'!$C$12</f>
        <v>3</v>
      </c>
      <c r="E86" s="50" t="str">
        <f>'01_INPUTS'!$C$8</f>
        <v>A</v>
      </c>
      <c r="F86" s="50" t="str" cm="1">
        <f t="array" ref="F86">INDEX('Implementation Phases'!$B$2:$B$9,G86)</f>
        <v>Design Adaptation</v>
      </c>
      <c r="G86" s="50">
        <f>2</f>
        <v>2</v>
      </c>
      <c r="H86" s="50" cm="1">
        <f t="array" ref="H86">IFERROR(_xlfn.XLOOKUP(1,('Implementation Phases'!$A$2:$A$65=D86)*('Implementation Phases'!$D$2:$D$65=E86)*('Implementation Phases'!$C$2:$C$65=G86),'Implementation Phases'!$E$2:$E$65),0)</f>
        <v>1</v>
      </c>
      <c r="I86" s="57">
        <f t="shared" ref="I86:I92" si="17">J85+1</f>
        <v>46629</v>
      </c>
      <c r="J86" s="57">
        <f t="shared" si="13"/>
        <v>46635</v>
      </c>
      <c r="K86" s="50">
        <f>ROUNDUP((I86-'01_INPUTS'!$C$7+1)/7,0)</f>
        <v>55</v>
      </c>
      <c r="L86" s="50">
        <f>ROUNDUP((J86-'01_INPUTS'!$C$7+1)/7,0)</f>
        <v>55</v>
      </c>
      <c r="M86" s="52" t="str">
        <f t="shared" si="14"/>
        <v>Site 11|Design Adaptation</v>
      </c>
    </row>
    <row r="87" spans="2:13" x14ac:dyDescent="0.3">
      <c r="B87" s="50" t="str">
        <f>'Sites Master'!$B$12</f>
        <v>Site 11</v>
      </c>
      <c r="C87" s="50" t="str">
        <f>'Sites Master'!$A$12</f>
        <v>Colombia</v>
      </c>
      <c r="D87" s="50">
        <f>'Sites Master'!$C$12</f>
        <v>3</v>
      </c>
      <c r="E87" s="50" t="str">
        <f>'01_INPUTS'!$C$8</f>
        <v>A</v>
      </c>
      <c r="F87" s="50" t="str" cm="1">
        <f t="array" ref="F87">INDEX('Implementation Phases'!$B$2:$B$9,G87)</f>
        <v>Functional Review</v>
      </c>
      <c r="G87" s="50">
        <f>3</f>
        <v>3</v>
      </c>
      <c r="H87" s="50" cm="1">
        <f t="array" ref="H87">IFERROR(_xlfn.XLOOKUP(1,('Implementation Phases'!$A$2:$A$65=D87)*('Implementation Phases'!$D$2:$D$65=E87)*('Implementation Phases'!$C$2:$C$65=G87),'Implementation Phases'!$E$2:$E$65),0)</f>
        <v>1</v>
      </c>
      <c r="I87" s="57">
        <f t="shared" si="17"/>
        <v>46636</v>
      </c>
      <c r="J87" s="57">
        <f t="shared" si="13"/>
        <v>46642</v>
      </c>
      <c r="K87" s="50">
        <f>ROUNDUP((I87-'01_INPUTS'!$C$7+1)/7,0)</f>
        <v>56</v>
      </c>
      <c r="L87" s="50">
        <f>ROUNDUP((J87-'01_INPUTS'!$C$7+1)/7,0)</f>
        <v>56</v>
      </c>
      <c r="M87" s="52" t="str">
        <f t="shared" si="14"/>
        <v>Site 11|Functional Review</v>
      </c>
    </row>
    <row r="88" spans="2:13" x14ac:dyDescent="0.3">
      <c r="B88" s="50" t="str">
        <f>'Sites Master'!$B$12</f>
        <v>Site 11</v>
      </c>
      <c r="C88" s="50" t="str">
        <f>'Sites Master'!$A$12</f>
        <v>Colombia</v>
      </c>
      <c r="D88" s="50">
        <f>'Sites Master'!$C$12</f>
        <v>3</v>
      </c>
      <c r="E88" s="50" t="str">
        <f>'01_INPUTS'!$C$8</f>
        <v>A</v>
      </c>
      <c r="F88" s="50" t="str" cm="1">
        <f t="array" ref="F88">INDEX('Implementation Phases'!$B$2:$B$9,G88)</f>
        <v>UAT</v>
      </c>
      <c r="G88" s="50">
        <f>4</f>
        <v>4</v>
      </c>
      <c r="H88" s="50" cm="1">
        <f t="array" ref="H88">IFERROR(_xlfn.XLOOKUP(1,('Implementation Phases'!$A$2:$A$65=D88)*('Implementation Phases'!$D$2:$D$65=E88)*('Implementation Phases'!$C$2:$C$65=G88),'Implementation Phases'!$E$2:$E$65),0)</f>
        <v>1</v>
      </c>
      <c r="I88" s="57">
        <f t="shared" si="17"/>
        <v>46643</v>
      </c>
      <c r="J88" s="57">
        <f t="shared" si="13"/>
        <v>46649</v>
      </c>
      <c r="K88" s="50">
        <f>ROUNDUP((I88-'01_INPUTS'!$C$7+1)/7,0)</f>
        <v>57</v>
      </c>
      <c r="L88" s="50">
        <f>ROUNDUP((J88-'01_INPUTS'!$C$7+1)/7,0)</f>
        <v>57</v>
      </c>
      <c r="M88" s="52" t="str">
        <f t="shared" si="14"/>
        <v>Site 11|UAT</v>
      </c>
    </row>
    <row r="89" spans="2:13" x14ac:dyDescent="0.3">
      <c r="B89" s="50" t="str">
        <f>'Sites Master'!$B$12</f>
        <v>Site 11</v>
      </c>
      <c r="C89" s="50" t="str">
        <f>'Sites Master'!$A$12</f>
        <v>Colombia</v>
      </c>
      <c r="D89" s="50">
        <f>'Sites Master'!$C$12</f>
        <v>3</v>
      </c>
      <c r="E89" s="50" t="str">
        <f>'01_INPUTS'!$C$8</f>
        <v>A</v>
      </c>
      <c r="F89" s="50" t="str" cm="1">
        <f t="array" ref="F89">INDEX('Implementation Phases'!$B$2:$B$9,G89)</f>
        <v>Training</v>
      </c>
      <c r="G89" s="50">
        <f>5</f>
        <v>5</v>
      </c>
      <c r="H89" s="50" cm="1">
        <f t="array" ref="H89">IFERROR(_xlfn.XLOOKUP(1,('Implementation Phases'!$A$2:$A$65=D89)*('Implementation Phases'!$D$2:$D$65=E89)*('Implementation Phases'!$C$2:$C$65=G89),'Implementation Phases'!$E$2:$E$65),0)</f>
        <v>2</v>
      </c>
      <c r="I89" s="57">
        <f t="shared" si="17"/>
        <v>46650</v>
      </c>
      <c r="J89" s="57">
        <f t="shared" si="13"/>
        <v>46663</v>
      </c>
      <c r="K89" s="50">
        <f>ROUNDUP((I89-'01_INPUTS'!$C$7+1)/7,0)</f>
        <v>58</v>
      </c>
      <c r="L89" s="50">
        <f>ROUNDUP((J89-'01_INPUTS'!$C$7+1)/7,0)</f>
        <v>59</v>
      </c>
      <c r="M89" s="52" t="str">
        <f t="shared" si="14"/>
        <v>Site 11|Training</v>
      </c>
    </row>
    <row r="90" spans="2:13" x14ac:dyDescent="0.3">
      <c r="B90" s="50" t="str">
        <f>'Sites Master'!$B$12</f>
        <v>Site 11</v>
      </c>
      <c r="C90" s="50" t="str">
        <f>'Sites Master'!$A$12</f>
        <v>Colombia</v>
      </c>
      <c r="D90" s="50">
        <f>'Sites Master'!$C$12</f>
        <v>3</v>
      </c>
      <c r="E90" s="50" t="str">
        <f>'01_INPUTS'!$C$8</f>
        <v>A</v>
      </c>
      <c r="F90" s="50" t="str" cm="1">
        <f t="array" ref="F90">INDEX('Implementation Phases'!$B$2:$B$9,G90)</f>
        <v>DIALT</v>
      </c>
      <c r="G90" s="50">
        <f>6</f>
        <v>6</v>
      </c>
      <c r="H90" s="50" cm="1">
        <f t="array" ref="H90">IFERROR(_xlfn.XLOOKUP(1,('Implementation Phases'!$A$2:$A$65=D90)*('Implementation Phases'!$D$2:$D$65=E90)*('Implementation Phases'!$C$2:$C$65=G90),'Implementation Phases'!$E$2:$E$65),0)</f>
        <v>1</v>
      </c>
      <c r="I90" s="57">
        <f t="shared" si="17"/>
        <v>46664</v>
      </c>
      <c r="J90" s="57">
        <f t="shared" si="13"/>
        <v>46670</v>
      </c>
      <c r="K90" s="50">
        <f>ROUNDUP((I90-'01_INPUTS'!$C$7+1)/7,0)</f>
        <v>60</v>
      </c>
      <c r="L90" s="50">
        <f>ROUNDUP((J90-'01_INPUTS'!$C$7+1)/7,0)</f>
        <v>60</v>
      </c>
      <c r="M90" s="52" t="str">
        <f t="shared" si="14"/>
        <v>Site 11|DIALT</v>
      </c>
    </row>
    <row r="91" spans="2:13" x14ac:dyDescent="0.3">
      <c r="B91" s="50" t="str">
        <f>'Sites Master'!$B$12</f>
        <v>Site 11</v>
      </c>
      <c r="C91" s="50" t="str">
        <f>'Sites Master'!$A$12</f>
        <v>Colombia</v>
      </c>
      <c r="D91" s="50">
        <f>'Sites Master'!$C$12</f>
        <v>3</v>
      </c>
      <c r="E91" s="50" t="str">
        <f>'01_INPUTS'!$C$8</f>
        <v>A</v>
      </c>
      <c r="F91" s="50" t="str" cm="1">
        <f t="array" ref="F91">INDEX('Implementation Phases'!$B$2:$B$9,G91)</f>
        <v>Go Live</v>
      </c>
      <c r="G91" s="50">
        <f>7</f>
        <v>7</v>
      </c>
      <c r="H91" s="50" cm="1">
        <f t="array" ref="H91">IFERROR(_xlfn.XLOOKUP(1,('Implementation Phases'!$A$2:$A$65=D91)*('Implementation Phases'!$D$2:$D$65=E91)*('Implementation Phases'!$C$2:$C$65=G91),'Implementation Phases'!$E$2:$E$65),0)</f>
        <v>1</v>
      </c>
      <c r="I91" s="57">
        <f t="shared" si="17"/>
        <v>46671</v>
      </c>
      <c r="J91" s="57">
        <f t="shared" si="13"/>
        <v>46677</v>
      </c>
      <c r="K91" s="50">
        <f>ROUNDUP((I91-'01_INPUTS'!$C$7+1)/7,0)</f>
        <v>61</v>
      </c>
      <c r="L91" s="50">
        <f>ROUNDUP((J91-'01_INPUTS'!$C$7+1)/7,0)</f>
        <v>61</v>
      </c>
      <c r="M91" s="52" t="str">
        <f t="shared" si="14"/>
        <v>Site 11|Go Live</v>
      </c>
    </row>
    <row r="92" spans="2:13" x14ac:dyDescent="0.3">
      <c r="B92" s="50" t="str">
        <f>'Sites Master'!$B$12</f>
        <v>Site 11</v>
      </c>
      <c r="C92" s="50" t="str">
        <f>'Sites Master'!$A$12</f>
        <v>Colombia</v>
      </c>
      <c r="D92" s="50">
        <f>'Sites Master'!$C$12</f>
        <v>3</v>
      </c>
      <c r="E92" s="50" t="str">
        <f>'01_INPUTS'!$C$8</f>
        <v>A</v>
      </c>
      <c r="F92" s="50" t="str" cm="1">
        <f t="array" ref="F92">INDEX('Implementation Phases'!$B$2:$B$9,G92)</f>
        <v>Hypercare</v>
      </c>
      <c r="G92" s="50">
        <f>8</f>
        <v>8</v>
      </c>
      <c r="H92" s="50" cm="1">
        <f t="array" ref="H92">IFERROR(_xlfn.XLOOKUP(1,('Implementation Phases'!$A$2:$A$65=D92)*('Implementation Phases'!$D$2:$D$65=E92)*('Implementation Phases'!$C$2:$C$65=G92),'Implementation Phases'!$E$2:$E$65),0)</f>
        <v>4</v>
      </c>
      <c r="I92" s="57">
        <f t="shared" si="17"/>
        <v>46678</v>
      </c>
      <c r="J92" s="57">
        <f t="shared" si="13"/>
        <v>46705</v>
      </c>
      <c r="K92" s="50">
        <f>ROUNDUP((I92-'01_INPUTS'!$C$7+1)/7,0)</f>
        <v>62</v>
      </c>
      <c r="L92" s="50">
        <f>ROUNDUP((J92-'01_INPUTS'!$C$7+1)/7,0)</f>
        <v>65</v>
      </c>
      <c r="M92" s="52" t="str">
        <f t="shared" si="14"/>
        <v>Site 11|Hypercare</v>
      </c>
    </row>
    <row r="93" spans="2:13" x14ac:dyDescent="0.3">
      <c r="B93" s="53" t="str">
        <f>'Sites Master'!$B$13</f>
        <v>Site 12</v>
      </c>
      <c r="C93" s="53" t="str">
        <f>'Sites Master'!$A$13</f>
        <v>Colombia</v>
      </c>
      <c r="D93" s="53">
        <f>'Sites Master'!$C$13</f>
        <v>4</v>
      </c>
      <c r="E93" s="53" t="str">
        <f>'01_INPUTS'!$C$8</f>
        <v>A</v>
      </c>
      <c r="F93" s="53" t="str" cm="1">
        <f t="array" ref="F93">INDEX('Implementation Phases'!$B$2:$B$9,G93)</f>
        <v>Site Readiness</v>
      </c>
      <c r="G93" s="53">
        <f>1</f>
        <v>1</v>
      </c>
      <c r="H93" s="53" cm="1">
        <f t="array" ref="H93">IFERROR(_xlfn.XLOOKUP(1,('Implementation Phases'!$A$2:$A$65=D93)*('Implementation Phases'!$D$2:$D$65=E93)*('Implementation Phases'!$C$2:$C$65=G93),'Implementation Phases'!$E$2:$E$65),0)</f>
        <v>2</v>
      </c>
      <c r="I93" s="58">
        <f>INDEX($S$5:$S$19,MATCH(B93,$P$5:$P$19,0))</f>
        <v>46608</v>
      </c>
      <c r="J93" s="58">
        <f t="shared" si="13"/>
        <v>46621</v>
      </c>
      <c r="K93" s="53">
        <f>ROUNDUP((I93-'01_INPUTS'!$C$7+1)/7,0)</f>
        <v>52</v>
      </c>
      <c r="L93" s="53">
        <f>ROUNDUP((J93-'01_INPUTS'!$C$7+1)/7,0)</f>
        <v>53</v>
      </c>
      <c r="M93" s="52" t="str">
        <f t="shared" si="14"/>
        <v>Site 12|Site Readiness</v>
      </c>
    </row>
    <row r="94" spans="2:13" x14ac:dyDescent="0.3">
      <c r="B94" s="53" t="str">
        <f>'Sites Master'!$B$13</f>
        <v>Site 12</v>
      </c>
      <c r="C94" s="53" t="str">
        <f>'Sites Master'!$A$13</f>
        <v>Colombia</v>
      </c>
      <c r="D94" s="53">
        <f>'Sites Master'!$C$13</f>
        <v>4</v>
      </c>
      <c r="E94" s="53" t="str">
        <f>'01_INPUTS'!$C$8</f>
        <v>A</v>
      </c>
      <c r="F94" s="53" t="str" cm="1">
        <f t="array" ref="F94">INDEX('Implementation Phases'!$B$2:$B$9,G94)</f>
        <v>Design Adaptation</v>
      </c>
      <c r="G94" s="53">
        <f>2</f>
        <v>2</v>
      </c>
      <c r="H94" s="53" cm="1">
        <f t="array" ref="H94">IFERROR(_xlfn.XLOOKUP(1,('Implementation Phases'!$A$2:$A$65=D94)*('Implementation Phases'!$D$2:$D$65=E94)*('Implementation Phases'!$C$2:$C$65=G94),'Implementation Phases'!$E$2:$E$65),0)</f>
        <v>0</v>
      </c>
      <c r="I94" s="58">
        <f t="shared" ref="I94:I100" si="18">J93+1</f>
        <v>46622</v>
      </c>
      <c r="J94" s="58">
        <f t="shared" si="13"/>
        <v>46622</v>
      </c>
      <c r="K94" s="53">
        <f>ROUNDUP((I94-'01_INPUTS'!$C$7+1)/7,0)</f>
        <v>54</v>
      </c>
      <c r="L94" s="53">
        <f>ROUNDUP((J94-'01_INPUTS'!$C$7+1)/7,0)</f>
        <v>54</v>
      </c>
      <c r="M94" s="52" t="str">
        <f t="shared" si="14"/>
        <v>Site 12|Design Adaptation</v>
      </c>
    </row>
    <row r="95" spans="2:13" x14ac:dyDescent="0.3">
      <c r="B95" s="53" t="str">
        <f>'Sites Master'!$B$13</f>
        <v>Site 12</v>
      </c>
      <c r="C95" s="53" t="str">
        <f>'Sites Master'!$A$13</f>
        <v>Colombia</v>
      </c>
      <c r="D95" s="53">
        <f>'Sites Master'!$C$13</f>
        <v>4</v>
      </c>
      <c r="E95" s="53" t="str">
        <f>'01_INPUTS'!$C$8</f>
        <v>A</v>
      </c>
      <c r="F95" s="53" t="str" cm="1">
        <f t="array" ref="F95">INDEX('Implementation Phases'!$B$2:$B$9,G95)</f>
        <v>Functional Review</v>
      </c>
      <c r="G95" s="53">
        <f>3</f>
        <v>3</v>
      </c>
      <c r="H95" s="53" cm="1">
        <f t="array" ref="H95">IFERROR(_xlfn.XLOOKUP(1,('Implementation Phases'!$A$2:$A$65=D95)*('Implementation Phases'!$D$2:$D$65=E95)*('Implementation Phases'!$C$2:$C$65=G95),'Implementation Phases'!$E$2:$E$65),0)</f>
        <v>1</v>
      </c>
      <c r="I95" s="58">
        <f t="shared" si="18"/>
        <v>46623</v>
      </c>
      <c r="J95" s="58">
        <f t="shared" si="13"/>
        <v>46629</v>
      </c>
      <c r="K95" s="53">
        <f>ROUNDUP((I95-'01_INPUTS'!$C$7+1)/7,0)</f>
        <v>54</v>
      </c>
      <c r="L95" s="53">
        <f>ROUNDUP((J95-'01_INPUTS'!$C$7+1)/7,0)</f>
        <v>55</v>
      </c>
      <c r="M95" s="52" t="str">
        <f t="shared" si="14"/>
        <v>Site 12|Functional Review</v>
      </c>
    </row>
    <row r="96" spans="2:13" x14ac:dyDescent="0.3">
      <c r="B96" s="53" t="str">
        <f>'Sites Master'!$B$13</f>
        <v>Site 12</v>
      </c>
      <c r="C96" s="53" t="str">
        <f>'Sites Master'!$A$13</f>
        <v>Colombia</v>
      </c>
      <c r="D96" s="53">
        <f>'Sites Master'!$C$13</f>
        <v>4</v>
      </c>
      <c r="E96" s="53" t="str">
        <f>'01_INPUTS'!$C$8</f>
        <v>A</v>
      </c>
      <c r="F96" s="53" t="str" cm="1">
        <f t="array" ref="F96">INDEX('Implementation Phases'!$B$2:$B$9,G96)</f>
        <v>UAT</v>
      </c>
      <c r="G96" s="53">
        <f>4</f>
        <v>4</v>
      </c>
      <c r="H96" s="53" cm="1">
        <f t="array" ref="H96">IFERROR(_xlfn.XLOOKUP(1,('Implementation Phases'!$A$2:$A$65=D96)*('Implementation Phases'!$D$2:$D$65=E96)*('Implementation Phases'!$C$2:$C$65=G96),'Implementation Phases'!$E$2:$E$65),0)</f>
        <v>1</v>
      </c>
      <c r="I96" s="58">
        <f t="shared" si="18"/>
        <v>46630</v>
      </c>
      <c r="J96" s="58">
        <f t="shared" si="13"/>
        <v>46636</v>
      </c>
      <c r="K96" s="53">
        <f>ROUNDUP((I96-'01_INPUTS'!$C$7+1)/7,0)</f>
        <v>55</v>
      </c>
      <c r="L96" s="53">
        <f>ROUNDUP((J96-'01_INPUTS'!$C$7+1)/7,0)</f>
        <v>56</v>
      </c>
      <c r="M96" s="52" t="str">
        <f t="shared" si="14"/>
        <v>Site 12|UAT</v>
      </c>
    </row>
    <row r="97" spans="2:13" x14ac:dyDescent="0.3">
      <c r="B97" s="53" t="str">
        <f>'Sites Master'!$B$13</f>
        <v>Site 12</v>
      </c>
      <c r="C97" s="53" t="str">
        <f>'Sites Master'!$A$13</f>
        <v>Colombia</v>
      </c>
      <c r="D97" s="53">
        <f>'Sites Master'!$C$13</f>
        <v>4</v>
      </c>
      <c r="E97" s="53" t="str">
        <f>'01_INPUTS'!$C$8</f>
        <v>A</v>
      </c>
      <c r="F97" s="53" t="str" cm="1">
        <f t="array" ref="F97">INDEX('Implementation Phases'!$B$2:$B$9,G97)</f>
        <v>Training</v>
      </c>
      <c r="G97" s="53">
        <f>5</f>
        <v>5</v>
      </c>
      <c r="H97" s="53" cm="1">
        <f t="array" ref="H97">IFERROR(_xlfn.XLOOKUP(1,('Implementation Phases'!$A$2:$A$65=D97)*('Implementation Phases'!$D$2:$D$65=E97)*('Implementation Phases'!$C$2:$C$65=G97),'Implementation Phases'!$E$2:$E$65),0)</f>
        <v>1</v>
      </c>
      <c r="I97" s="58">
        <f t="shared" si="18"/>
        <v>46637</v>
      </c>
      <c r="J97" s="58">
        <f t="shared" si="13"/>
        <v>46643</v>
      </c>
      <c r="K97" s="53">
        <f>ROUNDUP((I97-'01_INPUTS'!$C$7+1)/7,0)</f>
        <v>56</v>
      </c>
      <c r="L97" s="53">
        <f>ROUNDUP((J97-'01_INPUTS'!$C$7+1)/7,0)</f>
        <v>57</v>
      </c>
      <c r="M97" s="52" t="str">
        <f t="shared" si="14"/>
        <v>Site 12|Training</v>
      </c>
    </row>
    <row r="98" spans="2:13" x14ac:dyDescent="0.3">
      <c r="B98" s="53" t="str">
        <f>'Sites Master'!$B$13</f>
        <v>Site 12</v>
      </c>
      <c r="C98" s="53" t="str">
        <f>'Sites Master'!$A$13</f>
        <v>Colombia</v>
      </c>
      <c r="D98" s="53">
        <f>'Sites Master'!$C$13</f>
        <v>4</v>
      </c>
      <c r="E98" s="53" t="str">
        <f>'01_INPUTS'!$C$8</f>
        <v>A</v>
      </c>
      <c r="F98" s="53" t="str" cm="1">
        <f t="array" ref="F98">INDEX('Implementation Phases'!$B$2:$B$9,G98)</f>
        <v>DIALT</v>
      </c>
      <c r="G98" s="53">
        <f>6</f>
        <v>6</v>
      </c>
      <c r="H98" s="53" cm="1">
        <f t="array" ref="H98">IFERROR(_xlfn.XLOOKUP(1,('Implementation Phases'!$A$2:$A$65=D98)*('Implementation Phases'!$D$2:$D$65=E98)*('Implementation Phases'!$C$2:$C$65=G98),'Implementation Phases'!$E$2:$E$65),0)</f>
        <v>1</v>
      </c>
      <c r="I98" s="58">
        <f t="shared" si="18"/>
        <v>46644</v>
      </c>
      <c r="J98" s="58">
        <f t="shared" si="13"/>
        <v>46650</v>
      </c>
      <c r="K98" s="53">
        <f>ROUNDUP((I98-'01_INPUTS'!$C$7+1)/7,0)</f>
        <v>57</v>
      </c>
      <c r="L98" s="53">
        <f>ROUNDUP((J98-'01_INPUTS'!$C$7+1)/7,0)</f>
        <v>58</v>
      </c>
      <c r="M98" s="52" t="str">
        <f t="shared" si="14"/>
        <v>Site 12|DIALT</v>
      </c>
    </row>
    <row r="99" spans="2:13" x14ac:dyDescent="0.3">
      <c r="B99" s="53" t="str">
        <f>'Sites Master'!$B$13</f>
        <v>Site 12</v>
      </c>
      <c r="C99" s="53" t="str">
        <f>'Sites Master'!$A$13</f>
        <v>Colombia</v>
      </c>
      <c r="D99" s="53">
        <f>'Sites Master'!$C$13</f>
        <v>4</v>
      </c>
      <c r="E99" s="53" t="str">
        <f>'01_INPUTS'!$C$8</f>
        <v>A</v>
      </c>
      <c r="F99" s="53" t="str" cm="1">
        <f t="array" ref="F99">INDEX('Implementation Phases'!$B$2:$B$9,G99)</f>
        <v>Go Live</v>
      </c>
      <c r="G99" s="53">
        <f>7</f>
        <v>7</v>
      </c>
      <c r="H99" s="53" cm="1">
        <f t="array" ref="H99">IFERROR(_xlfn.XLOOKUP(1,('Implementation Phases'!$A$2:$A$65=D99)*('Implementation Phases'!$D$2:$D$65=E99)*('Implementation Phases'!$C$2:$C$65=G99),'Implementation Phases'!$E$2:$E$65),0)</f>
        <v>1</v>
      </c>
      <c r="I99" s="58">
        <f t="shared" si="18"/>
        <v>46651</v>
      </c>
      <c r="J99" s="58">
        <f t="shared" si="13"/>
        <v>46657</v>
      </c>
      <c r="K99" s="53">
        <f>ROUNDUP((I99-'01_INPUTS'!$C$7+1)/7,0)</f>
        <v>58</v>
      </c>
      <c r="L99" s="53">
        <f>ROUNDUP((J99-'01_INPUTS'!$C$7+1)/7,0)</f>
        <v>59</v>
      </c>
      <c r="M99" s="52" t="str">
        <f t="shared" si="14"/>
        <v>Site 12|Go Live</v>
      </c>
    </row>
    <row r="100" spans="2:13" x14ac:dyDescent="0.3">
      <c r="B100" s="53" t="str">
        <f>'Sites Master'!$B$13</f>
        <v>Site 12</v>
      </c>
      <c r="C100" s="53" t="str">
        <f>'Sites Master'!$A$13</f>
        <v>Colombia</v>
      </c>
      <c r="D100" s="53">
        <f>'Sites Master'!$C$13</f>
        <v>4</v>
      </c>
      <c r="E100" s="53" t="str">
        <f>'01_INPUTS'!$C$8</f>
        <v>A</v>
      </c>
      <c r="F100" s="53" t="str" cm="1">
        <f t="array" ref="F100">INDEX('Implementation Phases'!$B$2:$B$9,G100)</f>
        <v>Hypercare</v>
      </c>
      <c r="G100" s="53">
        <f>8</f>
        <v>8</v>
      </c>
      <c r="H100" s="53" cm="1">
        <f t="array" ref="H100">IFERROR(_xlfn.XLOOKUP(1,('Implementation Phases'!$A$2:$A$65=D100)*('Implementation Phases'!$D$2:$D$65=E100)*('Implementation Phases'!$C$2:$C$65=G100),'Implementation Phases'!$E$2:$E$65),0)</f>
        <v>3</v>
      </c>
      <c r="I100" s="58">
        <f t="shared" si="18"/>
        <v>46658</v>
      </c>
      <c r="J100" s="58">
        <f t="shared" si="13"/>
        <v>46678</v>
      </c>
      <c r="K100" s="53">
        <f>ROUNDUP((I100-'01_INPUTS'!$C$7+1)/7,0)</f>
        <v>59</v>
      </c>
      <c r="L100" s="53">
        <f>ROUNDUP((J100-'01_INPUTS'!$C$7+1)/7,0)</f>
        <v>62</v>
      </c>
      <c r="M100" s="52" t="str">
        <f t="shared" si="14"/>
        <v>Site 12|Hypercare</v>
      </c>
    </row>
    <row r="101" spans="2:13" x14ac:dyDescent="0.3">
      <c r="B101" s="50" t="str">
        <f>'Sites Master'!$B$14</f>
        <v>Site 13</v>
      </c>
      <c r="C101" s="50" t="str">
        <f>'Sites Master'!$A$14</f>
        <v>Colombia</v>
      </c>
      <c r="D101" s="50">
        <f>'Sites Master'!$C$14</f>
        <v>1</v>
      </c>
      <c r="E101" s="50" t="str">
        <f>'01_INPUTS'!$C$8</f>
        <v>A</v>
      </c>
      <c r="F101" s="50" t="str" cm="1">
        <f t="array" ref="F101">INDEX('Implementation Phases'!$B$2:$B$9,G101)</f>
        <v>Site Readiness</v>
      </c>
      <c r="G101" s="50">
        <f>1</f>
        <v>1</v>
      </c>
      <c r="H101" s="50" cm="1">
        <f t="array" ref="H101">IFERROR(_xlfn.XLOOKUP(1,('Implementation Phases'!$A$2:$A$65=D101)*('Implementation Phases'!$D$2:$D$65=E101)*('Implementation Phases'!$C$2:$C$65=G101),'Implementation Phases'!$E$2:$E$65),0)</f>
        <v>5</v>
      </c>
      <c r="I101" s="57">
        <f>INDEX($S$5:$S$19,MATCH(B101,$P$5:$P$19,0))</f>
        <v>46720</v>
      </c>
      <c r="J101" s="57">
        <f t="shared" ref="J101:J124" si="19">IF(H101=0,I101,I101+H101*7-1)</f>
        <v>46754</v>
      </c>
      <c r="K101" s="50">
        <f>ROUNDUP((I101-'01_INPUTS'!$C$7+1)/7,0)</f>
        <v>68</v>
      </c>
      <c r="L101" s="50">
        <f>ROUNDUP((J101-'01_INPUTS'!$C$7+1)/7,0)</f>
        <v>72</v>
      </c>
      <c r="M101" s="52" t="str">
        <f t="shared" ref="M101:M124" si="20">B101&amp;"|"&amp;F101</f>
        <v>Site 13|Site Readiness</v>
      </c>
    </row>
    <row r="102" spans="2:13" x14ac:dyDescent="0.3">
      <c r="B102" s="50" t="str">
        <f>'Sites Master'!$B$14</f>
        <v>Site 13</v>
      </c>
      <c r="C102" s="50" t="str">
        <f>'Sites Master'!$A$14</f>
        <v>Colombia</v>
      </c>
      <c r="D102" s="50">
        <f>'Sites Master'!$C$14</f>
        <v>1</v>
      </c>
      <c r="E102" s="50" t="str">
        <f>'01_INPUTS'!$C$8</f>
        <v>A</v>
      </c>
      <c r="F102" s="50" t="str" cm="1">
        <f t="array" ref="F102">INDEX('Implementation Phases'!$B$2:$B$9,G102)</f>
        <v>Design Adaptation</v>
      </c>
      <c r="G102" s="50">
        <f>2</f>
        <v>2</v>
      </c>
      <c r="H102" s="50" cm="1">
        <f t="array" ref="H102">IFERROR(_xlfn.XLOOKUP(1,('Implementation Phases'!$A$2:$A$65=D102)*('Implementation Phases'!$D$2:$D$65=E102)*('Implementation Phases'!$C$2:$C$65=G102),'Implementation Phases'!$E$2:$E$65),0)</f>
        <v>2</v>
      </c>
      <c r="I102" s="57">
        <f t="shared" ref="I102:I108" si="21">J101+1</f>
        <v>46755</v>
      </c>
      <c r="J102" s="57">
        <f t="shared" si="19"/>
        <v>46768</v>
      </c>
      <c r="K102" s="50">
        <f>ROUNDUP((I102-'01_INPUTS'!$C$7+1)/7,0)</f>
        <v>73</v>
      </c>
      <c r="L102" s="50">
        <f>ROUNDUP((J102-'01_INPUTS'!$C$7+1)/7,0)</f>
        <v>74</v>
      </c>
      <c r="M102" s="52" t="str">
        <f t="shared" si="20"/>
        <v>Site 13|Design Adaptation</v>
      </c>
    </row>
    <row r="103" spans="2:13" x14ac:dyDescent="0.3">
      <c r="B103" s="50" t="str">
        <f>'Sites Master'!$B$14</f>
        <v>Site 13</v>
      </c>
      <c r="C103" s="50" t="str">
        <f>'Sites Master'!$A$14</f>
        <v>Colombia</v>
      </c>
      <c r="D103" s="50">
        <f>'Sites Master'!$C$14</f>
        <v>1</v>
      </c>
      <c r="E103" s="50" t="str">
        <f>'01_INPUTS'!$C$8</f>
        <v>A</v>
      </c>
      <c r="F103" s="50" t="str" cm="1">
        <f t="array" ref="F103">INDEX('Implementation Phases'!$B$2:$B$9,G103)</f>
        <v>Functional Review</v>
      </c>
      <c r="G103" s="50">
        <f>3</f>
        <v>3</v>
      </c>
      <c r="H103" s="50" cm="1">
        <f t="array" ref="H103">IFERROR(_xlfn.XLOOKUP(1,('Implementation Phases'!$A$2:$A$65=D103)*('Implementation Phases'!$D$2:$D$65=E103)*('Implementation Phases'!$C$2:$C$65=G103),'Implementation Phases'!$E$2:$E$65),0)</f>
        <v>1</v>
      </c>
      <c r="I103" s="57">
        <f t="shared" si="21"/>
        <v>46769</v>
      </c>
      <c r="J103" s="57">
        <f t="shared" si="19"/>
        <v>46775</v>
      </c>
      <c r="K103" s="50">
        <f>ROUNDUP((I103-'01_INPUTS'!$C$7+1)/7,0)</f>
        <v>75</v>
      </c>
      <c r="L103" s="50">
        <f>ROUNDUP((J103-'01_INPUTS'!$C$7+1)/7,0)</f>
        <v>75</v>
      </c>
      <c r="M103" s="52" t="str">
        <f t="shared" si="20"/>
        <v>Site 13|Functional Review</v>
      </c>
    </row>
    <row r="104" spans="2:13" x14ac:dyDescent="0.3">
      <c r="B104" s="50" t="str">
        <f>'Sites Master'!$B$14</f>
        <v>Site 13</v>
      </c>
      <c r="C104" s="50" t="str">
        <f>'Sites Master'!$A$14</f>
        <v>Colombia</v>
      </c>
      <c r="D104" s="50">
        <f>'Sites Master'!$C$14</f>
        <v>1</v>
      </c>
      <c r="E104" s="50" t="str">
        <f>'01_INPUTS'!$C$8</f>
        <v>A</v>
      </c>
      <c r="F104" s="50" t="str" cm="1">
        <f t="array" ref="F104">INDEX('Implementation Phases'!$B$2:$B$9,G104)</f>
        <v>UAT</v>
      </c>
      <c r="G104" s="50">
        <f>4</f>
        <v>4</v>
      </c>
      <c r="H104" s="50" cm="1">
        <f t="array" ref="H104">IFERROR(_xlfn.XLOOKUP(1,('Implementation Phases'!$A$2:$A$65=D104)*('Implementation Phases'!$D$2:$D$65=E104)*('Implementation Phases'!$C$2:$C$65=G104),'Implementation Phases'!$E$2:$E$65),0)</f>
        <v>2</v>
      </c>
      <c r="I104" s="57">
        <f t="shared" si="21"/>
        <v>46776</v>
      </c>
      <c r="J104" s="57">
        <f t="shared" si="19"/>
        <v>46789</v>
      </c>
      <c r="K104" s="50">
        <f>ROUNDUP((I104-'01_INPUTS'!$C$7+1)/7,0)</f>
        <v>76</v>
      </c>
      <c r="L104" s="50">
        <f>ROUNDUP((J104-'01_INPUTS'!$C$7+1)/7,0)</f>
        <v>77</v>
      </c>
      <c r="M104" s="52" t="str">
        <f t="shared" si="20"/>
        <v>Site 13|UAT</v>
      </c>
    </row>
    <row r="105" spans="2:13" x14ac:dyDescent="0.3">
      <c r="B105" s="50" t="str">
        <f>'Sites Master'!$B$14</f>
        <v>Site 13</v>
      </c>
      <c r="C105" s="50" t="str">
        <f>'Sites Master'!$A$14</f>
        <v>Colombia</v>
      </c>
      <c r="D105" s="50">
        <f>'Sites Master'!$C$14</f>
        <v>1</v>
      </c>
      <c r="E105" s="50" t="str">
        <f>'01_INPUTS'!$C$8</f>
        <v>A</v>
      </c>
      <c r="F105" s="50" t="str" cm="1">
        <f t="array" ref="F105">INDEX('Implementation Phases'!$B$2:$B$9,G105)</f>
        <v>Training</v>
      </c>
      <c r="G105" s="50">
        <f>5</f>
        <v>5</v>
      </c>
      <c r="H105" s="50" cm="1">
        <f t="array" ref="H105">IFERROR(_xlfn.XLOOKUP(1,('Implementation Phases'!$A$2:$A$65=D105)*('Implementation Phases'!$D$2:$D$65=E105)*('Implementation Phases'!$C$2:$C$65=G105),'Implementation Phases'!$E$2:$E$65),0)</f>
        <v>3</v>
      </c>
      <c r="I105" s="57">
        <f t="shared" si="21"/>
        <v>46790</v>
      </c>
      <c r="J105" s="57">
        <f t="shared" si="19"/>
        <v>46810</v>
      </c>
      <c r="K105" s="50">
        <f>ROUNDUP((I105-'01_INPUTS'!$C$7+1)/7,0)</f>
        <v>78</v>
      </c>
      <c r="L105" s="50">
        <f>ROUNDUP((J105-'01_INPUTS'!$C$7+1)/7,0)</f>
        <v>80</v>
      </c>
      <c r="M105" s="52" t="str">
        <f t="shared" si="20"/>
        <v>Site 13|Training</v>
      </c>
    </row>
    <row r="106" spans="2:13" x14ac:dyDescent="0.3">
      <c r="B106" s="50" t="str">
        <f>'Sites Master'!$B$14</f>
        <v>Site 13</v>
      </c>
      <c r="C106" s="50" t="str">
        <f>'Sites Master'!$A$14</f>
        <v>Colombia</v>
      </c>
      <c r="D106" s="50">
        <f>'Sites Master'!$C$14</f>
        <v>1</v>
      </c>
      <c r="E106" s="50" t="str">
        <f>'01_INPUTS'!$C$8</f>
        <v>A</v>
      </c>
      <c r="F106" s="50" t="str" cm="1">
        <f t="array" ref="F106">INDEX('Implementation Phases'!$B$2:$B$9,G106)</f>
        <v>DIALT</v>
      </c>
      <c r="G106" s="50">
        <f>6</f>
        <v>6</v>
      </c>
      <c r="H106" s="50" cm="1">
        <f t="array" ref="H106">IFERROR(_xlfn.XLOOKUP(1,('Implementation Phases'!$A$2:$A$65=D106)*('Implementation Phases'!$D$2:$D$65=E106)*('Implementation Phases'!$C$2:$C$65=G106),'Implementation Phases'!$E$2:$E$65),0)</f>
        <v>1</v>
      </c>
      <c r="I106" s="57">
        <f t="shared" si="21"/>
        <v>46811</v>
      </c>
      <c r="J106" s="57">
        <f t="shared" si="19"/>
        <v>46817</v>
      </c>
      <c r="K106" s="50">
        <f>ROUNDUP((I106-'01_INPUTS'!$C$7+1)/7,0)</f>
        <v>81</v>
      </c>
      <c r="L106" s="50">
        <f>ROUNDUP((J106-'01_INPUTS'!$C$7+1)/7,0)</f>
        <v>81</v>
      </c>
      <c r="M106" s="52" t="str">
        <f t="shared" si="20"/>
        <v>Site 13|DIALT</v>
      </c>
    </row>
    <row r="107" spans="2:13" x14ac:dyDescent="0.3">
      <c r="B107" s="50" t="str">
        <f>'Sites Master'!$B$14</f>
        <v>Site 13</v>
      </c>
      <c r="C107" s="50" t="str">
        <f>'Sites Master'!$A$14</f>
        <v>Colombia</v>
      </c>
      <c r="D107" s="50">
        <f>'Sites Master'!$C$14</f>
        <v>1</v>
      </c>
      <c r="E107" s="50" t="str">
        <f>'01_INPUTS'!$C$8</f>
        <v>A</v>
      </c>
      <c r="F107" s="50" t="str" cm="1">
        <f t="array" ref="F107">INDEX('Implementation Phases'!$B$2:$B$9,G107)</f>
        <v>Go Live</v>
      </c>
      <c r="G107" s="50">
        <f>7</f>
        <v>7</v>
      </c>
      <c r="H107" s="50" cm="1">
        <f t="array" ref="H107">IFERROR(_xlfn.XLOOKUP(1,('Implementation Phases'!$A$2:$A$65=D107)*('Implementation Phases'!$D$2:$D$65=E107)*('Implementation Phases'!$C$2:$C$65=G107),'Implementation Phases'!$E$2:$E$65),0)</f>
        <v>1</v>
      </c>
      <c r="I107" s="57">
        <f t="shared" si="21"/>
        <v>46818</v>
      </c>
      <c r="J107" s="57">
        <f t="shared" si="19"/>
        <v>46824</v>
      </c>
      <c r="K107" s="50">
        <f>ROUNDUP((I107-'01_INPUTS'!$C$7+1)/7,0)</f>
        <v>82</v>
      </c>
      <c r="L107" s="50">
        <f>ROUNDUP((J107-'01_INPUTS'!$C$7+1)/7,0)</f>
        <v>82</v>
      </c>
      <c r="M107" s="52" t="str">
        <f t="shared" si="20"/>
        <v>Site 13|Go Live</v>
      </c>
    </row>
    <row r="108" spans="2:13" x14ac:dyDescent="0.3">
      <c r="B108" s="50" t="str">
        <f>'Sites Master'!$B$14</f>
        <v>Site 13</v>
      </c>
      <c r="C108" s="50" t="str">
        <f>'Sites Master'!$A$14</f>
        <v>Colombia</v>
      </c>
      <c r="D108" s="50">
        <f>'Sites Master'!$C$14</f>
        <v>1</v>
      </c>
      <c r="E108" s="50" t="str">
        <f>'01_INPUTS'!$C$8</f>
        <v>A</v>
      </c>
      <c r="F108" s="50" t="str" cm="1">
        <f t="array" ref="F108">INDEX('Implementation Phases'!$B$2:$B$9,G108)</f>
        <v>Hypercare</v>
      </c>
      <c r="G108" s="50">
        <f>8</f>
        <v>8</v>
      </c>
      <c r="H108" s="50" cm="1">
        <f t="array" ref="H108">IFERROR(_xlfn.XLOOKUP(1,('Implementation Phases'!$A$2:$A$65=D108)*('Implementation Phases'!$D$2:$D$65=E108)*('Implementation Phases'!$C$2:$C$65=G108),'Implementation Phases'!$E$2:$E$65),0)</f>
        <v>4</v>
      </c>
      <c r="I108" s="57">
        <f t="shared" si="21"/>
        <v>46825</v>
      </c>
      <c r="J108" s="57">
        <f t="shared" si="19"/>
        <v>46852</v>
      </c>
      <c r="K108" s="50">
        <f>ROUNDUP((I108-'01_INPUTS'!$C$7+1)/7,0)</f>
        <v>83</v>
      </c>
      <c r="L108" s="50">
        <f>ROUNDUP((J108-'01_INPUTS'!$C$7+1)/7,0)</f>
        <v>86</v>
      </c>
      <c r="M108" s="52" t="str">
        <f t="shared" si="20"/>
        <v>Site 13|Hypercare</v>
      </c>
    </row>
    <row r="109" spans="2:13" x14ac:dyDescent="0.3">
      <c r="B109" s="53" t="str">
        <f>'Sites Master'!$B$15</f>
        <v>Site 14</v>
      </c>
      <c r="C109" s="53" t="str">
        <f>'Sites Master'!$A$15</f>
        <v>Colombia</v>
      </c>
      <c r="D109" s="53">
        <f>'Sites Master'!$C$15</f>
        <v>1</v>
      </c>
      <c r="E109" s="53" t="str">
        <f>'01_INPUTS'!$C$8</f>
        <v>A</v>
      </c>
      <c r="F109" s="53" t="str" cm="1">
        <f t="array" ref="F109">INDEX('Implementation Phases'!$B$2:$B$9,G109)</f>
        <v>Site Readiness</v>
      </c>
      <c r="G109" s="53">
        <f>1</f>
        <v>1</v>
      </c>
      <c r="H109" s="53" cm="1">
        <f t="array" ref="H109">IFERROR(_xlfn.XLOOKUP(1,('Implementation Phases'!$A$2:$A$65=D109)*('Implementation Phases'!$D$2:$D$65=E109)*('Implementation Phases'!$C$2:$C$65=G109),'Implementation Phases'!$E$2:$E$65),0)</f>
        <v>5</v>
      </c>
      <c r="I109" s="58">
        <f>INDEX($S$5:$S$19,MATCH(B109,$P$5:$P$19,0))</f>
        <v>46706</v>
      </c>
      <c r="J109" s="58">
        <f t="shared" si="19"/>
        <v>46740</v>
      </c>
      <c r="K109" s="53">
        <f>ROUNDUP((I109-'01_INPUTS'!$C$7+1)/7,0)</f>
        <v>66</v>
      </c>
      <c r="L109" s="53">
        <f>ROUNDUP((J109-'01_INPUTS'!$C$7+1)/7,0)</f>
        <v>70</v>
      </c>
      <c r="M109" s="52" t="str">
        <f t="shared" si="20"/>
        <v>Site 14|Site Readiness</v>
      </c>
    </row>
    <row r="110" spans="2:13" x14ac:dyDescent="0.3">
      <c r="B110" s="53" t="str">
        <f>'Sites Master'!$B$15</f>
        <v>Site 14</v>
      </c>
      <c r="C110" s="53" t="str">
        <f>'Sites Master'!$A$15</f>
        <v>Colombia</v>
      </c>
      <c r="D110" s="53">
        <f>'Sites Master'!$C$15</f>
        <v>1</v>
      </c>
      <c r="E110" s="53" t="str">
        <f>'01_INPUTS'!$C$8</f>
        <v>A</v>
      </c>
      <c r="F110" s="53" t="str" cm="1">
        <f t="array" ref="F110">INDEX('Implementation Phases'!$B$2:$B$9,G110)</f>
        <v>Design Adaptation</v>
      </c>
      <c r="G110" s="53">
        <f>2</f>
        <v>2</v>
      </c>
      <c r="H110" s="53" cm="1">
        <f t="array" ref="H110">IFERROR(_xlfn.XLOOKUP(1,('Implementation Phases'!$A$2:$A$65=D110)*('Implementation Phases'!$D$2:$D$65=E110)*('Implementation Phases'!$C$2:$C$65=G110),'Implementation Phases'!$E$2:$E$65),0)</f>
        <v>2</v>
      </c>
      <c r="I110" s="58">
        <f t="shared" ref="I110:I116" si="22">J109+1</f>
        <v>46741</v>
      </c>
      <c r="J110" s="58">
        <f t="shared" si="19"/>
        <v>46754</v>
      </c>
      <c r="K110" s="53">
        <f>ROUNDUP((I110-'01_INPUTS'!$C$7+1)/7,0)</f>
        <v>71</v>
      </c>
      <c r="L110" s="53">
        <f>ROUNDUP((J110-'01_INPUTS'!$C$7+1)/7,0)</f>
        <v>72</v>
      </c>
      <c r="M110" s="52" t="str">
        <f t="shared" si="20"/>
        <v>Site 14|Design Adaptation</v>
      </c>
    </row>
    <row r="111" spans="2:13" x14ac:dyDescent="0.3">
      <c r="B111" s="53" t="str">
        <f>'Sites Master'!$B$15</f>
        <v>Site 14</v>
      </c>
      <c r="C111" s="53" t="str">
        <f>'Sites Master'!$A$15</f>
        <v>Colombia</v>
      </c>
      <c r="D111" s="53">
        <f>'Sites Master'!$C$15</f>
        <v>1</v>
      </c>
      <c r="E111" s="53" t="str">
        <f>'01_INPUTS'!$C$8</f>
        <v>A</v>
      </c>
      <c r="F111" s="53" t="str" cm="1">
        <f t="array" ref="F111">INDEX('Implementation Phases'!$B$2:$B$9,G111)</f>
        <v>Functional Review</v>
      </c>
      <c r="G111" s="53">
        <f>3</f>
        <v>3</v>
      </c>
      <c r="H111" s="53" cm="1">
        <f t="array" ref="H111">IFERROR(_xlfn.XLOOKUP(1,('Implementation Phases'!$A$2:$A$65=D111)*('Implementation Phases'!$D$2:$D$65=E111)*('Implementation Phases'!$C$2:$C$65=G111),'Implementation Phases'!$E$2:$E$65),0)</f>
        <v>1</v>
      </c>
      <c r="I111" s="58">
        <f t="shared" si="22"/>
        <v>46755</v>
      </c>
      <c r="J111" s="58">
        <f t="shared" si="19"/>
        <v>46761</v>
      </c>
      <c r="K111" s="53">
        <f>ROUNDUP((I111-'01_INPUTS'!$C$7+1)/7,0)</f>
        <v>73</v>
      </c>
      <c r="L111" s="53">
        <f>ROUNDUP((J111-'01_INPUTS'!$C$7+1)/7,0)</f>
        <v>73</v>
      </c>
      <c r="M111" s="52" t="str">
        <f t="shared" si="20"/>
        <v>Site 14|Functional Review</v>
      </c>
    </row>
    <row r="112" spans="2:13" x14ac:dyDescent="0.3">
      <c r="B112" s="53" t="str">
        <f>'Sites Master'!$B$15</f>
        <v>Site 14</v>
      </c>
      <c r="C112" s="53" t="str">
        <f>'Sites Master'!$A$15</f>
        <v>Colombia</v>
      </c>
      <c r="D112" s="53">
        <f>'Sites Master'!$C$15</f>
        <v>1</v>
      </c>
      <c r="E112" s="53" t="str">
        <f>'01_INPUTS'!$C$8</f>
        <v>A</v>
      </c>
      <c r="F112" s="53" t="str" cm="1">
        <f t="array" ref="F112">INDEX('Implementation Phases'!$B$2:$B$9,G112)</f>
        <v>UAT</v>
      </c>
      <c r="G112" s="53">
        <f>4</f>
        <v>4</v>
      </c>
      <c r="H112" s="53" cm="1">
        <f t="array" ref="H112">IFERROR(_xlfn.XLOOKUP(1,('Implementation Phases'!$A$2:$A$65=D112)*('Implementation Phases'!$D$2:$D$65=E112)*('Implementation Phases'!$C$2:$C$65=G112),'Implementation Phases'!$E$2:$E$65),0)</f>
        <v>2</v>
      </c>
      <c r="I112" s="58">
        <f t="shared" si="22"/>
        <v>46762</v>
      </c>
      <c r="J112" s="58">
        <f t="shared" si="19"/>
        <v>46775</v>
      </c>
      <c r="K112" s="53">
        <f>ROUNDUP((I112-'01_INPUTS'!$C$7+1)/7,0)</f>
        <v>74</v>
      </c>
      <c r="L112" s="53">
        <f>ROUNDUP((J112-'01_INPUTS'!$C$7+1)/7,0)</f>
        <v>75</v>
      </c>
      <c r="M112" s="52" t="str">
        <f t="shared" si="20"/>
        <v>Site 14|UAT</v>
      </c>
    </row>
    <row r="113" spans="2:13" x14ac:dyDescent="0.3">
      <c r="B113" s="53" t="str">
        <f>'Sites Master'!$B$15</f>
        <v>Site 14</v>
      </c>
      <c r="C113" s="53" t="str">
        <f>'Sites Master'!$A$15</f>
        <v>Colombia</v>
      </c>
      <c r="D113" s="53">
        <f>'Sites Master'!$C$15</f>
        <v>1</v>
      </c>
      <c r="E113" s="53" t="str">
        <f>'01_INPUTS'!$C$8</f>
        <v>A</v>
      </c>
      <c r="F113" s="53" t="str" cm="1">
        <f t="array" ref="F113">INDEX('Implementation Phases'!$B$2:$B$9,G113)</f>
        <v>Training</v>
      </c>
      <c r="G113" s="53">
        <f>5</f>
        <v>5</v>
      </c>
      <c r="H113" s="53" cm="1">
        <f t="array" ref="H113">IFERROR(_xlfn.XLOOKUP(1,('Implementation Phases'!$A$2:$A$65=D113)*('Implementation Phases'!$D$2:$D$65=E113)*('Implementation Phases'!$C$2:$C$65=G113),'Implementation Phases'!$E$2:$E$65),0)</f>
        <v>3</v>
      </c>
      <c r="I113" s="58">
        <f t="shared" si="22"/>
        <v>46776</v>
      </c>
      <c r="J113" s="58">
        <f t="shared" si="19"/>
        <v>46796</v>
      </c>
      <c r="K113" s="53">
        <f>ROUNDUP((I113-'01_INPUTS'!$C$7+1)/7,0)</f>
        <v>76</v>
      </c>
      <c r="L113" s="53">
        <f>ROUNDUP((J113-'01_INPUTS'!$C$7+1)/7,0)</f>
        <v>78</v>
      </c>
      <c r="M113" s="52" t="str">
        <f t="shared" si="20"/>
        <v>Site 14|Training</v>
      </c>
    </row>
    <row r="114" spans="2:13" x14ac:dyDescent="0.3">
      <c r="B114" s="53" t="str">
        <f>'Sites Master'!$B$15</f>
        <v>Site 14</v>
      </c>
      <c r="C114" s="53" t="str">
        <f>'Sites Master'!$A$15</f>
        <v>Colombia</v>
      </c>
      <c r="D114" s="53">
        <f>'Sites Master'!$C$15</f>
        <v>1</v>
      </c>
      <c r="E114" s="53" t="str">
        <f>'01_INPUTS'!$C$8</f>
        <v>A</v>
      </c>
      <c r="F114" s="53" t="str" cm="1">
        <f t="array" ref="F114">INDEX('Implementation Phases'!$B$2:$B$9,G114)</f>
        <v>DIALT</v>
      </c>
      <c r="G114" s="53">
        <f>6</f>
        <v>6</v>
      </c>
      <c r="H114" s="53" cm="1">
        <f t="array" ref="H114">IFERROR(_xlfn.XLOOKUP(1,('Implementation Phases'!$A$2:$A$65=D114)*('Implementation Phases'!$D$2:$D$65=E114)*('Implementation Phases'!$C$2:$C$65=G114),'Implementation Phases'!$E$2:$E$65),0)</f>
        <v>1</v>
      </c>
      <c r="I114" s="58">
        <f t="shared" si="22"/>
        <v>46797</v>
      </c>
      <c r="J114" s="58">
        <f t="shared" si="19"/>
        <v>46803</v>
      </c>
      <c r="K114" s="53">
        <f>ROUNDUP((I114-'01_INPUTS'!$C$7+1)/7,0)</f>
        <v>79</v>
      </c>
      <c r="L114" s="53">
        <f>ROUNDUP((J114-'01_INPUTS'!$C$7+1)/7,0)</f>
        <v>79</v>
      </c>
      <c r="M114" s="52" t="str">
        <f t="shared" si="20"/>
        <v>Site 14|DIALT</v>
      </c>
    </row>
    <row r="115" spans="2:13" x14ac:dyDescent="0.3">
      <c r="B115" s="53" t="str">
        <f>'Sites Master'!$B$15</f>
        <v>Site 14</v>
      </c>
      <c r="C115" s="53" t="str">
        <f>'Sites Master'!$A$15</f>
        <v>Colombia</v>
      </c>
      <c r="D115" s="53">
        <f>'Sites Master'!$C$15</f>
        <v>1</v>
      </c>
      <c r="E115" s="53" t="str">
        <f>'01_INPUTS'!$C$8</f>
        <v>A</v>
      </c>
      <c r="F115" s="53" t="str" cm="1">
        <f t="array" ref="F115">INDEX('Implementation Phases'!$B$2:$B$9,G115)</f>
        <v>Go Live</v>
      </c>
      <c r="G115" s="53">
        <f>7</f>
        <v>7</v>
      </c>
      <c r="H115" s="53" cm="1">
        <f t="array" ref="H115">IFERROR(_xlfn.XLOOKUP(1,('Implementation Phases'!$A$2:$A$65=D115)*('Implementation Phases'!$D$2:$D$65=E115)*('Implementation Phases'!$C$2:$C$65=G115),'Implementation Phases'!$E$2:$E$65),0)</f>
        <v>1</v>
      </c>
      <c r="I115" s="58">
        <f t="shared" si="22"/>
        <v>46804</v>
      </c>
      <c r="J115" s="58">
        <f t="shared" si="19"/>
        <v>46810</v>
      </c>
      <c r="K115" s="53">
        <f>ROUNDUP((I115-'01_INPUTS'!$C$7+1)/7,0)</f>
        <v>80</v>
      </c>
      <c r="L115" s="53">
        <f>ROUNDUP((J115-'01_INPUTS'!$C$7+1)/7,0)</f>
        <v>80</v>
      </c>
      <c r="M115" s="52" t="str">
        <f t="shared" si="20"/>
        <v>Site 14|Go Live</v>
      </c>
    </row>
    <row r="116" spans="2:13" x14ac:dyDescent="0.3">
      <c r="B116" s="53" t="str">
        <f>'Sites Master'!$B$15</f>
        <v>Site 14</v>
      </c>
      <c r="C116" s="53" t="str">
        <f>'Sites Master'!$A$15</f>
        <v>Colombia</v>
      </c>
      <c r="D116" s="53">
        <f>'Sites Master'!$C$15</f>
        <v>1</v>
      </c>
      <c r="E116" s="53" t="str">
        <f>'01_INPUTS'!$C$8</f>
        <v>A</v>
      </c>
      <c r="F116" s="53" t="str" cm="1">
        <f t="array" ref="F116">INDEX('Implementation Phases'!$B$2:$B$9,G116)</f>
        <v>Hypercare</v>
      </c>
      <c r="G116" s="53">
        <f>8</f>
        <v>8</v>
      </c>
      <c r="H116" s="53" cm="1">
        <f t="array" ref="H116">IFERROR(_xlfn.XLOOKUP(1,('Implementation Phases'!$A$2:$A$65=D116)*('Implementation Phases'!$D$2:$D$65=E116)*('Implementation Phases'!$C$2:$C$65=G116),'Implementation Phases'!$E$2:$E$65),0)</f>
        <v>4</v>
      </c>
      <c r="I116" s="58">
        <f t="shared" si="22"/>
        <v>46811</v>
      </c>
      <c r="J116" s="58">
        <f t="shared" si="19"/>
        <v>46838</v>
      </c>
      <c r="K116" s="53">
        <f>ROUNDUP((I116-'01_INPUTS'!$C$7+1)/7,0)</f>
        <v>81</v>
      </c>
      <c r="L116" s="53">
        <f>ROUNDUP((J116-'01_INPUTS'!$C$7+1)/7,0)</f>
        <v>84</v>
      </c>
      <c r="M116" s="52" t="str">
        <f t="shared" si="20"/>
        <v>Site 14|Hypercare</v>
      </c>
    </row>
    <row r="117" spans="2:13" x14ac:dyDescent="0.3">
      <c r="B117" s="50" t="str">
        <f>'Sites Master'!$B$16</f>
        <v>Site 15</v>
      </c>
      <c r="C117" s="50" t="str">
        <f>'Sites Master'!$A$16</f>
        <v>Colombia</v>
      </c>
      <c r="D117" s="50">
        <f>'Sites Master'!$C$16</f>
        <v>2</v>
      </c>
      <c r="E117" s="50" t="str">
        <f>'01_INPUTS'!$C$8</f>
        <v>A</v>
      </c>
      <c r="F117" s="50" t="str" cm="1">
        <f t="array" ref="F117">INDEX('Implementation Phases'!$B$2:$B$9,G117)</f>
        <v>Site Readiness</v>
      </c>
      <c r="G117" s="50">
        <f>1</f>
        <v>1</v>
      </c>
      <c r="H117" s="50" cm="1">
        <f t="array" ref="H117">IFERROR(_xlfn.XLOOKUP(1,('Implementation Phases'!$A$2:$A$65=D117)*('Implementation Phases'!$D$2:$D$65=E117)*('Implementation Phases'!$C$2:$C$65=G117),'Implementation Phases'!$E$2:$E$65),0)</f>
        <v>4</v>
      </c>
      <c r="I117" s="57">
        <f>INDEX($S$5:$S$19,MATCH(B117,$P$5:$P$19,0))</f>
        <v>46678</v>
      </c>
      <c r="J117" s="57">
        <f t="shared" si="19"/>
        <v>46705</v>
      </c>
      <c r="K117" s="50">
        <f>ROUNDUP((I117-'01_INPUTS'!$C$7+1)/7,0)</f>
        <v>62</v>
      </c>
      <c r="L117" s="50">
        <f>ROUNDUP((J117-'01_INPUTS'!$C$7+1)/7,0)</f>
        <v>65</v>
      </c>
      <c r="M117" s="52" t="str">
        <f t="shared" si="20"/>
        <v>Site 15|Site Readiness</v>
      </c>
    </row>
    <row r="118" spans="2:13" x14ac:dyDescent="0.3">
      <c r="B118" s="50" t="str">
        <f>'Sites Master'!$B$16</f>
        <v>Site 15</v>
      </c>
      <c r="C118" s="50" t="str">
        <f>'Sites Master'!$A$16</f>
        <v>Colombia</v>
      </c>
      <c r="D118" s="50">
        <f>'Sites Master'!$C$16</f>
        <v>2</v>
      </c>
      <c r="E118" s="50" t="str">
        <f>'01_INPUTS'!$C$8</f>
        <v>A</v>
      </c>
      <c r="F118" s="50" t="str" cm="1">
        <f t="array" ref="F118">INDEX('Implementation Phases'!$B$2:$B$9,G118)</f>
        <v>Design Adaptation</v>
      </c>
      <c r="G118" s="50">
        <f>2</f>
        <v>2</v>
      </c>
      <c r="H118" s="50" cm="1">
        <f t="array" ref="H118">IFERROR(_xlfn.XLOOKUP(1,('Implementation Phases'!$A$2:$A$65=D118)*('Implementation Phases'!$D$2:$D$65=E118)*('Implementation Phases'!$C$2:$C$65=G118),'Implementation Phases'!$E$2:$E$65),0)</f>
        <v>1</v>
      </c>
      <c r="I118" s="57">
        <f t="shared" ref="I118:I124" si="23">J117+1</f>
        <v>46706</v>
      </c>
      <c r="J118" s="57">
        <f t="shared" si="19"/>
        <v>46712</v>
      </c>
      <c r="K118" s="50">
        <f>ROUNDUP((I118-'01_INPUTS'!$C$7+1)/7,0)</f>
        <v>66</v>
      </c>
      <c r="L118" s="50">
        <f>ROUNDUP((J118-'01_INPUTS'!$C$7+1)/7,0)</f>
        <v>66</v>
      </c>
      <c r="M118" s="52" t="str">
        <f t="shared" si="20"/>
        <v>Site 15|Design Adaptation</v>
      </c>
    </row>
    <row r="119" spans="2:13" x14ac:dyDescent="0.3">
      <c r="B119" s="50" t="str">
        <f>'Sites Master'!$B$16</f>
        <v>Site 15</v>
      </c>
      <c r="C119" s="50" t="str">
        <f>'Sites Master'!$A$16</f>
        <v>Colombia</v>
      </c>
      <c r="D119" s="50">
        <f>'Sites Master'!$C$16</f>
        <v>2</v>
      </c>
      <c r="E119" s="50" t="str">
        <f>'01_INPUTS'!$C$8</f>
        <v>A</v>
      </c>
      <c r="F119" s="50" t="str" cm="1">
        <f t="array" ref="F119">INDEX('Implementation Phases'!$B$2:$B$9,G119)</f>
        <v>Functional Review</v>
      </c>
      <c r="G119" s="50">
        <f>3</f>
        <v>3</v>
      </c>
      <c r="H119" s="50" cm="1">
        <f t="array" ref="H119">IFERROR(_xlfn.XLOOKUP(1,('Implementation Phases'!$A$2:$A$65=D119)*('Implementation Phases'!$D$2:$D$65=E119)*('Implementation Phases'!$C$2:$C$65=G119),'Implementation Phases'!$E$2:$E$65),0)</f>
        <v>1</v>
      </c>
      <c r="I119" s="57">
        <f t="shared" si="23"/>
        <v>46713</v>
      </c>
      <c r="J119" s="57">
        <f t="shared" si="19"/>
        <v>46719</v>
      </c>
      <c r="K119" s="50">
        <f>ROUNDUP((I119-'01_INPUTS'!$C$7+1)/7,0)</f>
        <v>67</v>
      </c>
      <c r="L119" s="50">
        <f>ROUNDUP((J119-'01_INPUTS'!$C$7+1)/7,0)</f>
        <v>67</v>
      </c>
      <c r="M119" s="52" t="str">
        <f t="shared" si="20"/>
        <v>Site 15|Functional Review</v>
      </c>
    </row>
    <row r="120" spans="2:13" x14ac:dyDescent="0.3">
      <c r="B120" s="50" t="str">
        <f>'Sites Master'!$B$16</f>
        <v>Site 15</v>
      </c>
      <c r="C120" s="50" t="str">
        <f>'Sites Master'!$A$16</f>
        <v>Colombia</v>
      </c>
      <c r="D120" s="50">
        <f>'Sites Master'!$C$16</f>
        <v>2</v>
      </c>
      <c r="E120" s="50" t="str">
        <f>'01_INPUTS'!$C$8</f>
        <v>A</v>
      </c>
      <c r="F120" s="50" t="str" cm="1">
        <f t="array" ref="F120">INDEX('Implementation Phases'!$B$2:$B$9,G120)</f>
        <v>UAT</v>
      </c>
      <c r="G120" s="50">
        <f>4</f>
        <v>4</v>
      </c>
      <c r="H120" s="50" cm="1">
        <f t="array" ref="H120">IFERROR(_xlfn.XLOOKUP(1,('Implementation Phases'!$A$2:$A$65=D120)*('Implementation Phases'!$D$2:$D$65=E120)*('Implementation Phases'!$C$2:$C$65=G120),'Implementation Phases'!$E$2:$E$65),0)</f>
        <v>2</v>
      </c>
      <c r="I120" s="57">
        <f t="shared" si="23"/>
        <v>46720</v>
      </c>
      <c r="J120" s="57">
        <f t="shared" si="19"/>
        <v>46733</v>
      </c>
      <c r="K120" s="50">
        <f>ROUNDUP((I120-'01_INPUTS'!$C$7+1)/7,0)</f>
        <v>68</v>
      </c>
      <c r="L120" s="50">
        <f>ROUNDUP((J120-'01_INPUTS'!$C$7+1)/7,0)</f>
        <v>69</v>
      </c>
      <c r="M120" s="52" t="str">
        <f t="shared" si="20"/>
        <v>Site 15|UAT</v>
      </c>
    </row>
    <row r="121" spans="2:13" x14ac:dyDescent="0.3">
      <c r="B121" s="50" t="str">
        <f>'Sites Master'!$B$16</f>
        <v>Site 15</v>
      </c>
      <c r="C121" s="50" t="str">
        <f>'Sites Master'!$A$16</f>
        <v>Colombia</v>
      </c>
      <c r="D121" s="50">
        <f>'Sites Master'!$C$16</f>
        <v>2</v>
      </c>
      <c r="E121" s="50" t="str">
        <f>'01_INPUTS'!$C$8</f>
        <v>A</v>
      </c>
      <c r="F121" s="50" t="str" cm="1">
        <f t="array" ref="F121">INDEX('Implementation Phases'!$B$2:$B$9,G121)</f>
        <v>Training</v>
      </c>
      <c r="G121" s="50">
        <f>5</f>
        <v>5</v>
      </c>
      <c r="H121" s="50" cm="1">
        <f t="array" ref="H121">IFERROR(_xlfn.XLOOKUP(1,('Implementation Phases'!$A$2:$A$65=D121)*('Implementation Phases'!$D$2:$D$65=E121)*('Implementation Phases'!$C$2:$C$65=G121),'Implementation Phases'!$E$2:$E$65),0)</f>
        <v>2</v>
      </c>
      <c r="I121" s="57">
        <f t="shared" si="23"/>
        <v>46734</v>
      </c>
      <c r="J121" s="57">
        <f t="shared" si="19"/>
        <v>46747</v>
      </c>
      <c r="K121" s="50">
        <f>ROUNDUP((I121-'01_INPUTS'!$C$7+1)/7,0)</f>
        <v>70</v>
      </c>
      <c r="L121" s="50">
        <f>ROUNDUP((J121-'01_INPUTS'!$C$7+1)/7,0)</f>
        <v>71</v>
      </c>
      <c r="M121" s="52" t="str">
        <f t="shared" si="20"/>
        <v>Site 15|Training</v>
      </c>
    </row>
    <row r="122" spans="2:13" x14ac:dyDescent="0.3">
      <c r="B122" s="50" t="str">
        <f>'Sites Master'!$B$16</f>
        <v>Site 15</v>
      </c>
      <c r="C122" s="50" t="str">
        <f>'Sites Master'!$A$16</f>
        <v>Colombia</v>
      </c>
      <c r="D122" s="50">
        <f>'Sites Master'!$C$16</f>
        <v>2</v>
      </c>
      <c r="E122" s="50" t="str">
        <f>'01_INPUTS'!$C$8</f>
        <v>A</v>
      </c>
      <c r="F122" s="50" t="str" cm="1">
        <f t="array" ref="F122">INDEX('Implementation Phases'!$B$2:$B$9,G122)</f>
        <v>DIALT</v>
      </c>
      <c r="G122" s="50">
        <f>6</f>
        <v>6</v>
      </c>
      <c r="H122" s="50" cm="1">
        <f t="array" ref="H122">IFERROR(_xlfn.XLOOKUP(1,('Implementation Phases'!$A$2:$A$65=D122)*('Implementation Phases'!$D$2:$D$65=E122)*('Implementation Phases'!$C$2:$C$65=G122),'Implementation Phases'!$E$2:$E$65),0)</f>
        <v>1</v>
      </c>
      <c r="I122" s="57">
        <f t="shared" si="23"/>
        <v>46748</v>
      </c>
      <c r="J122" s="57">
        <f t="shared" si="19"/>
        <v>46754</v>
      </c>
      <c r="K122" s="50">
        <f>ROUNDUP((I122-'01_INPUTS'!$C$7+1)/7,0)</f>
        <v>72</v>
      </c>
      <c r="L122" s="50">
        <f>ROUNDUP((J122-'01_INPUTS'!$C$7+1)/7,0)</f>
        <v>72</v>
      </c>
      <c r="M122" s="52" t="str">
        <f t="shared" si="20"/>
        <v>Site 15|DIALT</v>
      </c>
    </row>
    <row r="123" spans="2:13" x14ac:dyDescent="0.3">
      <c r="B123" s="50" t="str">
        <f>'Sites Master'!$B$16</f>
        <v>Site 15</v>
      </c>
      <c r="C123" s="50" t="str">
        <f>'Sites Master'!$A$16</f>
        <v>Colombia</v>
      </c>
      <c r="D123" s="50">
        <f>'Sites Master'!$C$16</f>
        <v>2</v>
      </c>
      <c r="E123" s="50" t="str">
        <f>'01_INPUTS'!$C$8</f>
        <v>A</v>
      </c>
      <c r="F123" s="50" t="str" cm="1">
        <f t="array" ref="F123">INDEX('Implementation Phases'!$B$2:$B$9,G123)</f>
        <v>Go Live</v>
      </c>
      <c r="G123" s="50">
        <f>7</f>
        <v>7</v>
      </c>
      <c r="H123" s="50" cm="1">
        <f t="array" ref="H123">IFERROR(_xlfn.XLOOKUP(1,('Implementation Phases'!$A$2:$A$65=D123)*('Implementation Phases'!$D$2:$D$65=E123)*('Implementation Phases'!$C$2:$C$65=G123),'Implementation Phases'!$E$2:$E$65),0)</f>
        <v>1</v>
      </c>
      <c r="I123" s="57">
        <f t="shared" si="23"/>
        <v>46755</v>
      </c>
      <c r="J123" s="57">
        <f t="shared" si="19"/>
        <v>46761</v>
      </c>
      <c r="K123" s="50">
        <f>ROUNDUP((I123-'01_INPUTS'!$C$7+1)/7,0)</f>
        <v>73</v>
      </c>
      <c r="L123" s="50">
        <f>ROUNDUP((J123-'01_INPUTS'!$C$7+1)/7,0)</f>
        <v>73</v>
      </c>
      <c r="M123" s="52" t="str">
        <f t="shared" si="20"/>
        <v>Site 15|Go Live</v>
      </c>
    </row>
    <row r="124" spans="2:13" x14ac:dyDescent="0.3">
      <c r="B124" s="50" t="str">
        <f>'Sites Master'!$B$16</f>
        <v>Site 15</v>
      </c>
      <c r="C124" s="50" t="str">
        <f>'Sites Master'!$A$16</f>
        <v>Colombia</v>
      </c>
      <c r="D124" s="50">
        <f>'Sites Master'!$C$16</f>
        <v>2</v>
      </c>
      <c r="E124" s="50" t="str">
        <f>'01_INPUTS'!$C$8</f>
        <v>A</v>
      </c>
      <c r="F124" s="50" t="str" cm="1">
        <f t="array" ref="F124">INDEX('Implementation Phases'!$B$2:$B$9,G124)</f>
        <v>Hypercare</v>
      </c>
      <c r="G124" s="50">
        <f>8</f>
        <v>8</v>
      </c>
      <c r="H124" s="50" cm="1">
        <f t="array" ref="H124">IFERROR(_xlfn.XLOOKUP(1,('Implementation Phases'!$A$2:$A$65=D124)*('Implementation Phases'!$D$2:$D$65=E124)*('Implementation Phases'!$C$2:$C$65=G124),'Implementation Phases'!$E$2:$E$65),0)</f>
        <v>4</v>
      </c>
      <c r="I124" s="57">
        <f t="shared" si="23"/>
        <v>46762</v>
      </c>
      <c r="J124" s="57">
        <f t="shared" si="19"/>
        <v>46789</v>
      </c>
      <c r="K124" s="50">
        <f>ROUNDUP((I124-'01_INPUTS'!$C$7+1)/7,0)</f>
        <v>74</v>
      </c>
      <c r="L124" s="50">
        <f>ROUNDUP((J124-'01_INPUTS'!$C$7+1)/7,0)</f>
        <v>77</v>
      </c>
      <c r="M124" s="52" t="str">
        <f t="shared" si="20"/>
        <v>Site 15|Hypercare</v>
      </c>
    </row>
  </sheetData>
  <mergeCells count="1">
    <mergeCell ref="B2:L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74A7-C3B4-4E55-A71A-C4C00D164AF8}">
  <sheetPr>
    <tabColor rgb="FF158260"/>
  </sheetPr>
  <dimension ref="B1:AG870"/>
  <sheetViews>
    <sheetView showGridLines="0" workbookViewId="0"/>
  </sheetViews>
  <sheetFormatPr baseColWidth="10" defaultRowHeight="14.4" x14ac:dyDescent="0.3"/>
  <cols>
    <col min="4" max="18" width="11.77734375" customWidth="1"/>
  </cols>
  <sheetData>
    <row r="1" spans="2:33" x14ac:dyDescent="0.3">
      <c r="AA1" s="38" t="s">
        <v>162</v>
      </c>
      <c r="AB1" s="51"/>
      <c r="AC1" s="51"/>
      <c r="AD1" s="51"/>
      <c r="AE1" s="51"/>
      <c r="AF1" s="51"/>
      <c r="AG1" s="51"/>
    </row>
    <row r="2" spans="2:33" ht="18" x14ac:dyDescent="0.35">
      <c r="B2" s="123" t="s">
        <v>161</v>
      </c>
      <c r="C2" s="123"/>
      <c r="D2" s="123"/>
      <c r="E2" s="123"/>
      <c r="F2" s="123"/>
      <c r="G2" s="123"/>
      <c r="H2" s="123"/>
      <c r="I2" s="123"/>
      <c r="J2" s="123"/>
      <c r="K2" s="123"/>
      <c r="L2" s="123"/>
      <c r="M2" s="123"/>
      <c r="N2" s="123"/>
      <c r="O2" s="123"/>
      <c r="P2" s="123"/>
      <c r="Q2" s="123"/>
      <c r="R2" s="123"/>
      <c r="S2" s="123"/>
      <c r="AA2" s="59" t="s">
        <v>139</v>
      </c>
      <c r="AB2" s="59" t="s">
        <v>148</v>
      </c>
      <c r="AC2" s="59" t="s">
        <v>134</v>
      </c>
      <c r="AD2" s="59" t="s">
        <v>163</v>
      </c>
      <c r="AE2" s="59" t="s">
        <v>153</v>
      </c>
      <c r="AF2" s="59" t="s">
        <v>154</v>
      </c>
      <c r="AG2" s="59" t="s">
        <v>164</v>
      </c>
    </row>
    <row r="3" spans="2:33" x14ac:dyDescent="0.3">
      <c r="AA3" s="51" t="str">
        <f>'Sites Master'!$B$2</f>
        <v>Site 01</v>
      </c>
      <c r="AB3" s="51" t="str">
        <f>'Phase-Resource Allocation'!$B$64</f>
        <v>Site Readiness</v>
      </c>
      <c r="AC3" s="51" t="str">
        <f>'Phase-Resource Allocation'!$C$64</f>
        <v>Infrastructure Lead</v>
      </c>
      <c r="AD3" s="60">
        <f>'Phase-Resource Allocation'!$D$64</f>
        <v>1</v>
      </c>
      <c r="AE3" s="51">
        <f>IFERROR(INDEX('02_SCHEDULE'!$K$5:$K$124,MATCH(AA3&amp;"|"&amp;AB3,'02_SCHEDULE'!$M$5:$M$124,0)),0)</f>
        <v>1</v>
      </c>
      <c r="AF3" s="51">
        <f>IFERROR(INDEX('02_SCHEDULE'!$L$5:$L$124,MATCH(AA3&amp;"|"&amp;AB3,'02_SCHEDULE'!$M$5:$M$124,0)),0)</f>
        <v>4</v>
      </c>
      <c r="AG3" s="51">
        <f t="shared" ref="AG3:AG66" si="0">AD3*(AF3-AE3+1)</f>
        <v>4</v>
      </c>
    </row>
    <row r="4" spans="2:33" x14ac:dyDescent="0.3">
      <c r="B4" s="125" t="s">
        <v>165</v>
      </c>
      <c r="C4" s="125"/>
      <c r="D4" s="125"/>
      <c r="E4" s="125"/>
      <c r="AA4" s="51" t="str">
        <f>'Sites Master'!$B$2</f>
        <v>Site 01</v>
      </c>
      <c r="AB4" s="51" t="str">
        <f>'Phase-Resource Allocation'!$B$65</f>
        <v>Site Readiness</v>
      </c>
      <c r="AC4" s="51" t="str">
        <f>'Phase-Resource Allocation'!$C$65</f>
        <v>SAP Integrations Lead</v>
      </c>
      <c r="AD4" s="60">
        <f>'Phase-Resource Allocation'!$D$65</f>
        <v>0.5</v>
      </c>
      <c r="AE4" s="51">
        <f>IFERROR(INDEX('02_SCHEDULE'!$K$5:$K$124,MATCH(AA4&amp;"|"&amp;AB4,'02_SCHEDULE'!$M$5:$M$124,0)),0)</f>
        <v>1</v>
      </c>
      <c r="AF4" s="51">
        <f>IFERROR(INDEX('02_SCHEDULE'!$L$5:$L$124,MATCH(AA4&amp;"|"&amp;AB4,'02_SCHEDULE'!$M$5:$M$124,0)),0)</f>
        <v>4</v>
      </c>
      <c r="AG4" s="51">
        <f t="shared" si="0"/>
        <v>2</v>
      </c>
    </row>
    <row r="5" spans="2:33" x14ac:dyDescent="0.3">
      <c r="B5" s="39" t="s">
        <v>134</v>
      </c>
      <c r="C5" s="39" t="s">
        <v>166</v>
      </c>
      <c r="AA5" s="51" t="str">
        <f>'Sites Master'!$B$2</f>
        <v>Site 01</v>
      </c>
      <c r="AB5" s="51" t="str">
        <f>'Phase-Resource Allocation'!$B$66</f>
        <v>Design Adaptation</v>
      </c>
      <c r="AC5" s="51" t="str">
        <f>'Phase-Resource Allocation'!$C$66</f>
        <v>Solution Architect</v>
      </c>
      <c r="AD5" s="60">
        <f>'Phase-Resource Allocation'!$D$66</f>
        <v>1</v>
      </c>
      <c r="AE5" s="51">
        <f>IFERROR(INDEX('02_SCHEDULE'!$K$5:$K$124,MATCH(AA5&amp;"|"&amp;AB5,'02_SCHEDULE'!$M$5:$M$124,0)),0)</f>
        <v>5</v>
      </c>
      <c r="AF5" s="51">
        <f>IFERROR(INDEX('02_SCHEDULE'!$L$5:$L$124,MATCH(AA5&amp;"|"&amp;AB5,'02_SCHEDULE'!$M$5:$M$124,0)),0)</f>
        <v>5</v>
      </c>
      <c r="AG5" s="51">
        <f t="shared" si="0"/>
        <v>1</v>
      </c>
    </row>
    <row r="6" spans="2:33" x14ac:dyDescent="0.3">
      <c r="B6" s="41" t="str">
        <f>'01_INPUTS'!$B$17</f>
        <v>Solution Architect</v>
      </c>
      <c r="C6" s="41">
        <f>'01_INPUTS'!$E$17</f>
        <v>1</v>
      </c>
      <c r="AA6" s="51" t="str">
        <f>'Sites Master'!$B$2</f>
        <v>Site 01</v>
      </c>
      <c r="AB6" s="51" t="str">
        <f>'Phase-Resource Allocation'!$B$67</f>
        <v>Design Adaptation</v>
      </c>
      <c r="AC6" s="51" t="str">
        <f>'Phase-Resource Allocation'!$C$67</f>
        <v>SAP Integrations Lead</v>
      </c>
      <c r="AD6" s="60">
        <f>'Phase-Resource Allocation'!$D$67</f>
        <v>0.5</v>
      </c>
      <c r="AE6" s="51">
        <f>IFERROR(INDEX('02_SCHEDULE'!$K$5:$K$124,MATCH(AA6&amp;"|"&amp;AB6,'02_SCHEDULE'!$M$5:$M$124,0)),0)</f>
        <v>5</v>
      </c>
      <c r="AF6" s="51">
        <f>IFERROR(INDEX('02_SCHEDULE'!$L$5:$L$124,MATCH(AA6&amp;"|"&amp;AB6,'02_SCHEDULE'!$M$5:$M$124,0)),0)</f>
        <v>5</v>
      </c>
      <c r="AG6" s="51">
        <f t="shared" si="0"/>
        <v>0.5</v>
      </c>
    </row>
    <row r="7" spans="2:33" x14ac:dyDescent="0.3">
      <c r="B7" s="41" t="str">
        <f>'01_INPUTS'!$B$18</f>
        <v>Warehouse Manager Org A</v>
      </c>
      <c r="C7" s="41">
        <f>'01_INPUTS'!$E$18</f>
        <v>1</v>
      </c>
      <c r="AA7" s="51" t="str">
        <f>'Sites Master'!$B$2</f>
        <v>Site 01</v>
      </c>
      <c r="AB7" s="51" t="str">
        <f>'Phase-Resource Allocation'!$B$68</f>
        <v>Design Adaptation</v>
      </c>
      <c r="AC7" s="51" t="str">
        <f>'Phase-Resource Allocation'!$C$68</f>
        <v>SAP Integrations Specialist</v>
      </c>
      <c r="AD7" s="60">
        <f>'Phase-Resource Allocation'!$D$68</f>
        <v>0.5</v>
      </c>
      <c r="AE7" s="51">
        <f>IFERROR(INDEX('02_SCHEDULE'!$K$5:$K$124,MATCH(AA7&amp;"|"&amp;AB7,'02_SCHEDULE'!$M$5:$M$124,0)),0)</f>
        <v>5</v>
      </c>
      <c r="AF7" s="51">
        <f>IFERROR(INDEX('02_SCHEDULE'!$L$5:$L$124,MATCH(AA7&amp;"|"&amp;AB7,'02_SCHEDULE'!$M$5:$M$124,0)),0)</f>
        <v>5</v>
      </c>
      <c r="AG7" s="51">
        <f t="shared" si="0"/>
        <v>0.5</v>
      </c>
    </row>
    <row r="8" spans="2:33" x14ac:dyDescent="0.3">
      <c r="B8" s="41" t="str">
        <f>'01_INPUTS'!$B$19</f>
        <v>Project Manager Country B</v>
      </c>
      <c r="C8" s="41">
        <f>'01_INPUTS'!$E$19</f>
        <v>1</v>
      </c>
      <c r="AA8" s="51" t="str">
        <f>'Sites Master'!$B$2</f>
        <v>Site 01</v>
      </c>
      <c r="AB8" s="51" t="str">
        <f>'Phase-Resource Allocation'!$B$69</f>
        <v>Design Adaptation</v>
      </c>
      <c r="AC8" s="51" t="str">
        <f>'Phase-Resource Allocation'!$C$69</f>
        <v>Azure Lead</v>
      </c>
      <c r="AD8" s="60">
        <f>'Phase-Resource Allocation'!$D$69</f>
        <v>0.5</v>
      </c>
      <c r="AE8" s="51">
        <f>IFERROR(INDEX('02_SCHEDULE'!$K$5:$K$124,MATCH(AA8&amp;"|"&amp;AB8,'02_SCHEDULE'!$M$5:$M$124,0)),0)</f>
        <v>5</v>
      </c>
      <c r="AF8" s="51">
        <f>IFERROR(INDEX('02_SCHEDULE'!$L$5:$L$124,MATCH(AA8&amp;"|"&amp;AB8,'02_SCHEDULE'!$M$5:$M$124,0)),0)</f>
        <v>5</v>
      </c>
      <c r="AG8" s="51">
        <f t="shared" si="0"/>
        <v>0.5</v>
      </c>
    </row>
    <row r="9" spans="2:33" x14ac:dyDescent="0.3">
      <c r="B9" s="41" t="str">
        <f>'01_INPUTS'!$B$20</f>
        <v>Project Manager Country A</v>
      </c>
      <c r="C9" s="41">
        <f>'01_INPUTS'!$E$20</f>
        <v>1</v>
      </c>
      <c r="AA9" s="51" t="str">
        <f>'Sites Master'!$B$2</f>
        <v>Site 01</v>
      </c>
      <c r="AB9" s="51" t="str">
        <f>'Phase-Resource Allocation'!$B$70</f>
        <v>Design Adaptation</v>
      </c>
      <c r="AC9" s="51" t="str">
        <f>'Phase-Resource Allocation'!$C$70</f>
        <v>Azure Specialist</v>
      </c>
      <c r="AD9" s="60">
        <f>'Phase-Resource Allocation'!$D$70</f>
        <v>0.5</v>
      </c>
      <c r="AE9" s="51">
        <f>IFERROR(INDEX('02_SCHEDULE'!$K$5:$K$124,MATCH(AA9&amp;"|"&amp;AB9,'02_SCHEDULE'!$M$5:$M$124,0)),0)</f>
        <v>5</v>
      </c>
      <c r="AF9" s="51">
        <f>IFERROR(INDEX('02_SCHEDULE'!$L$5:$L$124,MATCH(AA9&amp;"|"&amp;AB9,'02_SCHEDULE'!$M$5:$M$124,0)),0)</f>
        <v>5</v>
      </c>
      <c r="AG9" s="51">
        <f t="shared" si="0"/>
        <v>0.5</v>
      </c>
    </row>
    <row r="10" spans="2:33" x14ac:dyDescent="0.3">
      <c r="B10" s="41" t="str">
        <f>'01_INPUTS'!$B$21</f>
        <v>Change Management Lead</v>
      </c>
      <c r="C10" s="41">
        <f>'01_INPUTS'!$E$21</f>
        <v>2</v>
      </c>
      <c r="AA10" s="51" t="str">
        <f>'Sites Master'!$B$2</f>
        <v>Site 01</v>
      </c>
      <c r="AB10" s="51" t="str">
        <f>'Phase-Resource Allocation'!$B$71</f>
        <v>Design Adaptation</v>
      </c>
      <c r="AC10" s="51" t="str">
        <f>'Phase-Resource Allocation'!$C$71</f>
        <v>Testing Lead</v>
      </c>
      <c r="AD10" s="60">
        <f>'Phase-Resource Allocation'!$D$71</f>
        <v>1</v>
      </c>
      <c r="AE10" s="51">
        <f>IFERROR(INDEX('02_SCHEDULE'!$K$5:$K$124,MATCH(AA10&amp;"|"&amp;AB10,'02_SCHEDULE'!$M$5:$M$124,0)),0)</f>
        <v>5</v>
      </c>
      <c r="AF10" s="51">
        <f>IFERROR(INDEX('02_SCHEDULE'!$L$5:$L$124,MATCH(AA10&amp;"|"&amp;AB10,'02_SCHEDULE'!$M$5:$M$124,0)),0)</f>
        <v>5</v>
      </c>
      <c r="AG10" s="51">
        <f t="shared" si="0"/>
        <v>1</v>
      </c>
    </row>
    <row r="11" spans="2:33" x14ac:dyDescent="0.3">
      <c r="B11" s="41" t="str">
        <f>'01_INPUTS'!$B$22</f>
        <v>Infrastructure Lead</v>
      </c>
      <c r="C11" s="41">
        <f>'01_INPUTS'!$E$22</f>
        <v>2</v>
      </c>
      <c r="AA11" s="51" t="str">
        <f>'Sites Master'!$B$2</f>
        <v>Site 01</v>
      </c>
      <c r="AB11" s="51" t="str">
        <f>'Phase-Resource Allocation'!$B$72</f>
        <v>Design Adaptation</v>
      </c>
      <c r="AC11" s="51" t="str">
        <f>'Phase-Resource Allocation'!$C$72</f>
        <v>Functional Lead</v>
      </c>
      <c r="AD11" s="60">
        <f>'Phase-Resource Allocation'!$D$72</f>
        <v>1</v>
      </c>
      <c r="AE11" s="51">
        <f>IFERROR(INDEX('02_SCHEDULE'!$K$5:$K$124,MATCH(AA11&amp;"|"&amp;AB11,'02_SCHEDULE'!$M$5:$M$124,0)),0)</f>
        <v>5</v>
      </c>
      <c r="AF11" s="51">
        <f>IFERROR(INDEX('02_SCHEDULE'!$L$5:$L$124,MATCH(AA11&amp;"|"&amp;AB11,'02_SCHEDULE'!$M$5:$M$124,0)),0)</f>
        <v>5</v>
      </c>
      <c r="AG11" s="51">
        <f t="shared" si="0"/>
        <v>1</v>
      </c>
    </row>
    <row r="12" spans="2:33" x14ac:dyDescent="0.3">
      <c r="B12" s="41" t="str">
        <f>'01_INPUTS'!$B$23</f>
        <v>Functional Lead</v>
      </c>
      <c r="C12" s="41">
        <f>'01_INPUTS'!$E$23</f>
        <v>2</v>
      </c>
      <c r="AA12" s="51" t="str">
        <f>'Sites Master'!$B$2</f>
        <v>Site 01</v>
      </c>
      <c r="AB12" s="51" t="str">
        <f>'Phase-Resource Allocation'!$B$73</f>
        <v>Design Adaptation</v>
      </c>
      <c r="AC12" s="51" t="str">
        <f>'Phase-Resource Allocation'!$C$73</f>
        <v>Trainers</v>
      </c>
      <c r="AD12" s="60">
        <f>'Phase-Resource Allocation'!$D$73</f>
        <v>1</v>
      </c>
      <c r="AE12" s="51">
        <f>IFERROR(INDEX('02_SCHEDULE'!$K$5:$K$124,MATCH(AA12&amp;"|"&amp;AB12,'02_SCHEDULE'!$M$5:$M$124,0)),0)</f>
        <v>5</v>
      </c>
      <c r="AF12" s="51">
        <f>IFERROR(INDEX('02_SCHEDULE'!$L$5:$L$124,MATCH(AA12&amp;"|"&amp;AB12,'02_SCHEDULE'!$M$5:$M$124,0)),0)</f>
        <v>5</v>
      </c>
      <c r="AG12" s="51">
        <f t="shared" si="0"/>
        <v>1</v>
      </c>
    </row>
    <row r="13" spans="2:33" x14ac:dyDescent="0.3">
      <c r="B13" s="41" t="str">
        <f>'01_INPUTS'!$B$24</f>
        <v>SAP Integrations Lead</v>
      </c>
      <c r="C13" s="41">
        <f>'01_INPUTS'!$E$24</f>
        <v>1</v>
      </c>
      <c r="AA13" s="51" t="str">
        <f>'Sites Master'!$B$2</f>
        <v>Site 01</v>
      </c>
      <c r="AB13" s="51" t="str">
        <f>'Phase-Resource Allocation'!$B$74</f>
        <v>Design Adaptation</v>
      </c>
      <c r="AC13" s="51" t="str">
        <f>'Phase-Resource Allocation'!$C$74</f>
        <v>Infrastructure Lead</v>
      </c>
      <c r="AD13" s="60">
        <f>'Phase-Resource Allocation'!$D$74</f>
        <v>1</v>
      </c>
      <c r="AE13" s="51">
        <f>IFERROR(INDEX('02_SCHEDULE'!$K$5:$K$124,MATCH(AA13&amp;"|"&amp;AB13,'02_SCHEDULE'!$M$5:$M$124,0)),0)</f>
        <v>5</v>
      </c>
      <c r="AF13" s="51">
        <f>IFERROR(INDEX('02_SCHEDULE'!$L$5:$L$124,MATCH(AA13&amp;"|"&amp;AB13,'02_SCHEDULE'!$M$5:$M$124,0)),0)</f>
        <v>5</v>
      </c>
      <c r="AG13" s="51">
        <f t="shared" si="0"/>
        <v>1</v>
      </c>
    </row>
    <row r="14" spans="2:33" x14ac:dyDescent="0.3">
      <c r="B14" s="41" t="str">
        <f>'01_INPUTS'!$B$25</f>
        <v>SAP Integrations Specialist</v>
      </c>
      <c r="C14" s="41">
        <f>'01_INPUTS'!$E$25</f>
        <v>1</v>
      </c>
      <c r="AA14" s="51" t="str">
        <f>'Sites Master'!$B$2</f>
        <v>Site 01</v>
      </c>
      <c r="AB14" s="51" t="str">
        <f>'Phase-Resource Allocation'!$B$75</f>
        <v>Design Adaptation</v>
      </c>
      <c r="AC14" s="51" t="str">
        <f>'Phase-Resource Allocation'!$C$75</f>
        <v>Functional Lead Vendor A</v>
      </c>
      <c r="AD14" s="60">
        <f>'Phase-Resource Allocation'!$D$75</f>
        <v>1</v>
      </c>
      <c r="AE14" s="51">
        <f>IFERROR(INDEX('02_SCHEDULE'!$K$5:$K$124,MATCH(AA14&amp;"|"&amp;AB14,'02_SCHEDULE'!$M$5:$M$124,0)),0)</f>
        <v>5</v>
      </c>
      <c r="AF14" s="51">
        <f>IFERROR(INDEX('02_SCHEDULE'!$L$5:$L$124,MATCH(AA14&amp;"|"&amp;AB14,'02_SCHEDULE'!$M$5:$M$124,0)),0)</f>
        <v>5</v>
      </c>
      <c r="AG14" s="51">
        <f t="shared" si="0"/>
        <v>1</v>
      </c>
    </row>
    <row r="15" spans="2:33" x14ac:dyDescent="0.3">
      <c r="B15" s="41" t="str">
        <f>'01_INPUTS'!$B$26</f>
        <v>Azure Lead</v>
      </c>
      <c r="C15" s="41">
        <f>'01_INPUTS'!$E$26</f>
        <v>1</v>
      </c>
      <c r="AA15" s="51" t="str">
        <f>'Sites Master'!$B$2</f>
        <v>Site 01</v>
      </c>
      <c r="AB15" s="51" t="str">
        <f>'Phase-Resource Allocation'!$B$76</f>
        <v>Functional Review</v>
      </c>
      <c r="AC15" s="51" t="str">
        <f>'Phase-Resource Allocation'!$C$76</f>
        <v>Solution Architect</v>
      </c>
      <c r="AD15" s="60">
        <f>'Phase-Resource Allocation'!$D$76</f>
        <v>0.5</v>
      </c>
      <c r="AE15" s="51">
        <f>IFERROR(INDEX('02_SCHEDULE'!$K$5:$K$124,MATCH(AA15&amp;"|"&amp;AB15,'02_SCHEDULE'!$M$5:$M$124,0)),0)</f>
        <v>6</v>
      </c>
      <c r="AF15" s="51">
        <f>IFERROR(INDEX('02_SCHEDULE'!$L$5:$L$124,MATCH(AA15&amp;"|"&amp;AB15,'02_SCHEDULE'!$M$5:$M$124,0)),0)</f>
        <v>6</v>
      </c>
      <c r="AG15" s="51">
        <f t="shared" si="0"/>
        <v>0.5</v>
      </c>
    </row>
    <row r="16" spans="2:33" x14ac:dyDescent="0.3">
      <c r="B16" s="41" t="str">
        <f>'01_INPUTS'!$B$27</f>
        <v>Azure Specialist</v>
      </c>
      <c r="C16" s="41">
        <f>'01_INPUTS'!$E$27</f>
        <v>1</v>
      </c>
      <c r="AA16" s="51" t="str">
        <f>'Sites Master'!$B$2</f>
        <v>Site 01</v>
      </c>
      <c r="AB16" s="51" t="str">
        <f>'Phase-Resource Allocation'!$B$77</f>
        <v>Functional Review</v>
      </c>
      <c r="AC16" s="51" t="str">
        <f>'Phase-Resource Allocation'!$C$77</f>
        <v>Change Management Lead</v>
      </c>
      <c r="AD16" s="60">
        <f>'Phase-Resource Allocation'!$D$77</f>
        <v>1</v>
      </c>
      <c r="AE16" s="51">
        <f>IFERROR(INDEX('02_SCHEDULE'!$K$5:$K$124,MATCH(AA16&amp;"|"&amp;AB16,'02_SCHEDULE'!$M$5:$M$124,0)),0)</f>
        <v>6</v>
      </c>
      <c r="AF16" s="51">
        <f>IFERROR(INDEX('02_SCHEDULE'!$L$5:$L$124,MATCH(AA16&amp;"|"&amp;AB16,'02_SCHEDULE'!$M$5:$M$124,0)),0)</f>
        <v>6</v>
      </c>
      <c r="AG16" s="51">
        <f t="shared" si="0"/>
        <v>1</v>
      </c>
    </row>
    <row r="17" spans="2:33" x14ac:dyDescent="0.3">
      <c r="B17" s="41" t="str">
        <f>'01_INPUTS'!$B$28</f>
        <v>Testing Lead</v>
      </c>
      <c r="C17" s="41">
        <f>'01_INPUTS'!$E$28</f>
        <v>1</v>
      </c>
      <c r="AA17" s="51" t="str">
        <f>'Sites Master'!$B$2</f>
        <v>Site 01</v>
      </c>
      <c r="AB17" s="51" t="str">
        <f>'Phase-Resource Allocation'!$B$78</f>
        <v>Functional Review</v>
      </c>
      <c r="AC17" s="51" t="str">
        <f>'Phase-Resource Allocation'!$C$78</f>
        <v>SAP Integrations Lead</v>
      </c>
      <c r="AD17" s="60">
        <f>'Phase-Resource Allocation'!$D$78</f>
        <v>0.5</v>
      </c>
      <c r="AE17" s="51">
        <f>IFERROR(INDEX('02_SCHEDULE'!$K$5:$K$124,MATCH(AA17&amp;"|"&amp;AB17,'02_SCHEDULE'!$M$5:$M$124,0)),0)</f>
        <v>6</v>
      </c>
      <c r="AF17" s="51">
        <f>IFERROR(INDEX('02_SCHEDULE'!$L$5:$L$124,MATCH(AA17&amp;"|"&amp;AB17,'02_SCHEDULE'!$M$5:$M$124,0)),0)</f>
        <v>6</v>
      </c>
      <c r="AG17" s="51">
        <f t="shared" si="0"/>
        <v>0.5</v>
      </c>
    </row>
    <row r="18" spans="2:33" x14ac:dyDescent="0.3">
      <c r="B18" s="41" t="str">
        <f>'01_INPUTS'!$B$29</f>
        <v>Trainers</v>
      </c>
      <c r="C18" s="41">
        <f>'01_INPUTS'!$E$29</f>
        <v>1</v>
      </c>
      <c r="AA18" s="51" t="str">
        <f>'Sites Master'!$B$2</f>
        <v>Site 01</v>
      </c>
      <c r="AB18" s="51" t="str">
        <f>'Phase-Resource Allocation'!$B$79</f>
        <v>Functional Review</v>
      </c>
      <c r="AC18" s="51" t="str">
        <f>'Phase-Resource Allocation'!$C$79</f>
        <v>SAP Integrations Specialist</v>
      </c>
      <c r="AD18" s="60">
        <f>'Phase-Resource Allocation'!$D$79</f>
        <v>0.5</v>
      </c>
      <c r="AE18" s="51">
        <f>IFERROR(INDEX('02_SCHEDULE'!$K$5:$K$124,MATCH(AA18&amp;"|"&amp;AB18,'02_SCHEDULE'!$M$5:$M$124,0)),0)</f>
        <v>6</v>
      </c>
      <c r="AF18" s="51">
        <f>IFERROR(INDEX('02_SCHEDULE'!$L$5:$L$124,MATCH(AA18&amp;"|"&amp;AB18,'02_SCHEDULE'!$M$5:$M$124,0)),0)</f>
        <v>6</v>
      </c>
      <c r="AG18" s="51">
        <f t="shared" si="0"/>
        <v>0.5</v>
      </c>
    </row>
    <row r="19" spans="2:33" x14ac:dyDescent="0.3">
      <c r="B19" s="41" t="str">
        <f>'01_INPUTS'!$B$30</f>
        <v>Functional Lead Vendor A</v>
      </c>
      <c r="C19" s="41">
        <f>'01_INPUTS'!$E$30</f>
        <v>2</v>
      </c>
      <c r="AA19" s="51" t="str">
        <f>'Sites Master'!$B$2</f>
        <v>Site 01</v>
      </c>
      <c r="AB19" s="51" t="str">
        <f>'Phase-Resource Allocation'!$B$80</f>
        <v>Functional Review</v>
      </c>
      <c r="AC19" s="51" t="str">
        <f>'Phase-Resource Allocation'!$C$80</f>
        <v>Azure Lead</v>
      </c>
      <c r="AD19" s="60">
        <f>'Phase-Resource Allocation'!$D$80</f>
        <v>0.5</v>
      </c>
      <c r="AE19" s="51">
        <f>IFERROR(INDEX('02_SCHEDULE'!$K$5:$K$124,MATCH(AA19&amp;"|"&amp;AB19,'02_SCHEDULE'!$M$5:$M$124,0)),0)</f>
        <v>6</v>
      </c>
      <c r="AF19" s="51">
        <f>IFERROR(INDEX('02_SCHEDULE'!$L$5:$L$124,MATCH(AA19&amp;"|"&amp;AB19,'02_SCHEDULE'!$M$5:$M$124,0)),0)</f>
        <v>6</v>
      </c>
      <c r="AG19" s="51">
        <f t="shared" si="0"/>
        <v>0.5</v>
      </c>
    </row>
    <row r="20" spans="2:33" x14ac:dyDescent="0.3">
      <c r="B20" s="130" t="s">
        <v>175</v>
      </c>
      <c r="C20" s="131"/>
      <c r="D20" s="131"/>
      <c r="E20" s="131"/>
      <c r="F20" s="131"/>
      <c r="G20" s="131"/>
      <c r="H20" s="131"/>
      <c r="I20" s="131"/>
      <c r="J20" s="131"/>
      <c r="K20" s="131"/>
      <c r="L20" s="131"/>
      <c r="M20" s="131"/>
      <c r="N20" s="131"/>
      <c r="O20" s="131"/>
      <c r="P20" s="131"/>
      <c r="Q20" s="131"/>
      <c r="R20" s="131"/>
      <c r="S20" s="131"/>
      <c r="T20" s="131"/>
      <c r="U20" s="131"/>
      <c r="V20" s="131"/>
      <c r="W20" s="131"/>
      <c r="AA20" s="51" t="str">
        <f>'Sites Master'!$B$2</f>
        <v>Site 01</v>
      </c>
      <c r="AB20" s="51" t="str">
        <f>'Phase-Resource Allocation'!$B$81</f>
        <v>Functional Review</v>
      </c>
      <c r="AC20" s="51" t="str">
        <f>'Phase-Resource Allocation'!$C$81</f>
        <v>Azure Specialist</v>
      </c>
      <c r="AD20" s="60">
        <f>'Phase-Resource Allocation'!$D$81</f>
        <v>0.5</v>
      </c>
      <c r="AE20" s="51">
        <f>IFERROR(INDEX('02_SCHEDULE'!$K$5:$K$124,MATCH(AA20&amp;"|"&amp;AB20,'02_SCHEDULE'!$M$5:$M$124,0)),0)</f>
        <v>6</v>
      </c>
      <c r="AF20" s="51">
        <f>IFERROR(INDEX('02_SCHEDULE'!$L$5:$L$124,MATCH(AA20&amp;"|"&amp;AB20,'02_SCHEDULE'!$M$5:$M$124,0)),0)</f>
        <v>6</v>
      </c>
      <c r="AG20" s="51">
        <f t="shared" si="0"/>
        <v>0.5</v>
      </c>
    </row>
    <row r="21" spans="2:33" x14ac:dyDescent="0.3">
      <c r="AA21" s="51" t="str">
        <f>'Sites Master'!$B$2</f>
        <v>Site 01</v>
      </c>
      <c r="AB21" s="51" t="str">
        <f>'Phase-Resource Allocation'!$B$82</f>
        <v>Functional Review</v>
      </c>
      <c r="AC21" s="51" t="str">
        <f>'Phase-Resource Allocation'!$C$82</f>
        <v>Testing Lead</v>
      </c>
      <c r="AD21" s="60">
        <f>'Phase-Resource Allocation'!$D$82</f>
        <v>0.5</v>
      </c>
      <c r="AE21" s="51">
        <f>IFERROR(INDEX('02_SCHEDULE'!$K$5:$K$124,MATCH(AA21&amp;"|"&amp;AB21,'02_SCHEDULE'!$M$5:$M$124,0)),0)</f>
        <v>6</v>
      </c>
      <c r="AF21" s="51">
        <f>IFERROR(INDEX('02_SCHEDULE'!$L$5:$L$124,MATCH(AA21&amp;"|"&amp;AB21,'02_SCHEDULE'!$M$5:$M$124,0)),0)</f>
        <v>6</v>
      </c>
      <c r="AG21" s="51">
        <f t="shared" si="0"/>
        <v>0.5</v>
      </c>
    </row>
    <row r="22" spans="2:33" x14ac:dyDescent="0.3">
      <c r="B22" s="125" t="s">
        <v>167</v>
      </c>
      <c r="C22" s="125"/>
      <c r="D22" s="125"/>
      <c r="E22" s="125"/>
      <c r="F22" s="125"/>
      <c r="G22" s="125"/>
      <c r="H22" s="125"/>
      <c r="I22" s="125"/>
      <c r="J22" s="125"/>
      <c r="K22" s="125"/>
      <c r="L22" s="125"/>
      <c r="M22" s="125"/>
      <c r="N22" s="125"/>
      <c r="O22" s="125"/>
      <c r="P22" s="125"/>
      <c r="Q22" s="125"/>
      <c r="R22" s="125"/>
      <c r="S22" s="125"/>
      <c r="T22" s="125"/>
      <c r="U22" s="125"/>
      <c r="V22" s="125"/>
      <c r="W22" s="125"/>
      <c r="AA22" s="51" t="str">
        <f>'Sites Master'!$B$2</f>
        <v>Site 01</v>
      </c>
      <c r="AB22" s="51" t="str">
        <f>'Phase-Resource Allocation'!$B$83</f>
        <v>Functional Review</v>
      </c>
      <c r="AC22" s="51" t="str">
        <f>'Phase-Resource Allocation'!$C$83</f>
        <v>Functional Lead</v>
      </c>
      <c r="AD22" s="60">
        <f>'Phase-Resource Allocation'!$D$83</f>
        <v>1</v>
      </c>
      <c r="AE22" s="51">
        <f>IFERROR(INDEX('02_SCHEDULE'!$K$5:$K$124,MATCH(AA22&amp;"|"&amp;AB22,'02_SCHEDULE'!$M$5:$M$124,0)),0)</f>
        <v>6</v>
      </c>
      <c r="AF22" s="51">
        <f>IFERROR(INDEX('02_SCHEDULE'!$L$5:$L$124,MATCH(AA22&amp;"|"&amp;AB22,'02_SCHEDULE'!$M$5:$M$124,0)),0)</f>
        <v>6</v>
      </c>
      <c r="AG22" s="51">
        <f t="shared" si="0"/>
        <v>1</v>
      </c>
    </row>
    <row r="23" spans="2:33" ht="43.2" x14ac:dyDescent="0.3">
      <c r="B23" s="40" t="s">
        <v>168</v>
      </c>
      <c r="C23" s="40" t="s">
        <v>169</v>
      </c>
      <c r="D23" s="40" t="str">
        <f>'01_INPUTS'!$B$17</f>
        <v>Solution Architect</v>
      </c>
      <c r="E23" s="40" t="str">
        <f>'01_INPUTS'!$B$18</f>
        <v>Warehouse Manager Org A</v>
      </c>
      <c r="F23" s="40" t="str">
        <f>'01_INPUTS'!$B$19</f>
        <v>Project Manager Country B</v>
      </c>
      <c r="G23" s="40" t="str">
        <f>'01_INPUTS'!$B$20</f>
        <v>Project Manager Country A</v>
      </c>
      <c r="H23" s="40" t="str">
        <f>'01_INPUTS'!$B$21</f>
        <v>Change Management Lead</v>
      </c>
      <c r="I23" s="40" t="str">
        <f>'01_INPUTS'!$B$22</f>
        <v>Infrastructure Lead</v>
      </c>
      <c r="J23" s="40" t="str">
        <f>'01_INPUTS'!$B$23</f>
        <v>Functional Lead</v>
      </c>
      <c r="K23" s="40" t="str">
        <f>'01_INPUTS'!$B$24</f>
        <v>SAP Integrations Lead</v>
      </c>
      <c r="L23" s="40" t="str">
        <f>'01_INPUTS'!$B$25</f>
        <v>SAP Integrations Specialist</v>
      </c>
      <c r="M23" s="40" t="str">
        <f>'01_INPUTS'!$B$26</f>
        <v>Azure Lead</v>
      </c>
      <c r="N23" s="40" t="str">
        <f>'01_INPUTS'!$B$27</f>
        <v>Azure Specialist</v>
      </c>
      <c r="O23" s="40" t="str">
        <f>'01_INPUTS'!$B$28</f>
        <v>Testing Lead</v>
      </c>
      <c r="P23" s="40" t="str">
        <f>'01_INPUTS'!$B$29</f>
        <v>Trainers</v>
      </c>
      <c r="Q23" s="40" t="str">
        <f>'01_INPUTS'!$B$30</f>
        <v>Functional Lead Vendor A</v>
      </c>
      <c r="R23" s="40" t="str">
        <f>'01_INPUTS'!$B$31</f>
        <v>Support Lead</v>
      </c>
      <c r="S23" s="40" t="s">
        <v>170</v>
      </c>
      <c r="T23" s="40" t="s">
        <v>171</v>
      </c>
      <c r="U23" s="40" t="s">
        <v>172</v>
      </c>
      <c r="V23" s="40" t="s">
        <v>173</v>
      </c>
      <c r="W23" s="40" t="s">
        <v>174</v>
      </c>
      <c r="AA23" s="51" t="str">
        <f>'Sites Master'!$B$2</f>
        <v>Site 01</v>
      </c>
      <c r="AB23" s="51" t="str">
        <f>'Phase-Resource Allocation'!$B$84</f>
        <v>Functional Review</v>
      </c>
      <c r="AC23" s="51" t="str">
        <f>'Phase-Resource Allocation'!$C$84</f>
        <v>Trainers</v>
      </c>
      <c r="AD23" s="60">
        <f>'Phase-Resource Allocation'!$D$84</f>
        <v>1</v>
      </c>
      <c r="AE23" s="51">
        <f>IFERROR(INDEX('02_SCHEDULE'!$K$5:$K$124,MATCH(AA23&amp;"|"&amp;AB23,'02_SCHEDULE'!$M$5:$M$124,0)),0)</f>
        <v>6</v>
      </c>
      <c r="AF23" s="51">
        <f>IFERROR(INDEX('02_SCHEDULE'!$L$5:$L$124,MATCH(AA23&amp;"|"&amp;AB23,'02_SCHEDULE'!$M$5:$M$124,0)),0)</f>
        <v>6</v>
      </c>
      <c r="AG23" s="51">
        <f t="shared" si="0"/>
        <v>1</v>
      </c>
    </row>
    <row r="24" spans="2:33" x14ac:dyDescent="0.3">
      <c r="B24">
        <f>1</f>
        <v>1</v>
      </c>
      <c r="C24" s="55">
        <f>'01_INPUTS'!$C$7+(1-1)*7</f>
        <v>46251</v>
      </c>
      <c r="D24" s="61">
        <f>IF(INDEX('01_INPUTS'!$E$17:$E$31,MATCH(D$23,'01_INPUTS'!$B$17:$B$31,0))=0,IF(SUMIFS($AD$3:$AD$870,$AC$3:$AC$870,D$23,$AE$3:$AE$870,"&lt;="&amp;$B24,$AF$3:$AF$870,"&gt;="&amp;$B24)=0,0,9.99),SUMIFS($AD$3:$AD$870,$AC$3:$AC$870,D$23,$AE$3:$AE$870,"&lt;="&amp;$B24,$AF$3:$AF$870,"&gt;="&amp;$B24)/INDEX('01_INPUTS'!$E$17:$E$31,MATCH(D$23,'01_INPUTS'!$B$17:$B$31,0)))</f>
        <v>0</v>
      </c>
      <c r="E24" s="61">
        <f>IF(INDEX('01_INPUTS'!$E$17:$E$31,MATCH(E$23,'01_INPUTS'!$B$17:$B$31,0))=0,IF(SUMIFS($AD$3:$AD$870,$AC$3:$AC$870,E$23,$AE$3:$AE$870,"&lt;="&amp;$B24,$AF$3:$AF$870,"&gt;="&amp;$B24)=0,0,9.99),SUMIFS($AD$3:$AD$870,$AC$3:$AC$870,E$23,$AE$3:$AE$870,"&lt;="&amp;$B24,$AF$3:$AF$870,"&gt;="&amp;$B24)/INDEX('01_INPUTS'!$E$17:$E$31,MATCH(E$23,'01_INPUTS'!$B$17:$B$31,0)))</f>
        <v>0</v>
      </c>
      <c r="F24" s="61">
        <f>IF(INDEX('01_INPUTS'!$E$17:$E$31,MATCH(F$23,'01_INPUTS'!$B$17:$B$31,0))=0,IF(SUMIFS($AD$3:$AD$870,$AC$3:$AC$870,F$23,$AE$3:$AE$870,"&lt;="&amp;$B24,$AF$3:$AF$870,"&gt;="&amp;$B24)=0,0,9.99),SUMIFS($AD$3:$AD$870,$AC$3:$AC$870,F$23,$AE$3:$AE$870,"&lt;="&amp;$B24,$AF$3:$AF$870,"&gt;="&amp;$B24)/INDEX('01_INPUTS'!$E$17:$E$31,MATCH(F$23,'01_INPUTS'!$B$17:$B$31,0)))</f>
        <v>0</v>
      </c>
      <c r="G24" s="61">
        <f>IF(INDEX('01_INPUTS'!$E$17:$E$31,MATCH(G$23,'01_INPUTS'!$B$17:$B$31,0))=0,IF(SUMIFS($AD$3:$AD$870,$AC$3:$AC$870,G$23,$AE$3:$AE$870,"&lt;="&amp;$B24,$AF$3:$AF$870,"&gt;="&amp;$B24)=0,0,9.99),SUMIFS($AD$3:$AD$870,$AC$3:$AC$870,G$23,$AE$3:$AE$870,"&lt;="&amp;$B24,$AF$3:$AF$870,"&gt;="&amp;$B24)/INDEX('01_INPUTS'!$E$17:$E$31,MATCH(G$23,'01_INPUTS'!$B$17:$B$31,0)))</f>
        <v>0</v>
      </c>
      <c r="H24" s="61">
        <f>IF(INDEX('01_INPUTS'!$E$17:$E$31,MATCH(H$23,'01_INPUTS'!$B$17:$B$31,0))=0,IF(SUMIFS($AD$3:$AD$870,$AC$3:$AC$870,H$23,$AE$3:$AE$870,"&lt;="&amp;$B24,$AF$3:$AF$870,"&gt;="&amp;$B24)=0,0,9.99),SUMIFS($AD$3:$AD$870,$AC$3:$AC$870,H$23,$AE$3:$AE$870,"&lt;="&amp;$B24,$AF$3:$AF$870,"&gt;="&amp;$B24)/INDEX('01_INPUTS'!$E$17:$E$31,MATCH(H$23,'01_INPUTS'!$B$17:$B$31,0)))</f>
        <v>0</v>
      </c>
      <c r="I24" s="61">
        <f>IF(INDEX('01_INPUTS'!$E$17:$E$31,MATCH(I$23,'01_INPUTS'!$B$17:$B$31,0))=0,IF(SUMIFS($AD$3:$AD$870,$AC$3:$AC$870,I$23,$AE$3:$AE$870,"&lt;="&amp;$B24,$AF$3:$AF$870,"&gt;="&amp;$B24)=0,0,9.99),SUMIFS($AD$3:$AD$870,$AC$3:$AC$870,I$23,$AE$3:$AE$870,"&lt;="&amp;$B24,$AF$3:$AF$870,"&gt;="&amp;$B24)/INDEX('01_INPUTS'!$E$17:$E$31,MATCH(I$23,'01_INPUTS'!$B$17:$B$31,0)))</f>
        <v>1.5</v>
      </c>
      <c r="J24" s="61">
        <f>IF(INDEX('01_INPUTS'!$E$17:$E$31,MATCH(J$23,'01_INPUTS'!$B$17:$B$31,0))=0,IF(SUMIFS($AD$3:$AD$870,$AC$3:$AC$870,J$23,$AE$3:$AE$870,"&lt;="&amp;$B24,$AF$3:$AF$870,"&gt;="&amp;$B24)=0,0,9.99),SUMIFS($AD$3:$AD$870,$AC$3:$AC$870,J$23,$AE$3:$AE$870,"&lt;="&amp;$B24,$AF$3:$AF$870,"&gt;="&amp;$B24)/INDEX('01_INPUTS'!$E$17:$E$31,MATCH(J$23,'01_INPUTS'!$B$17:$B$31,0)))</f>
        <v>0</v>
      </c>
      <c r="K24" s="61">
        <f>IF(INDEX('01_INPUTS'!$E$17:$E$31,MATCH(K$23,'01_INPUTS'!$B$17:$B$31,0))=0,IF(SUMIFS($AD$3:$AD$870,$AC$3:$AC$870,K$23,$AE$3:$AE$870,"&lt;="&amp;$B24,$AF$3:$AF$870,"&gt;="&amp;$B24)=0,0,9.99),SUMIFS($AD$3:$AD$870,$AC$3:$AC$870,K$23,$AE$3:$AE$870,"&lt;="&amp;$B24,$AF$3:$AF$870,"&gt;="&amp;$B24)/INDEX('01_INPUTS'!$E$17:$E$31,MATCH(K$23,'01_INPUTS'!$B$17:$B$31,0)))</f>
        <v>1.5</v>
      </c>
      <c r="L24" s="61">
        <f>IF(INDEX('01_INPUTS'!$E$17:$E$31,MATCH(L$23,'01_INPUTS'!$B$17:$B$31,0))=0,IF(SUMIFS($AD$3:$AD$870,$AC$3:$AC$870,L$23,$AE$3:$AE$870,"&lt;="&amp;$B24,$AF$3:$AF$870,"&gt;="&amp;$B24)=0,0,9.99),SUMIFS($AD$3:$AD$870,$AC$3:$AC$870,L$23,$AE$3:$AE$870,"&lt;="&amp;$B24,$AF$3:$AF$870,"&gt;="&amp;$B24)/INDEX('01_INPUTS'!$E$17:$E$31,MATCH(L$23,'01_INPUTS'!$B$17:$B$31,0)))</f>
        <v>0</v>
      </c>
      <c r="M24" s="61">
        <f>IF(INDEX('01_INPUTS'!$E$17:$E$31,MATCH(M$23,'01_INPUTS'!$B$17:$B$31,0))=0,IF(SUMIFS($AD$3:$AD$870,$AC$3:$AC$870,M$23,$AE$3:$AE$870,"&lt;="&amp;$B24,$AF$3:$AF$870,"&gt;="&amp;$B24)=0,0,9.99),SUMIFS($AD$3:$AD$870,$AC$3:$AC$870,M$23,$AE$3:$AE$870,"&lt;="&amp;$B24,$AF$3:$AF$870,"&gt;="&amp;$B24)/INDEX('01_INPUTS'!$E$17:$E$31,MATCH(M$23,'01_INPUTS'!$B$17:$B$31,0)))</f>
        <v>0</v>
      </c>
      <c r="N24" s="61">
        <f>IF(INDEX('01_INPUTS'!$E$17:$E$31,MATCH(N$23,'01_INPUTS'!$B$17:$B$31,0))=0,IF(SUMIFS($AD$3:$AD$870,$AC$3:$AC$870,N$23,$AE$3:$AE$870,"&lt;="&amp;$B24,$AF$3:$AF$870,"&gt;="&amp;$B24)=0,0,9.99),SUMIFS($AD$3:$AD$870,$AC$3:$AC$870,N$23,$AE$3:$AE$870,"&lt;="&amp;$B24,$AF$3:$AF$870,"&gt;="&amp;$B24)/INDEX('01_INPUTS'!$E$17:$E$31,MATCH(N$23,'01_INPUTS'!$B$17:$B$31,0)))</f>
        <v>0</v>
      </c>
      <c r="O24" s="61">
        <f>IF(INDEX('01_INPUTS'!$E$17:$E$31,MATCH(O$23,'01_INPUTS'!$B$17:$B$31,0))=0,IF(SUMIFS($AD$3:$AD$870,$AC$3:$AC$870,O$23,$AE$3:$AE$870,"&lt;="&amp;$B24,$AF$3:$AF$870,"&gt;="&amp;$B24)=0,0,9.99),SUMIFS($AD$3:$AD$870,$AC$3:$AC$870,O$23,$AE$3:$AE$870,"&lt;="&amp;$B24,$AF$3:$AF$870,"&gt;="&amp;$B24)/INDEX('01_INPUTS'!$E$17:$E$31,MATCH(O$23,'01_INPUTS'!$B$17:$B$31,0)))</f>
        <v>0</v>
      </c>
      <c r="P24" s="61">
        <f>IF(INDEX('01_INPUTS'!$E$17:$E$31,MATCH(P$23,'01_INPUTS'!$B$17:$B$31,0))=0,IF(SUMIFS($AD$3:$AD$870,$AC$3:$AC$870,P$23,$AE$3:$AE$870,"&lt;="&amp;$B24,$AF$3:$AF$870,"&gt;="&amp;$B24)=0,0,9.99),SUMIFS($AD$3:$AD$870,$AC$3:$AC$870,P$23,$AE$3:$AE$870,"&lt;="&amp;$B24,$AF$3:$AF$870,"&gt;="&amp;$B24)/INDEX('01_INPUTS'!$E$17:$E$31,MATCH(P$23,'01_INPUTS'!$B$17:$B$31,0)))</f>
        <v>0</v>
      </c>
      <c r="Q24" s="61">
        <f>IF(INDEX('01_INPUTS'!$E$17:$E$31,MATCH(Q$23,'01_INPUTS'!$B$17:$B$31,0))=0,IF(SUMIFS($AD$3:$AD$870,$AC$3:$AC$870,Q$23,$AE$3:$AE$870,"&lt;="&amp;$B24,$AF$3:$AF$870,"&gt;="&amp;$B24)=0,0,9.99),SUMIFS($AD$3:$AD$870,$AC$3:$AC$870,Q$23,$AE$3:$AE$870,"&lt;="&amp;$B24,$AF$3:$AF$870,"&gt;="&amp;$B24)/INDEX('01_INPUTS'!$E$17:$E$31,MATCH(Q$23,'01_INPUTS'!$B$17:$B$31,0)))</f>
        <v>0</v>
      </c>
      <c r="R24" s="61">
        <f>IF(INDEX('01_INPUTS'!$E$17:$E$31,MATCH(R$23,'01_INPUTS'!$B$17:$B$31,0))=0,IF(SUMIFS($AD$3:$AD$870,$AC$3:$AC$870,R$23,$AE$3:$AE$870,"&lt;="&amp;$B24,$AF$3:$AF$870,"&gt;="&amp;$B24)=0,0,9.99),SUMIFS($AD$3:$AD$870,$AC$3:$AC$870,R$23,$AE$3:$AE$870,"&lt;="&amp;$B24,$AF$3:$AF$870,"&gt;="&amp;$B24)/INDEX('01_INPUTS'!$E$17:$E$31,MATCH(R$23,'01_INPUTS'!$B$17:$B$31,0)))</f>
        <v>0</v>
      </c>
      <c r="S24">
        <f t="shared" ref="S24:S55" si="1">SUMIFS($AD$3:$AD$870,$AE$3:$AE$870,"&lt;="&amp;B24,$AF$3:$AF$870,"&gt;="&amp;B24)</f>
        <v>4.5</v>
      </c>
      <c r="T24">
        <f>SUM('01_INPUTS'!$E$17:$E$31)</f>
        <v>20</v>
      </c>
      <c r="U24" s="61">
        <f t="shared" ref="U24:U55" si="2">IFERROR(S24/T24,0)</f>
        <v>0.22500000000000001</v>
      </c>
      <c r="V24">
        <f t="shared" ref="V24:V55" si="3">COUNTIF(D24:R24,"&gt;1")</f>
        <v>2</v>
      </c>
      <c r="W24" t="str">
        <f t="shared" ref="W24:W55" si="4">IF(MAX(D24:R24)&gt;1,"ROJO",IF(MAX(D24:R24)&gt;0.8,"AMARILLO","VERDE"))</f>
        <v>ROJO</v>
      </c>
      <c r="AA24" s="51" t="str">
        <f>'Sites Master'!$B$2</f>
        <v>Site 01</v>
      </c>
      <c r="AB24" s="51" t="str">
        <f>'Phase-Resource Allocation'!$B$85</f>
        <v>UAT</v>
      </c>
      <c r="AC24" s="51" t="str">
        <f>'Phase-Resource Allocation'!$C$85</f>
        <v>Solution Architect</v>
      </c>
      <c r="AD24" s="60">
        <f>'Phase-Resource Allocation'!$D$85</f>
        <v>0.5</v>
      </c>
      <c r="AE24" s="51">
        <f>IFERROR(INDEX('02_SCHEDULE'!$K$5:$K$124,MATCH(AA24&amp;"|"&amp;AB24,'02_SCHEDULE'!$M$5:$M$124,0)),0)</f>
        <v>7</v>
      </c>
      <c r="AF24" s="51">
        <f>IFERROR(INDEX('02_SCHEDULE'!$L$5:$L$124,MATCH(AA24&amp;"|"&amp;AB24,'02_SCHEDULE'!$M$5:$M$124,0)),0)</f>
        <v>8</v>
      </c>
      <c r="AG24" s="51">
        <f t="shared" si="0"/>
        <v>1</v>
      </c>
    </row>
    <row r="25" spans="2:33" x14ac:dyDescent="0.3">
      <c r="B25">
        <f>2</f>
        <v>2</v>
      </c>
      <c r="C25" s="55">
        <f>'01_INPUTS'!$C$7+(2-1)*7</f>
        <v>46258</v>
      </c>
      <c r="D25" s="61">
        <f>IF(INDEX('01_INPUTS'!$E$17:$E$31,MATCH(D$23,'01_INPUTS'!$B$17:$B$31,0))=0,IF(SUMIFS($AD$3:$AD$870,$AC$3:$AC$870,D$23,$AE$3:$AE$870,"&lt;="&amp;$B25,$AF$3:$AF$870,"&gt;="&amp;$B25)=0,0,9.99),SUMIFS($AD$3:$AD$870,$AC$3:$AC$870,D$23,$AE$3:$AE$870,"&lt;="&amp;$B25,$AF$3:$AF$870,"&gt;="&amp;$B25)/INDEX('01_INPUTS'!$E$17:$E$31,MATCH(D$23,'01_INPUTS'!$B$17:$B$31,0)))</f>
        <v>0</v>
      </c>
      <c r="E25" s="61">
        <f>IF(INDEX('01_INPUTS'!$E$17:$E$31,MATCH(E$23,'01_INPUTS'!$B$17:$B$31,0))=0,IF(SUMIFS($AD$3:$AD$870,$AC$3:$AC$870,E$23,$AE$3:$AE$870,"&lt;="&amp;$B25,$AF$3:$AF$870,"&gt;="&amp;$B25)=0,0,9.99),SUMIFS($AD$3:$AD$870,$AC$3:$AC$870,E$23,$AE$3:$AE$870,"&lt;="&amp;$B25,$AF$3:$AF$870,"&gt;="&amp;$B25)/INDEX('01_INPUTS'!$E$17:$E$31,MATCH(E$23,'01_INPUTS'!$B$17:$B$31,0)))</f>
        <v>0</v>
      </c>
      <c r="F25" s="61">
        <f>IF(INDEX('01_INPUTS'!$E$17:$E$31,MATCH(F$23,'01_INPUTS'!$B$17:$B$31,0))=0,IF(SUMIFS($AD$3:$AD$870,$AC$3:$AC$870,F$23,$AE$3:$AE$870,"&lt;="&amp;$B25,$AF$3:$AF$870,"&gt;="&amp;$B25)=0,0,9.99),SUMIFS($AD$3:$AD$870,$AC$3:$AC$870,F$23,$AE$3:$AE$870,"&lt;="&amp;$B25,$AF$3:$AF$870,"&gt;="&amp;$B25)/INDEX('01_INPUTS'!$E$17:$E$31,MATCH(F$23,'01_INPUTS'!$B$17:$B$31,0)))</f>
        <v>0</v>
      </c>
      <c r="G25" s="61">
        <f>IF(INDEX('01_INPUTS'!$E$17:$E$31,MATCH(G$23,'01_INPUTS'!$B$17:$B$31,0))=0,IF(SUMIFS($AD$3:$AD$870,$AC$3:$AC$870,G$23,$AE$3:$AE$870,"&lt;="&amp;$B25,$AF$3:$AF$870,"&gt;="&amp;$B25)=0,0,9.99),SUMIFS($AD$3:$AD$870,$AC$3:$AC$870,G$23,$AE$3:$AE$870,"&lt;="&amp;$B25,$AF$3:$AF$870,"&gt;="&amp;$B25)/INDEX('01_INPUTS'!$E$17:$E$31,MATCH(G$23,'01_INPUTS'!$B$17:$B$31,0)))</f>
        <v>0</v>
      </c>
      <c r="H25" s="61">
        <f>IF(INDEX('01_INPUTS'!$E$17:$E$31,MATCH(H$23,'01_INPUTS'!$B$17:$B$31,0))=0,IF(SUMIFS($AD$3:$AD$870,$AC$3:$AC$870,H$23,$AE$3:$AE$870,"&lt;="&amp;$B25,$AF$3:$AF$870,"&gt;="&amp;$B25)=0,0,9.99),SUMIFS($AD$3:$AD$870,$AC$3:$AC$870,H$23,$AE$3:$AE$870,"&lt;="&amp;$B25,$AF$3:$AF$870,"&gt;="&amp;$B25)/INDEX('01_INPUTS'!$E$17:$E$31,MATCH(H$23,'01_INPUTS'!$B$17:$B$31,0)))</f>
        <v>0</v>
      </c>
      <c r="I25" s="61">
        <f>IF(INDEX('01_INPUTS'!$E$17:$E$31,MATCH(I$23,'01_INPUTS'!$B$17:$B$31,0))=0,IF(SUMIFS($AD$3:$AD$870,$AC$3:$AC$870,I$23,$AE$3:$AE$870,"&lt;="&amp;$B25,$AF$3:$AF$870,"&gt;="&amp;$B25)=0,0,9.99),SUMIFS($AD$3:$AD$870,$AC$3:$AC$870,I$23,$AE$3:$AE$870,"&lt;="&amp;$B25,$AF$3:$AF$870,"&gt;="&amp;$B25)/INDEX('01_INPUTS'!$E$17:$E$31,MATCH(I$23,'01_INPUTS'!$B$17:$B$31,0)))</f>
        <v>1.5</v>
      </c>
      <c r="J25" s="61">
        <f>IF(INDEX('01_INPUTS'!$E$17:$E$31,MATCH(J$23,'01_INPUTS'!$B$17:$B$31,0))=0,IF(SUMIFS($AD$3:$AD$870,$AC$3:$AC$870,J$23,$AE$3:$AE$870,"&lt;="&amp;$B25,$AF$3:$AF$870,"&gt;="&amp;$B25)=0,0,9.99),SUMIFS($AD$3:$AD$870,$AC$3:$AC$870,J$23,$AE$3:$AE$870,"&lt;="&amp;$B25,$AF$3:$AF$870,"&gt;="&amp;$B25)/INDEX('01_INPUTS'!$E$17:$E$31,MATCH(J$23,'01_INPUTS'!$B$17:$B$31,0)))</f>
        <v>0</v>
      </c>
      <c r="K25" s="61">
        <f>IF(INDEX('01_INPUTS'!$E$17:$E$31,MATCH(K$23,'01_INPUTS'!$B$17:$B$31,0))=0,IF(SUMIFS($AD$3:$AD$870,$AC$3:$AC$870,K$23,$AE$3:$AE$870,"&lt;="&amp;$B25,$AF$3:$AF$870,"&gt;="&amp;$B25)=0,0,9.99),SUMIFS($AD$3:$AD$870,$AC$3:$AC$870,K$23,$AE$3:$AE$870,"&lt;="&amp;$B25,$AF$3:$AF$870,"&gt;="&amp;$B25)/INDEX('01_INPUTS'!$E$17:$E$31,MATCH(K$23,'01_INPUTS'!$B$17:$B$31,0)))</f>
        <v>1.5</v>
      </c>
      <c r="L25" s="61">
        <f>IF(INDEX('01_INPUTS'!$E$17:$E$31,MATCH(L$23,'01_INPUTS'!$B$17:$B$31,0))=0,IF(SUMIFS($AD$3:$AD$870,$AC$3:$AC$870,L$23,$AE$3:$AE$870,"&lt;="&amp;$B25,$AF$3:$AF$870,"&gt;="&amp;$B25)=0,0,9.99),SUMIFS($AD$3:$AD$870,$AC$3:$AC$870,L$23,$AE$3:$AE$870,"&lt;="&amp;$B25,$AF$3:$AF$870,"&gt;="&amp;$B25)/INDEX('01_INPUTS'!$E$17:$E$31,MATCH(L$23,'01_INPUTS'!$B$17:$B$31,0)))</f>
        <v>0</v>
      </c>
      <c r="M25" s="61">
        <f>IF(INDEX('01_INPUTS'!$E$17:$E$31,MATCH(M$23,'01_INPUTS'!$B$17:$B$31,0))=0,IF(SUMIFS($AD$3:$AD$870,$AC$3:$AC$870,M$23,$AE$3:$AE$870,"&lt;="&amp;$B25,$AF$3:$AF$870,"&gt;="&amp;$B25)=0,0,9.99),SUMIFS($AD$3:$AD$870,$AC$3:$AC$870,M$23,$AE$3:$AE$870,"&lt;="&amp;$B25,$AF$3:$AF$870,"&gt;="&amp;$B25)/INDEX('01_INPUTS'!$E$17:$E$31,MATCH(M$23,'01_INPUTS'!$B$17:$B$31,0)))</f>
        <v>0</v>
      </c>
      <c r="N25" s="61">
        <f>IF(INDEX('01_INPUTS'!$E$17:$E$31,MATCH(N$23,'01_INPUTS'!$B$17:$B$31,0))=0,IF(SUMIFS($AD$3:$AD$870,$AC$3:$AC$870,N$23,$AE$3:$AE$870,"&lt;="&amp;$B25,$AF$3:$AF$870,"&gt;="&amp;$B25)=0,0,9.99),SUMIFS($AD$3:$AD$870,$AC$3:$AC$870,N$23,$AE$3:$AE$870,"&lt;="&amp;$B25,$AF$3:$AF$870,"&gt;="&amp;$B25)/INDEX('01_INPUTS'!$E$17:$E$31,MATCH(N$23,'01_INPUTS'!$B$17:$B$31,0)))</f>
        <v>0</v>
      </c>
      <c r="O25" s="61">
        <f>IF(INDEX('01_INPUTS'!$E$17:$E$31,MATCH(O$23,'01_INPUTS'!$B$17:$B$31,0))=0,IF(SUMIFS($AD$3:$AD$870,$AC$3:$AC$870,O$23,$AE$3:$AE$870,"&lt;="&amp;$B25,$AF$3:$AF$870,"&gt;="&amp;$B25)=0,0,9.99),SUMIFS($AD$3:$AD$870,$AC$3:$AC$870,O$23,$AE$3:$AE$870,"&lt;="&amp;$B25,$AF$3:$AF$870,"&gt;="&amp;$B25)/INDEX('01_INPUTS'!$E$17:$E$31,MATCH(O$23,'01_INPUTS'!$B$17:$B$31,0)))</f>
        <v>0</v>
      </c>
      <c r="P25" s="61">
        <f>IF(INDEX('01_INPUTS'!$E$17:$E$31,MATCH(P$23,'01_INPUTS'!$B$17:$B$31,0))=0,IF(SUMIFS($AD$3:$AD$870,$AC$3:$AC$870,P$23,$AE$3:$AE$870,"&lt;="&amp;$B25,$AF$3:$AF$870,"&gt;="&amp;$B25)=0,0,9.99),SUMIFS($AD$3:$AD$870,$AC$3:$AC$870,P$23,$AE$3:$AE$870,"&lt;="&amp;$B25,$AF$3:$AF$870,"&gt;="&amp;$B25)/INDEX('01_INPUTS'!$E$17:$E$31,MATCH(P$23,'01_INPUTS'!$B$17:$B$31,0)))</f>
        <v>0</v>
      </c>
      <c r="Q25" s="61">
        <f>IF(INDEX('01_INPUTS'!$E$17:$E$31,MATCH(Q$23,'01_INPUTS'!$B$17:$B$31,0))=0,IF(SUMIFS($AD$3:$AD$870,$AC$3:$AC$870,Q$23,$AE$3:$AE$870,"&lt;="&amp;$B25,$AF$3:$AF$870,"&gt;="&amp;$B25)=0,0,9.99),SUMIFS($AD$3:$AD$870,$AC$3:$AC$870,Q$23,$AE$3:$AE$870,"&lt;="&amp;$B25,$AF$3:$AF$870,"&gt;="&amp;$B25)/INDEX('01_INPUTS'!$E$17:$E$31,MATCH(Q$23,'01_INPUTS'!$B$17:$B$31,0)))</f>
        <v>0</v>
      </c>
      <c r="R25" s="61">
        <f>IF(INDEX('01_INPUTS'!$E$17:$E$31,MATCH(R$23,'01_INPUTS'!$B$17:$B$31,0))=0,IF(SUMIFS($AD$3:$AD$870,$AC$3:$AC$870,R$23,$AE$3:$AE$870,"&lt;="&amp;$B25,$AF$3:$AF$870,"&gt;="&amp;$B25)=0,0,9.99),SUMIFS($AD$3:$AD$870,$AC$3:$AC$870,R$23,$AE$3:$AE$870,"&lt;="&amp;$B25,$AF$3:$AF$870,"&gt;="&amp;$B25)/INDEX('01_INPUTS'!$E$17:$E$31,MATCH(R$23,'01_INPUTS'!$B$17:$B$31,0)))</f>
        <v>0</v>
      </c>
      <c r="S25">
        <f t="shared" si="1"/>
        <v>4.5</v>
      </c>
      <c r="T25">
        <f>SUM('01_INPUTS'!$E$17:$E$31)</f>
        <v>20</v>
      </c>
      <c r="U25" s="61">
        <f t="shared" si="2"/>
        <v>0.22500000000000001</v>
      </c>
      <c r="V25">
        <f t="shared" si="3"/>
        <v>2</v>
      </c>
      <c r="W25" t="str">
        <f t="shared" si="4"/>
        <v>ROJO</v>
      </c>
      <c r="AA25" s="51" t="str">
        <f>'Sites Master'!$B$2</f>
        <v>Site 01</v>
      </c>
      <c r="AB25" s="51" t="str">
        <f>'Phase-Resource Allocation'!$B$86</f>
        <v>UAT</v>
      </c>
      <c r="AC25" s="51" t="str">
        <f>'Phase-Resource Allocation'!$C$86</f>
        <v>Change Management Lead</v>
      </c>
      <c r="AD25" s="60">
        <f>'Phase-Resource Allocation'!$D$86</f>
        <v>1</v>
      </c>
      <c r="AE25" s="51">
        <f>IFERROR(INDEX('02_SCHEDULE'!$K$5:$K$124,MATCH(AA25&amp;"|"&amp;AB25,'02_SCHEDULE'!$M$5:$M$124,0)),0)</f>
        <v>7</v>
      </c>
      <c r="AF25" s="51">
        <f>IFERROR(INDEX('02_SCHEDULE'!$L$5:$L$124,MATCH(AA25&amp;"|"&amp;AB25,'02_SCHEDULE'!$M$5:$M$124,0)),0)</f>
        <v>8</v>
      </c>
      <c r="AG25" s="51">
        <f t="shared" si="0"/>
        <v>2</v>
      </c>
    </row>
    <row r="26" spans="2:33" x14ac:dyDescent="0.3">
      <c r="B26">
        <f>3</f>
        <v>3</v>
      </c>
      <c r="C26" s="55">
        <f>'01_INPUTS'!$C$7+(3-1)*7</f>
        <v>46265</v>
      </c>
      <c r="D26" s="61">
        <f>IF(INDEX('01_INPUTS'!$E$17:$E$31,MATCH(D$23,'01_INPUTS'!$B$17:$B$31,0))=0,IF(SUMIFS($AD$3:$AD$870,$AC$3:$AC$870,D$23,$AE$3:$AE$870,"&lt;="&amp;$B26,$AF$3:$AF$870,"&gt;="&amp;$B26)=0,0,9.99),SUMIFS($AD$3:$AD$870,$AC$3:$AC$870,D$23,$AE$3:$AE$870,"&lt;="&amp;$B26,$AF$3:$AF$870,"&gt;="&amp;$B26)/INDEX('01_INPUTS'!$E$17:$E$31,MATCH(D$23,'01_INPUTS'!$B$17:$B$31,0)))</f>
        <v>0</v>
      </c>
      <c r="E26" s="61">
        <f>IF(INDEX('01_INPUTS'!$E$17:$E$31,MATCH(E$23,'01_INPUTS'!$B$17:$B$31,0))=0,IF(SUMIFS($AD$3:$AD$870,$AC$3:$AC$870,E$23,$AE$3:$AE$870,"&lt;="&amp;$B26,$AF$3:$AF$870,"&gt;="&amp;$B26)=0,0,9.99),SUMIFS($AD$3:$AD$870,$AC$3:$AC$870,E$23,$AE$3:$AE$870,"&lt;="&amp;$B26,$AF$3:$AF$870,"&gt;="&amp;$B26)/INDEX('01_INPUTS'!$E$17:$E$31,MATCH(E$23,'01_INPUTS'!$B$17:$B$31,0)))</f>
        <v>0</v>
      </c>
      <c r="F26" s="61">
        <f>IF(INDEX('01_INPUTS'!$E$17:$E$31,MATCH(F$23,'01_INPUTS'!$B$17:$B$31,0))=0,IF(SUMIFS($AD$3:$AD$870,$AC$3:$AC$870,F$23,$AE$3:$AE$870,"&lt;="&amp;$B26,$AF$3:$AF$870,"&gt;="&amp;$B26)=0,0,9.99),SUMIFS($AD$3:$AD$870,$AC$3:$AC$870,F$23,$AE$3:$AE$870,"&lt;="&amp;$B26,$AF$3:$AF$870,"&gt;="&amp;$B26)/INDEX('01_INPUTS'!$E$17:$E$31,MATCH(F$23,'01_INPUTS'!$B$17:$B$31,0)))</f>
        <v>0</v>
      </c>
      <c r="G26" s="61">
        <f>IF(INDEX('01_INPUTS'!$E$17:$E$31,MATCH(G$23,'01_INPUTS'!$B$17:$B$31,0))=0,IF(SUMIFS($AD$3:$AD$870,$AC$3:$AC$870,G$23,$AE$3:$AE$870,"&lt;="&amp;$B26,$AF$3:$AF$870,"&gt;="&amp;$B26)=0,0,9.99),SUMIFS($AD$3:$AD$870,$AC$3:$AC$870,G$23,$AE$3:$AE$870,"&lt;="&amp;$B26,$AF$3:$AF$870,"&gt;="&amp;$B26)/INDEX('01_INPUTS'!$E$17:$E$31,MATCH(G$23,'01_INPUTS'!$B$17:$B$31,0)))</f>
        <v>0</v>
      </c>
      <c r="H26" s="61">
        <f>IF(INDEX('01_INPUTS'!$E$17:$E$31,MATCH(H$23,'01_INPUTS'!$B$17:$B$31,0))=0,IF(SUMIFS($AD$3:$AD$870,$AC$3:$AC$870,H$23,$AE$3:$AE$870,"&lt;="&amp;$B26,$AF$3:$AF$870,"&gt;="&amp;$B26)=0,0,9.99),SUMIFS($AD$3:$AD$870,$AC$3:$AC$870,H$23,$AE$3:$AE$870,"&lt;="&amp;$B26,$AF$3:$AF$870,"&gt;="&amp;$B26)/INDEX('01_INPUTS'!$E$17:$E$31,MATCH(H$23,'01_INPUTS'!$B$17:$B$31,0)))</f>
        <v>0</v>
      </c>
      <c r="I26" s="61">
        <f>IF(INDEX('01_INPUTS'!$E$17:$E$31,MATCH(I$23,'01_INPUTS'!$B$17:$B$31,0))=0,IF(SUMIFS($AD$3:$AD$870,$AC$3:$AC$870,I$23,$AE$3:$AE$870,"&lt;="&amp;$B26,$AF$3:$AF$870,"&gt;="&amp;$B26)=0,0,9.99),SUMIFS($AD$3:$AD$870,$AC$3:$AC$870,I$23,$AE$3:$AE$870,"&lt;="&amp;$B26,$AF$3:$AF$870,"&gt;="&amp;$B26)/INDEX('01_INPUTS'!$E$17:$E$31,MATCH(I$23,'01_INPUTS'!$B$17:$B$31,0)))</f>
        <v>1.5</v>
      </c>
      <c r="J26" s="61">
        <f>IF(INDEX('01_INPUTS'!$E$17:$E$31,MATCH(J$23,'01_INPUTS'!$B$17:$B$31,0))=0,IF(SUMIFS($AD$3:$AD$870,$AC$3:$AC$870,J$23,$AE$3:$AE$870,"&lt;="&amp;$B26,$AF$3:$AF$870,"&gt;="&amp;$B26)=0,0,9.99),SUMIFS($AD$3:$AD$870,$AC$3:$AC$870,J$23,$AE$3:$AE$870,"&lt;="&amp;$B26,$AF$3:$AF$870,"&gt;="&amp;$B26)/INDEX('01_INPUTS'!$E$17:$E$31,MATCH(J$23,'01_INPUTS'!$B$17:$B$31,0)))</f>
        <v>0</v>
      </c>
      <c r="K26" s="61">
        <f>IF(INDEX('01_INPUTS'!$E$17:$E$31,MATCH(K$23,'01_INPUTS'!$B$17:$B$31,0))=0,IF(SUMIFS($AD$3:$AD$870,$AC$3:$AC$870,K$23,$AE$3:$AE$870,"&lt;="&amp;$B26,$AF$3:$AF$870,"&gt;="&amp;$B26)=0,0,9.99),SUMIFS($AD$3:$AD$870,$AC$3:$AC$870,K$23,$AE$3:$AE$870,"&lt;="&amp;$B26,$AF$3:$AF$870,"&gt;="&amp;$B26)/INDEX('01_INPUTS'!$E$17:$E$31,MATCH(K$23,'01_INPUTS'!$B$17:$B$31,0)))</f>
        <v>1.5</v>
      </c>
      <c r="L26" s="61">
        <f>IF(INDEX('01_INPUTS'!$E$17:$E$31,MATCH(L$23,'01_INPUTS'!$B$17:$B$31,0))=0,IF(SUMIFS($AD$3:$AD$870,$AC$3:$AC$870,L$23,$AE$3:$AE$870,"&lt;="&amp;$B26,$AF$3:$AF$870,"&gt;="&amp;$B26)=0,0,9.99),SUMIFS($AD$3:$AD$870,$AC$3:$AC$870,L$23,$AE$3:$AE$870,"&lt;="&amp;$B26,$AF$3:$AF$870,"&gt;="&amp;$B26)/INDEX('01_INPUTS'!$E$17:$E$31,MATCH(L$23,'01_INPUTS'!$B$17:$B$31,0)))</f>
        <v>0</v>
      </c>
      <c r="M26" s="61">
        <f>IF(INDEX('01_INPUTS'!$E$17:$E$31,MATCH(M$23,'01_INPUTS'!$B$17:$B$31,0))=0,IF(SUMIFS($AD$3:$AD$870,$AC$3:$AC$870,M$23,$AE$3:$AE$870,"&lt;="&amp;$B26,$AF$3:$AF$870,"&gt;="&amp;$B26)=0,0,9.99),SUMIFS($AD$3:$AD$870,$AC$3:$AC$870,M$23,$AE$3:$AE$870,"&lt;="&amp;$B26,$AF$3:$AF$870,"&gt;="&amp;$B26)/INDEX('01_INPUTS'!$E$17:$E$31,MATCH(M$23,'01_INPUTS'!$B$17:$B$31,0)))</f>
        <v>0</v>
      </c>
      <c r="N26" s="61">
        <f>IF(INDEX('01_INPUTS'!$E$17:$E$31,MATCH(N$23,'01_INPUTS'!$B$17:$B$31,0))=0,IF(SUMIFS($AD$3:$AD$870,$AC$3:$AC$870,N$23,$AE$3:$AE$870,"&lt;="&amp;$B26,$AF$3:$AF$870,"&gt;="&amp;$B26)=0,0,9.99),SUMIFS($AD$3:$AD$870,$AC$3:$AC$870,N$23,$AE$3:$AE$870,"&lt;="&amp;$B26,$AF$3:$AF$870,"&gt;="&amp;$B26)/INDEX('01_INPUTS'!$E$17:$E$31,MATCH(N$23,'01_INPUTS'!$B$17:$B$31,0)))</f>
        <v>0</v>
      </c>
      <c r="O26" s="61">
        <f>IF(INDEX('01_INPUTS'!$E$17:$E$31,MATCH(O$23,'01_INPUTS'!$B$17:$B$31,0))=0,IF(SUMIFS($AD$3:$AD$870,$AC$3:$AC$870,O$23,$AE$3:$AE$870,"&lt;="&amp;$B26,$AF$3:$AF$870,"&gt;="&amp;$B26)=0,0,9.99),SUMIFS($AD$3:$AD$870,$AC$3:$AC$870,O$23,$AE$3:$AE$870,"&lt;="&amp;$B26,$AF$3:$AF$870,"&gt;="&amp;$B26)/INDEX('01_INPUTS'!$E$17:$E$31,MATCH(O$23,'01_INPUTS'!$B$17:$B$31,0)))</f>
        <v>0</v>
      </c>
      <c r="P26" s="61">
        <f>IF(INDEX('01_INPUTS'!$E$17:$E$31,MATCH(P$23,'01_INPUTS'!$B$17:$B$31,0))=0,IF(SUMIFS($AD$3:$AD$870,$AC$3:$AC$870,P$23,$AE$3:$AE$870,"&lt;="&amp;$B26,$AF$3:$AF$870,"&gt;="&amp;$B26)=0,0,9.99),SUMIFS($AD$3:$AD$870,$AC$3:$AC$870,P$23,$AE$3:$AE$870,"&lt;="&amp;$B26,$AF$3:$AF$870,"&gt;="&amp;$B26)/INDEX('01_INPUTS'!$E$17:$E$31,MATCH(P$23,'01_INPUTS'!$B$17:$B$31,0)))</f>
        <v>0</v>
      </c>
      <c r="Q26" s="61">
        <f>IF(INDEX('01_INPUTS'!$E$17:$E$31,MATCH(Q$23,'01_INPUTS'!$B$17:$B$31,0))=0,IF(SUMIFS($AD$3:$AD$870,$AC$3:$AC$870,Q$23,$AE$3:$AE$870,"&lt;="&amp;$B26,$AF$3:$AF$870,"&gt;="&amp;$B26)=0,0,9.99),SUMIFS($AD$3:$AD$870,$AC$3:$AC$870,Q$23,$AE$3:$AE$870,"&lt;="&amp;$B26,$AF$3:$AF$870,"&gt;="&amp;$B26)/INDEX('01_INPUTS'!$E$17:$E$31,MATCH(Q$23,'01_INPUTS'!$B$17:$B$31,0)))</f>
        <v>0</v>
      </c>
      <c r="R26" s="61">
        <f>IF(INDEX('01_INPUTS'!$E$17:$E$31,MATCH(R$23,'01_INPUTS'!$B$17:$B$31,0))=0,IF(SUMIFS($AD$3:$AD$870,$AC$3:$AC$870,R$23,$AE$3:$AE$870,"&lt;="&amp;$B26,$AF$3:$AF$870,"&gt;="&amp;$B26)=0,0,9.99),SUMIFS($AD$3:$AD$870,$AC$3:$AC$870,R$23,$AE$3:$AE$870,"&lt;="&amp;$B26,$AF$3:$AF$870,"&gt;="&amp;$B26)/INDEX('01_INPUTS'!$E$17:$E$31,MATCH(R$23,'01_INPUTS'!$B$17:$B$31,0)))</f>
        <v>0</v>
      </c>
      <c r="S26">
        <f t="shared" si="1"/>
        <v>4.5</v>
      </c>
      <c r="T26">
        <f>SUM('01_INPUTS'!$E$17:$E$31)</f>
        <v>20</v>
      </c>
      <c r="U26" s="61">
        <f t="shared" si="2"/>
        <v>0.22500000000000001</v>
      </c>
      <c r="V26">
        <f t="shared" si="3"/>
        <v>2</v>
      </c>
      <c r="W26" t="str">
        <f t="shared" si="4"/>
        <v>ROJO</v>
      </c>
      <c r="AA26" s="51" t="str">
        <f>'Sites Master'!$B$2</f>
        <v>Site 01</v>
      </c>
      <c r="AB26" s="51" t="str">
        <f>'Phase-Resource Allocation'!$B$87</f>
        <v>UAT</v>
      </c>
      <c r="AC26" s="51" t="str">
        <f>'Phase-Resource Allocation'!$C$87</f>
        <v>SAP Integrations Lead</v>
      </c>
      <c r="AD26" s="60">
        <f>'Phase-Resource Allocation'!$D$87</f>
        <v>0.5</v>
      </c>
      <c r="AE26" s="51">
        <f>IFERROR(INDEX('02_SCHEDULE'!$K$5:$K$124,MATCH(AA26&amp;"|"&amp;AB26,'02_SCHEDULE'!$M$5:$M$124,0)),0)</f>
        <v>7</v>
      </c>
      <c r="AF26" s="51">
        <f>IFERROR(INDEX('02_SCHEDULE'!$L$5:$L$124,MATCH(AA26&amp;"|"&amp;AB26,'02_SCHEDULE'!$M$5:$M$124,0)),0)</f>
        <v>8</v>
      </c>
      <c r="AG26" s="51">
        <f t="shared" si="0"/>
        <v>1</v>
      </c>
    </row>
    <row r="27" spans="2:33" x14ac:dyDescent="0.3">
      <c r="B27">
        <f>4</f>
        <v>4</v>
      </c>
      <c r="C27" s="55">
        <f>'01_INPUTS'!$C$7+(4-1)*7</f>
        <v>46272</v>
      </c>
      <c r="D27" s="61">
        <f>IF(INDEX('01_INPUTS'!$E$17:$E$31,MATCH(D$23,'01_INPUTS'!$B$17:$B$31,0))=0,IF(SUMIFS($AD$3:$AD$870,$AC$3:$AC$870,D$23,$AE$3:$AE$870,"&lt;="&amp;$B27,$AF$3:$AF$870,"&gt;="&amp;$B27)=0,0,9.99),SUMIFS($AD$3:$AD$870,$AC$3:$AC$870,D$23,$AE$3:$AE$870,"&lt;="&amp;$B27,$AF$3:$AF$870,"&gt;="&amp;$B27)/INDEX('01_INPUTS'!$E$17:$E$31,MATCH(D$23,'01_INPUTS'!$B$17:$B$31,0)))</f>
        <v>0</v>
      </c>
      <c r="E27" s="61">
        <f>IF(INDEX('01_INPUTS'!$E$17:$E$31,MATCH(E$23,'01_INPUTS'!$B$17:$B$31,0))=0,IF(SUMIFS($AD$3:$AD$870,$AC$3:$AC$870,E$23,$AE$3:$AE$870,"&lt;="&amp;$B27,$AF$3:$AF$870,"&gt;="&amp;$B27)=0,0,9.99),SUMIFS($AD$3:$AD$870,$AC$3:$AC$870,E$23,$AE$3:$AE$870,"&lt;="&amp;$B27,$AF$3:$AF$870,"&gt;="&amp;$B27)/INDEX('01_INPUTS'!$E$17:$E$31,MATCH(E$23,'01_INPUTS'!$B$17:$B$31,0)))</f>
        <v>0</v>
      </c>
      <c r="F27" s="61">
        <f>IF(INDEX('01_INPUTS'!$E$17:$E$31,MATCH(F$23,'01_INPUTS'!$B$17:$B$31,0))=0,IF(SUMIFS($AD$3:$AD$870,$AC$3:$AC$870,F$23,$AE$3:$AE$870,"&lt;="&amp;$B27,$AF$3:$AF$870,"&gt;="&amp;$B27)=0,0,9.99),SUMIFS($AD$3:$AD$870,$AC$3:$AC$870,F$23,$AE$3:$AE$870,"&lt;="&amp;$B27,$AF$3:$AF$870,"&gt;="&amp;$B27)/INDEX('01_INPUTS'!$E$17:$E$31,MATCH(F$23,'01_INPUTS'!$B$17:$B$31,0)))</f>
        <v>0</v>
      </c>
      <c r="G27" s="61">
        <f>IF(INDEX('01_INPUTS'!$E$17:$E$31,MATCH(G$23,'01_INPUTS'!$B$17:$B$31,0))=0,IF(SUMIFS($AD$3:$AD$870,$AC$3:$AC$870,G$23,$AE$3:$AE$870,"&lt;="&amp;$B27,$AF$3:$AF$870,"&gt;="&amp;$B27)=0,0,9.99),SUMIFS($AD$3:$AD$870,$AC$3:$AC$870,G$23,$AE$3:$AE$870,"&lt;="&amp;$B27,$AF$3:$AF$870,"&gt;="&amp;$B27)/INDEX('01_INPUTS'!$E$17:$E$31,MATCH(G$23,'01_INPUTS'!$B$17:$B$31,0)))</f>
        <v>0</v>
      </c>
      <c r="H27" s="61">
        <f>IF(INDEX('01_INPUTS'!$E$17:$E$31,MATCH(H$23,'01_INPUTS'!$B$17:$B$31,0))=0,IF(SUMIFS($AD$3:$AD$870,$AC$3:$AC$870,H$23,$AE$3:$AE$870,"&lt;="&amp;$B27,$AF$3:$AF$870,"&gt;="&amp;$B27)=0,0,9.99),SUMIFS($AD$3:$AD$870,$AC$3:$AC$870,H$23,$AE$3:$AE$870,"&lt;="&amp;$B27,$AF$3:$AF$870,"&gt;="&amp;$B27)/INDEX('01_INPUTS'!$E$17:$E$31,MATCH(H$23,'01_INPUTS'!$B$17:$B$31,0)))</f>
        <v>0</v>
      </c>
      <c r="I27" s="61">
        <f>IF(INDEX('01_INPUTS'!$E$17:$E$31,MATCH(I$23,'01_INPUTS'!$B$17:$B$31,0))=0,IF(SUMIFS($AD$3:$AD$870,$AC$3:$AC$870,I$23,$AE$3:$AE$870,"&lt;="&amp;$B27,$AF$3:$AF$870,"&gt;="&amp;$B27)=0,0,9.99),SUMIFS($AD$3:$AD$870,$AC$3:$AC$870,I$23,$AE$3:$AE$870,"&lt;="&amp;$B27,$AF$3:$AF$870,"&gt;="&amp;$B27)/INDEX('01_INPUTS'!$E$17:$E$31,MATCH(I$23,'01_INPUTS'!$B$17:$B$31,0)))</f>
        <v>1.5</v>
      </c>
      <c r="J27" s="61">
        <f>IF(INDEX('01_INPUTS'!$E$17:$E$31,MATCH(J$23,'01_INPUTS'!$B$17:$B$31,0))=0,IF(SUMIFS($AD$3:$AD$870,$AC$3:$AC$870,J$23,$AE$3:$AE$870,"&lt;="&amp;$B27,$AF$3:$AF$870,"&gt;="&amp;$B27)=0,0,9.99),SUMIFS($AD$3:$AD$870,$AC$3:$AC$870,J$23,$AE$3:$AE$870,"&lt;="&amp;$B27,$AF$3:$AF$870,"&gt;="&amp;$B27)/INDEX('01_INPUTS'!$E$17:$E$31,MATCH(J$23,'01_INPUTS'!$B$17:$B$31,0)))</f>
        <v>0</v>
      </c>
      <c r="K27" s="61">
        <f>IF(INDEX('01_INPUTS'!$E$17:$E$31,MATCH(K$23,'01_INPUTS'!$B$17:$B$31,0))=0,IF(SUMIFS($AD$3:$AD$870,$AC$3:$AC$870,K$23,$AE$3:$AE$870,"&lt;="&amp;$B27,$AF$3:$AF$870,"&gt;="&amp;$B27)=0,0,9.99),SUMIFS($AD$3:$AD$870,$AC$3:$AC$870,K$23,$AE$3:$AE$870,"&lt;="&amp;$B27,$AF$3:$AF$870,"&gt;="&amp;$B27)/INDEX('01_INPUTS'!$E$17:$E$31,MATCH(K$23,'01_INPUTS'!$B$17:$B$31,0)))</f>
        <v>1.5</v>
      </c>
      <c r="L27" s="61">
        <f>IF(INDEX('01_INPUTS'!$E$17:$E$31,MATCH(L$23,'01_INPUTS'!$B$17:$B$31,0))=0,IF(SUMIFS($AD$3:$AD$870,$AC$3:$AC$870,L$23,$AE$3:$AE$870,"&lt;="&amp;$B27,$AF$3:$AF$870,"&gt;="&amp;$B27)=0,0,9.99),SUMIFS($AD$3:$AD$870,$AC$3:$AC$870,L$23,$AE$3:$AE$870,"&lt;="&amp;$B27,$AF$3:$AF$870,"&gt;="&amp;$B27)/INDEX('01_INPUTS'!$E$17:$E$31,MATCH(L$23,'01_INPUTS'!$B$17:$B$31,0)))</f>
        <v>0</v>
      </c>
      <c r="M27" s="61">
        <f>IF(INDEX('01_INPUTS'!$E$17:$E$31,MATCH(M$23,'01_INPUTS'!$B$17:$B$31,0))=0,IF(SUMIFS($AD$3:$AD$870,$AC$3:$AC$870,M$23,$AE$3:$AE$870,"&lt;="&amp;$B27,$AF$3:$AF$870,"&gt;="&amp;$B27)=0,0,9.99),SUMIFS($AD$3:$AD$870,$AC$3:$AC$870,M$23,$AE$3:$AE$870,"&lt;="&amp;$B27,$AF$3:$AF$870,"&gt;="&amp;$B27)/INDEX('01_INPUTS'!$E$17:$E$31,MATCH(M$23,'01_INPUTS'!$B$17:$B$31,0)))</f>
        <v>0</v>
      </c>
      <c r="N27" s="61">
        <f>IF(INDEX('01_INPUTS'!$E$17:$E$31,MATCH(N$23,'01_INPUTS'!$B$17:$B$31,0))=0,IF(SUMIFS($AD$3:$AD$870,$AC$3:$AC$870,N$23,$AE$3:$AE$870,"&lt;="&amp;$B27,$AF$3:$AF$870,"&gt;="&amp;$B27)=0,0,9.99),SUMIFS($AD$3:$AD$870,$AC$3:$AC$870,N$23,$AE$3:$AE$870,"&lt;="&amp;$B27,$AF$3:$AF$870,"&gt;="&amp;$B27)/INDEX('01_INPUTS'!$E$17:$E$31,MATCH(N$23,'01_INPUTS'!$B$17:$B$31,0)))</f>
        <v>0</v>
      </c>
      <c r="O27" s="61">
        <f>IF(INDEX('01_INPUTS'!$E$17:$E$31,MATCH(O$23,'01_INPUTS'!$B$17:$B$31,0))=0,IF(SUMIFS($AD$3:$AD$870,$AC$3:$AC$870,O$23,$AE$3:$AE$870,"&lt;="&amp;$B27,$AF$3:$AF$870,"&gt;="&amp;$B27)=0,0,9.99),SUMIFS($AD$3:$AD$870,$AC$3:$AC$870,O$23,$AE$3:$AE$870,"&lt;="&amp;$B27,$AF$3:$AF$870,"&gt;="&amp;$B27)/INDEX('01_INPUTS'!$E$17:$E$31,MATCH(O$23,'01_INPUTS'!$B$17:$B$31,0)))</f>
        <v>0</v>
      </c>
      <c r="P27" s="61">
        <f>IF(INDEX('01_INPUTS'!$E$17:$E$31,MATCH(P$23,'01_INPUTS'!$B$17:$B$31,0))=0,IF(SUMIFS($AD$3:$AD$870,$AC$3:$AC$870,P$23,$AE$3:$AE$870,"&lt;="&amp;$B27,$AF$3:$AF$870,"&gt;="&amp;$B27)=0,0,9.99),SUMIFS($AD$3:$AD$870,$AC$3:$AC$870,P$23,$AE$3:$AE$870,"&lt;="&amp;$B27,$AF$3:$AF$870,"&gt;="&amp;$B27)/INDEX('01_INPUTS'!$E$17:$E$31,MATCH(P$23,'01_INPUTS'!$B$17:$B$31,0)))</f>
        <v>0</v>
      </c>
      <c r="Q27" s="61">
        <f>IF(INDEX('01_INPUTS'!$E$17:$E$31,MATCH(Q$23,'01_INPUTS'!$B$17:$B$31,0))=0,IF(SUMIFS($AD$3:$AD$870,$AC$3:$AC$870,Q$23,$AE$3:$AE$870,"&lt;="&amp;$B27,$AF$3:$AF$870,"&gt;="&amp;$B27)=0,0,9.99),SUMIFS($AD$3:$AD$870,$AC$3:$AC$870,Q$23,$AE$3:$AE$870,"&lt;="&amp;$B27,$AF$3:$AF$870,"&gt;="&amp;$B27)/INDEX('01_INPUTS'!$E$17:$E$31,MATCH(Q$23,'01_INPUTS'!$B$17:$B$31,0)))</f>
        <v>0</v>
      </c>
      <c r="R27" s="61">
        <f>IF(INDEX('01_INPUTS'!$E$17:$E$31,MATCH(R$23,'01_INPUTS'!$B$17:$B$31,0))=0,IF(SUMIFS($AD$3:$AD$870,$AC$3:$AC$870,R$23,$AE$3:$AE$870,"&lt;="&amp;$B27,$AF$3:$AF$870,"&gt;="&amp;$B27)=0,0,9.99),SUMIFS($AD$3:$AD$870,$AC$3:$AC$870,R$23,$AE$3:$AE$870,"&lt;="&amp;$B27,$AF$3:$AF$870,"&gt;="&amp;$B27)/INDEX('01_INPUTS'!$E$17:$E$31,MATCH(R$23,'01_INPUTS'!$B$17:$B$31,0)))</f>
        <v>0</v>
      </c>
      <c r="S27">
        <f t="shared" si="1"/>
        <v>4.5</v>
      </c>
      <c r="T27">
        <f>SUM('01_INPUTS'!$E$17:$E$31)</f>
        <v>20</v>
      </c>
      <c r="U27" s="61">
        <f t="shared" si="2"/>
        <v>0.22500000000000001</v>
      </c>
      <c r="V27">
        <f t="shared" si="3"/>
        <v>2</v>
      </c>
      <c r="W27" t="str">
        <f t="shared" si="4"/>
        <v>ROJO</v>
      </c>
      <c r="AA27" s="51" t="str">
        <f>'Sites Master'!$B$2</f>
        <v>Site 01</v>
      </c>
      <c r="AB27" s="51" t="str">
        <f>'Phase-Resource Allocation'!$B$88</f>
        <v>UAT</v>
      </c>
      <c r="AC27" s="51" t="str">
        <f>'Phase-Resource Allocation'!$C$88</f>
        <v>SAP Integrations Specialist</v>
      </c>
      <c r="AD27" s="60">
        <f>'Phase-Resource Allocation'!$D$88</f>
        <v>0.5</v>
      </c>
      <c r="AE27" s="51">
        <f>IFERROR(INDEX('02_SCHEDULE'!$K$5:$K$124,MATCH(AA27&amp;"|"&amp;AB27,'02_SCHEDULE'!$M$5:$M$124,0)),0)</f>
        <v>7</v>
      </c>
      <c r="AF27" s="51">
        <f>IFERROR(INDEX('02_SCHEDULE'!$L$5:$L$124,MATCH(AA27&amp;"|"&amp;AB27,'02_SCHEDULE'!$M$5:$M$124,0)),0)</f>
        <v>8</v>
      </c>
      <c r="AG27" s="51">
        <f t="shared" si="0"/>
        <v>1</v>
      </c>
    </row>
    <row r="28" spans="2:33" x14ac:dyDescent="0.3">
      <c r="B28">
        <f>5</f>
        <v>5</v>
      </c>
      <c r="C28" s="55">
        <f>'01_INPUTS'!$C$7+(5-1)*7</f>
        <v>46279</v>
      </c>
      <c r="D28" s="61">
        <f>IF(INDEX('01_INPUTS'!$E$17:$E$31,MATCH(D$23,'01_INPUTS'!$B$17:$B$31,0))=0,IF(SUMIFS($AD$3:$AD$870,$AC$3:$AC$870,D$23,$AE$3:$AE$870,"&lt;="&amp;$B28,$AF$3:$AF$870,"&gt;="&amp;$B28)=0,0,9.99),SUMIFS($AD$3:$AD$870,$AC$3:$AC$870,D$23,$AE$3:$AE$870,"&lt;="&amp;$B28,$AF$3:$AF$870,"&gt;="&amp;$B28)/INDEX('01_INPUTS'!$E$17:$E$31,MATCH(D$23,'01_INPUTS'!$B$17:$B$31,0)))</f>
        <v>3</v>
      </c>
      <c r="E28" s="61">
        <f>IF(INDEX('01_INPUTS'!$E$17:$E$31,MATCH(E$23,'01_INPUTS'!$B$17:$B$31,0))=0,IF(SUMIFS($AD$3:$AD$870,$AC$3:$AC$870,E$23,$AE$3:$AE$870,"&lt;="&amp;$B28,$AF$3:$AF$870,"&gt;="&amp;$B28)=0,0,9.99),SUMIFS($AD$3:$AD$870,$AC$3:$AC$870,E$23,$AE$3:$AE$870,"&lt;="&amp;$B28,$AF$3:$AF$870,"&gt;="&amp;$B28)/INDEX('01_INPUTS'!$E$17:$E$31,MATCH(E$23,'01_INPUTS'!$B$17:$B$31,0)))</f>
        <v>0</v>
      </c>
      <c r="F28" s="61">
        <f>IF(INDEX('01_INPUTS'!$E$17:$E$31,MATCH(F$23,'01_INPUTS'!$B$17:$B$31,0))=0,IF(SUMIFS($AD$3:$AD$870,$AC$3:$AC$870,F$23,$AE$3:$AE$870,"&lt;="&amp;$B28,$AF$3:$AF$870,"&gt;="&amp;$B28)=0,0,9.99),SUMIFS($AD$3:$AD$870,$AC$3:$AC$870,F$23,$AE$3:$AE$870,"&lt;="&amp;$B28,$AF$3:$AF$870,"&gt;="&amp;$B28)/INDEX('01_INPUTS'!$E$17:$E$31,MATCH(F$23,'01_INPUTS'!$B$17:$B$31,0)))</f>
        <v>0</v>
      </c>
      <c r="G28" s="61">
        <f>IF(INDEX('01_INPUTS'!$E$17:$E$31,MATCH(G$23,'01_INPUTS'!$B$17:$B$31,0))=0,IF(SUMIFS($AD$3:$AD$870,$AC$3:$AC$870,G$23,$AE$3:$AE$870,"&lt;="&amp;$B28,$AF$3:$AF$870,"&gt;="&amp;$B28)=0,0,9.99),SUMIFS($AD$3:$AD$870,$AC$3:$AC$870,G$23,$AE$3:$AE$870,"&lt;="&amp;$B28,$AF$3:$AF$870,"&gt;="&amp;$B28)/INDEX('01_INPUTS'!$E$17:$E$31,MATCH(G$23,'01_INPUTS'!$B$17:$B$31,0)))</f>
        <v>0</v>
      </c>
      <c r="H28" s="61">
        <f>IF(INDEX('01_INPUTS'!$E$17:$E$31,MATCH(H$23,'01_INPUTS'!$B$17:$B$31,0))=0,IF(SUMIFS($AD$3:$AD$870,$AC$3:$AC$870,H$23,$AE$3:$AE$870,"&lt;="&amp;$B28,$AF$3:$AF$870,"&gt;="&amp;$B28)=0,0,9.99),SUMIFS($AD$3:$AD$870,$AC$3:$AC$870,H$23,$AE$3:$AE$870,"&lt;="&amp;$B28,$AF$3:$AF$870,"&gt;="&amp;$B28)/INDEX('01_INPUTS'!$E$17:$E$31,MATCH(H$23,'01_INPUTS'!$B$17:$B$31,0)))</f>
        <v>0</v>
      </c>
      <c r="I28" s="61">
        <f>IF(INDEX('01_INPUTS'!$E$17:$E$31,MATCH(I$23,'01_INPUTS'!$B$17:$B$31,0))=0,IF(SUMIFS($AD$3:$AD$870,$AC$3:$AC$870,I$23,$AE$3:$AE$870,"&lt;="&amp;$B28,$AF$3:$AF$870,"&gt;="&amp;$B28)=0,0,9.99),SUMIFS($AD$3:$AD$870,$AC$3:$AC$870,I$23,$AE$3:$AE$870,"&lt;="&amp;$B28,$AF$3:$AF$870,"&gt;="&amp;$B28)/INDEX('01_INPUTS'!$E$17:$E$31,MATCH(I$23,'01_INPUTS'!$B$17:$B$31,0)))</f>
        <v>1.5</v>
      </c>
      <c r="J28" s="61">
        <f>IF(INDEX('01_INPUTS'!$E$17:$E$31,MATCH(J$23,'01_INPUTS'!$B$17:$B$31,0))=0,IF(SUMIFS($AD$3:$AD$870,$AC$3:$AC$870,J$23,$AE$3:$AE$870,"&lt;="&amp;$B28,$AF$3:$AF$870,"&gt;="&amp;$B28)=0,0,9.99),SUMIFS($AD$3:$AD$870,$AC$3:$AC$870,J$23,$AE$3:$AE$870,"&lt;="&amp;$B28,$AF$3:$AF$870,"&gt;="&amp;$B28)/INDEX('01_INPUTS'!$E$17:$E$31,MATCH(J$23,'01_INPUTS'!$B$17:$B$31,0)))</f>
        <v>1.5</v>
      </c>
      <c r="K28" s="61">
        <f>IF(INDEX('01_INPUTS'!$E$17:$E$31,MATCH(K$23,'01_INPUTS'!$B$17:$B$31,0))=0,IF(SUMIFS($AD$3:$AD$870,$AC$3:$AC$870,K$23,$AE$3:$AE$870,"&lt;="&amp;$B28,$AF$3:$AF$870,"&gt;="&amp;$B28)=0,0,9.99),SUMIFS($AD$3:$AD$870,$AC$3:$AC$870,K$23,$AE$3:$AE$870,"&lt;="&amp;$B28,$AF$3:$AF$870,"&gt;="&amp;$B28)/INDEX('01_INPUTS'!$E$17:$E$31,MATCH(K$23,'01_INPUTS'!$B$17:$B$31,0)))</f>
        <v>1.5</v>
      </c>
      <c r="L28" s="61">
        <f>IF(INDEX('01_INPUTS'!$E$17:$E$31,MATCH(L$23,'01_INPUTS'!$B$17:$B$31,0))=0,IF(SUMIFS($AD$3:$AD$870,$AC$3:$AC$870,L$23,$AE$3:$AE$870,"&lt;="&amp;$B28,$AF$3:$AF$870,"&gt;="&amp;$B28)=0,0,9.99),SUMIFS($AD$3:$AD$870,$AC$3:$AC$870,L$23,$AE$3:$AE$870,"&lt;="&amp;$B28,$AF$3:$AF$870,"&gt;="&amp;$B28)/INDEX('01_INPUTS'!$E$17:$E$31,MATCH(L$23,'01_INPUTS'!$B$17:$B$31,0)))</f>
        <v>1.5</v>
      </c>
      <c r="M28" s="61">
        <f>IF(INDEX('01_INPUTS'!$E$17:$E$31,MATCH(M$23,'01_INPUTS'!$B$17:$B$31,0))=0,IF(SUMIFS($AD$3:$AD$870,$AC$3:$AC$870,M$23,$AE$3:$AE$870,"&lt;="&amp;$B28,$AF$3:$AF$870,"&gt;="&amp;$B28)=0,0,9.99),SUMIFS($AD$3:$AD$870,$AC$3:$AC$870,M$23,$AE$3:$AE$870,"&lt;="&amp;$B28,$AF$3:$AF$870,"&gt;="&amp;$B28)/INDEX('01_INPUTS'!$E$17:$E$31,MATCH(M$23,'01_INPUTS'!$B$17:$B$31,0)))</f>
        <v>1.5</v>
      </c>
      <c r="N28" s="61">
        <f>IF(INDEX('01_INPUTS'!$E$17:$E$31,MATCH(N$23,'01_INPUTS'!$B$17:$B$31,0))=0,IF(SUMIFS($AD$3:$AD$870,$AC$3:$AC$870,N$23,$AE$3:$AE$870,"&lt;="&amp;$B28,$AF$3:$AF$870,"&gt;="&amp;$B28)=0,0,9.99),SUMIFS($AD$3:$AD$870,$AC$3:$AC$870,N$23,$AE$3:$AE$870,"&lt;="&amp;$B28,$AF$3:$AF$870,"&gt;="&amp;$B28)/INDEX('01_INPUTS'!$E$17:$E$31,MATCH(N$23,'01_INPUTS'!$B$17:$B$31,0)))</f>
        <v>1.5</v>
      </c>
      <c r="O28" s="61">
        <f>IF(INDEX('01_INPUTS'!$E$17:$E$31,MATCH(O$23,'01_INPUTS'!$B$17:$B$31,0))=0,IF(SUMIFS($AD$3:$AD$870,$AC$3:$AC$870,O$23,$AE$3:$AE$870,"&lt;="&amp;$B28,$AF$3:$AF$870,"&gt;="&amp;$B28)=0,0,9.99),SUMIFS($AD$3:$AD$870,$AC$3:$AC$870,O$23,$AE$3:$AE$870,"&lt;="&amp;$B28,$AF$3:$AF$870,"&gt;="&amp;$B28)/INDEX('01_INPUTS'!$E$17:$E$31,MATCH(O$23,'01_INPUTS'!$B$17:$B$31,0)))</f>
        <v>3</v>
      </c>
      <c r="P28" s="61">
        <f>IF(INDEX('01_INPUTS'!$E$17:$E$31,MATCH(P$23,'01_INPUTS'!$B$17:$B$31,0))=0,IF(SUMIFS($AD$3:$AD$870,$AC$3:$AC$870,P$23,$AE$3:$AE$870,"&lt;="&amp;$B28,$AF$3:$AF$870,"&gt;="&amp;$B28)=0,0,9.99),SUMIFS($AD$3:$AD$870,$AC$3:$AC$870,P$23,$AE$3:$AE$870,"&lt;="&amp;$B28,$AF$3:$AF$870,"&gt;="&amp;$B28)/INDEX('01_INPUTS'!$E$17:$E$31,MATCH(P$23,'01_INPUTS'!$B$17:$B$31,0)))</f>
        <v>3</v>
      </c>
      <c r="Q28" s="61">
        <f>IF(INDEX('01_INPUTS'!$E$17:$E$31,MATCH(Q$23,'01_INPUTS'!$B$17:$B$31,0))=0,IF(SUMIFS($AD$3:$AD$870,$AC$3:$AC$870,Q$23,$AE$3:$AE$870,"&lt;="&amp;$B28,$AF$3:$AF$870,"&gt;="&amp;$B28)=0,0,9.99),SUMIFS($AD$3:$AD$870,$AC$3:$AC$870,Q$23,$AE$3:$AE$870,"&lt;="&amp;$B28,$AF$3:$AF$870,"&gt;="&amp;$B28)/INDEX('01_INPUTS'!$E$17:$E$31,MATCH(Q$23,'01_INPUTS'!$B$17:$B$31,0)))</f>
        <v>1.5</v>
      </c>
      <c r="R28" s="61">
        <f>IF(INDEX('01_INPUTS'!$E$17:$E$31,MATCH(R$23,'01_INPUTS'!$B$17:$B$31,0))=0,IF(SUMIFS($AD$3:$AD$870,$AC$3:$AC$870,R$23,$AE$3:$AE$870,"&lt;="&amp;$B28,$AF$3:$AF$870,"&gt;="&amp;$B28)=0,0,9.99),SUMIFS($AD$3:$AD$870,$AC$3:$AC$870,R$23,$AE$3:$AE$870,"&lt;="&amp;$B28,$AF$3:$AF$870,"&gt;="&amp;$B28)/INDEX('01_INPUTS'!$E$17:$E$31,MATCH(R$23,'01_INPUTS'!$B$17:$B$31,0)))</f>
        <v>0</v>
      </c>
      <c r="S28">
        <f t="shared" si="1"/>
        <v>24</v>
      </c>
      <c r="T28">
        <f>SUM('01_INPUTS'!$E$17:$E$31)</f>
        <v>20</v>
      </c>
      <c r="U28" s="61">
        <f t="shared" si="2"/>
        <v>1.2</v>
      </c>
      <c r="V28">
        <f t="shared" si="3"/>
        <v>10</v>
      </c>
      <c r="W28" t="str">
        <f t="shared" si="4"/>
        <v>ROJO</v>
      </c>
      <c r="AA28" s="51" t="str">
        <f>'Sites Master'!$B$2</f>
        <v>Site 01</v>
      </c>
      <c r="AB28" s="51" t="str">
        <f>'Phase-Resource Allocation'!$B$89</f>
        <v>UAT</v>
      </c>
      <c r="AC28" s="51" t="str">
        <f>'Phase-Resource Allocation'!$C$89</f>
        <v>Azure Lead</v>
      </c>
      <c r="AD28" s="60">
        <f>'Phase-Resource Allocation'!$D$89</f>
        <v>0.5</v>
      </c>
      <c r="AE28" s="51">
        <f>IFERROR(INDEX('02_SCHEDULE'!$K$5:$K$124,MATCH(AA28&amp;"|"&amp;AB28,'02_SCHEDULE'!$M$5:$M$124,0)),0)</f>
        <v>7</v>
      </c>
      <c r="AF28" s="51">
        <f>IFERROR(INDEX('02_SCHEDULE'!$L$5:$L$124,MATCH(AA28&amp;"|"&amp;AB28,'02_SCHEDULE'!$M$5:$M$124,0)),0)</f>
        <v>8</v>
      </c>
      <c r="AG28" s="51">
        <f t="shared" si="0"/>
        <v>1</v>
      </c>
    </row>
    <row r="29" spans="2:33" x14ac:dyDescent="0.3">
      <c r="B29">
        <f>6</f>
        <v>6</v>
      </c>
      <c r="C29" s="55">
        <f>'01_INPUTS'!$C$7+(6-1)*7</f>
        <v>46286</v>
      </c>
      <c r="D29" s="61">
        <f>IF(INDEX('01_INPUTS'!$E$17:$E$31,MATCH(D$23,'01_INPUTS'!$B$17:$B$31,0))=0,IF(SUMIFS($AD$3:$AD$870,$AC$3:$AC$870,D$23,$AE$3:$AE$870,"&lt;="&amp;$B29,$AF$3:$AF$870,"&gt;="&amp;$B29)=0,0,9.99),SUMIFS($AD$3:$AD$870,$AC$3:$AC$870,D$23,$AE$3:$AE$870,"&lt;="&amp;$B29,$AF$3:$AF$870,"&gt;="&amp;$B29)/INDEX('01_INPUTS'!$E$17:$E$31,MATCH(D$23,'01_INPUTS'!$B$17:$B$31,0)))</f>
        <v>1.5</v>
      </c>
      <c r="E29" s="61">
        <f>IF(INDEX('01_INPUTS'!$E$17:$E$31,MATCH(E$23,'01_INPUTS'!$B$17:$B$31,0))=0,IF(SUMIFS($AD$3:$AD$870,$AC$3:$AC$870,E$23,$AE$3:$AE$870,"&lt;="&amp;$B29,$AF$3:$AF$870,"&gt;="&amp;$B29)=0,0,9.99),SUMIFS($AD$3:$AD$870,$AC$3:$AC$870,E$23,$AE$3:$AE$870,"&lt;="&amp;$B29,$AF$3:$AF$870,"&gt;="&amp;$B29)/INDEX('01_INPUTS'!$E$17:$E$31,MATCH(E$23,'01_INPUTS'!$B$17:$B$31,0)))</f>
        <v>0</v>
      </c>
      <c r="F29" s="61">
        <f>IF(INDEX('01_INPUTS'!$E$17:$E$31,MATCH(F$23,'01_INPUTS'!$B$17:$B$31,0))=0,IF(SUMIFS($AD$3:$AD$870,$AC$3:$AC$870,F$23,$AE$3:$AE$870,"&lt;="&amp;$B29,$AF$3:$AF$870,"&gt;="&amp;$B29)=0,0,9.99),SUMIFS($AD$3:$AD$870,$AC$3:$AC$870,F$23,$AE$3:$AE$870,"&lt;="&amp;$B29,$AF$3:$AF$870,"&gt;="&amp;$B29)/INDEX('01_INPUTS'!$E$17:$E$31,MATCH(F$23,'01_INPUTS'!$B$17:$B$31,0)))</f>
        <v>0</v>
      </c>
      <c r="G29" s="61">
        <f>IF(INDEX('01_INPUTS'!$E$17:$E$31,MATCH(G$23,'01_INPUTS'!$B$17:$B$31,0))=0,IF(SUMIFS($AD$3:$AD$870,$AC$3:$AC$870,G$23,$AE$3:$AE$870,"&lt;="&amp;$B29,$AF$3:$AF$870,"&gt;="&amp;$B29)=0,0,9.99),SUMIFS($AD$3:$AD$870,$AC$3:$AC$870,G$23,$AE$3:$AE$870,"&lt;="&amp;$B29,$AF$3:$AF$870,"&gt;="&amp;$B29)/INDEX('01_INPUTS'!$E$17:$E$31,MATCH(G$23,'01_INPUTS'!$B$17:$B$31,0)))</f>
        <v>0</v>
      </c>
      <c r="H29" s="61">
        <f>IF(INDEX('01_INPUTS'!$E$17:$E$31,MATCH(H$23,'01_INPUTS'!$B$17:$B$31,0))=0,IF(SUMIFS($AD$3:$AD$870,$AC$3:$AC$870,H$23,$AE$3:$AE$870,"&lt;="&amp;$B29,$AF$3:$AF$870,"&gt;="&amp;$B29)=0,0,9.99),SUMIFS($AD$3:$AD$870,$AC$3:$AC$870,H$23,$AE$3:$AE$870,"&lt;="&amp;$B29,$AF$3:$AF$870,"&gt;="&amp;$B29)/INDEX('01_INPUTS'!$E$17:$E$31,MATCH(H$23,'01_INPUTS'!$B$17:$B$31,0)))</f>
        <v>1.5</v>
      </c>
      <c r="I29" s="61">
        <f>IF(INDEX('01_INPUTS'!$E$17:$E$31,MATCH(I$23,'01_INPUTS'!$B$17:$B$31,0))=0,IF(SUMIFS($AD$3:$AD$870,$AC$3:$AC$870,I$23,$AE$3:$AE$870,"&lt;="&amp;$B29,$AF$3:$AF$870,"&gt;="&amp;$B29)=0,0,9.99),SUMIFS($AD$3:$AD$870,$AC$3:$AC$870,I$23,$AE$3:$AE$870,"&lt;="&amp;$B29,$AF$3:$AF$870,"&gt;="&amp;$B29)/INDEX('01_INPUTS'!$E$17:$E$31,MATCH(I$23,'01_INPUTS'!$B$17:$B$31,0)))</f>
        <v>0</v>
      </c>
      <c r="J29" s="61">
        <f>IF(INDEX('01_INPUTS'!$E$17:$E$31,MATCH(J$23,'01_INPUTS'!$B$17:$B$31,0))=0,IF(SUMIFS($AD$3:$AD$870,$AC$3:$AC$870,J$23,$AE$3:$AE$870,"&lt;="&amp;$B29,$AF$3:$AF$870,"&gt;="&amp;$B29)=0,0,9.99),SUMIFS($AD$3:$AD$870,$AC$3:$AC$870,J$23,$AE$3:$AE$870,"&lt;="&amp;$B29,$AF$3:$AF$870,"&gt;="&amp;$B29)/INDEX('01_INPUTS'!$E$17:$E$31,MATCH(J$23,'01_INPUTS'!$B$17:$B$31,0)))</f>
        <v>1.5</v>
      </c>
      <c r="K29" s="61">
        <f>IF(INDEX('01_INPUTS'!$E$17:$E$31,MATCH(K$23,'01_INPUTS'!$B$17:$B$31,0))=0,IF(SUMIFS($AD$3:$AD$870,$AC$3:$AC$870,K$23,$AE$3:$AE$870,"&lt;="&amp;$B29,$AF$3:$AF$870,"&gt;="&amp;$B29)=0,0,9.99),SUMIFS($AD$3:$AD$870,$AC$3:$AC$870,K$23,$AE$3:$AE$870,"&lt;="&amp;$B29,$AF$3:$AF$870,"&gt;="&amp;$B29)/INDEX('01_INPUTS'!$E$17:$E$31,MATCH(K$23,'01_INPUTS'!$B$17:$B$31,0)))</f>
        <v>1.5</v>
      </c>
      <c r="L29" s="61">
        <f>IF(INDEX('01_INPUTS'!$E$17:$E$31,MATCH(L$23,'01_INPUTS'!$B$17:$B$31,0))=0,IF(SUMIFS($AD$3:$AD$870,$AC$3:$AC$870,L$23,$AE$3:$AE$870,"&lt;="&amp;$B29,$AF$3:$AF$870,"&gt;="&amp;$B29)=0,0,9.99),SUMIFS($AD$3:$AD$870,$AC$3:$AC$870,L$23,$AE$3:$AE$870,"&lt;="&amp;$B29,$AF$3:$AF$870,"&gt;="&amp;$B29)/INDEX('01_INPUTS'!$E$17:$E$31,MATCH(L$23,'01_INPUTS'!$B$17:$B$31,0)))</f>
        <v>1.5</v>
      </c>
      <c r="M29" s="61">
        <f>IF(INDEX('01_INPUTS'!$E$17:$E$31,MATCH(M$23,'01_INPUTS'!$B$17:$B$31,0))=0,IF(SUMIFS($AD$3:$AD$870,$AC$3:$AC$870,M$23,$AE$3:$AE$870,"&lt;="&amp;$B29,$AF$3:$AF$870,"&gt;="&amp;$B29)=0,0,9.99),SUMIFS($AD$3:$AD$870,$AC$3:$AC$870,M$23,$AE$3:$AE$870,"&lt;="&amp;$B29,$AF$3:$AF$870,"&gt;="&amp;$B29)/INDEX('01_INPUTS'!$E$17:$E$31,MATCH(M$23,'01_INPUTS'!$B$17:$B$31,0)))</f>
        <v>1.5</v>
      </c>
      <c r="N29" s="61">
        <f>IF(INDEX('01_INPUTS'!$E$17:$E$31,MATCH(N$23,'01_INPUTS'!$B$17:$B$31,0))=0,IF(SUMIFS($AD$3:$AD$870,$AC$3:$AC$870,N$23,$AE$3:$AE$870,"&lt;="&amp;$B29,$AF$3:$AF$870,"&gt;="&amp;$B29)=0,0,9.99),SUMIFS($AD$3:$AD$870,$AC$3:$AC$870,N$23,$AE$3:$AE$870,"&lt;="&amp;$B29,$AF$3:$AF$870,"&gt;="&amp;$B29)/INDEX('01_INPUTS'!$E$17:$E$31,MATCH(N$23,'01_INPUTS'!$B$17:$B$31,0)))</f>
        <v>1.5</v>
      </c>
      <c r="O29" s="61">
        <f>IF(INDEX('01_INPUTS'!$E$17:$E$31,MATCH(O$23,'01_INPUTS'!$B$17:$B$31,0))=0,IF(SUMIFS($AD$3:$AD$870,$AC$3:$AC$870,O$23,$AE$3:$AE$870,"&lt;="&amp;$B29,$AF$3:$AF$870,"&gt;="&amp;$B29)=0,0,9.99),SUMIFS($AD$3:$AD$870,$AC$3:$AC$870,O$23,$AE$3:$AE$870,"&lt;="&amp;$B29,$AF$3:$AF$870,"&gt;="&amp;$B29)/INDEX('01_INPUTS'!$E$17:$E$31,MATCH(O$23,'01_INPUTS'!$B$17:$B$31,0)))</f>
        <v>1.5</v>
      </c>
      <c r="P29" s="61">
        <f>IF(INDEX('01_INPUTS'!$E$17:$E$31,MATCH(P$23,'01_INPUTS'!$B$17:$B$31,0))=0,IF(SUMIFS($AD$3:$AD$870,$AC$3:$AC$870,P$23,$AE$3:$AE$870,"&lt;="&amp;$B29,$AF$3:$AF$870,"&gt;="&amp;$B29)=0,0,9.99),SUMIFS($AD$3:$AD$870,$AC$3:$AC$870,P$23,$AE$3:$AE$870,"&lt;="&amp;$B29,$AF$3:$AF$870,"&gt;="&amp;$B29)/INDEX('01_INPUTS'!$E$17:$E$31,MATCH(P$23,'01_INPUTS'!$B$17:$B$31,0)))</f>
        <v>3</v>
      </c>
      <c r="Q29" s="61">
        <f>IF(INDEX('01_INPUTS'!$E$17:$E$31,MATCH(Q$23,'01_INPUTS'!$B$17:$B$31,0))=0,IF(SUMIFS($AD$3:$AD$870,$AC$3:$AC$870,Q$23,$AE$3:$AE$870,"&lt;="&amp;$B29,$AF$3:$AF$870,"&gt;="&amp;$B29)=0,0,9.99),SUMIFS($AD$3:$AD$870,$AC$3:$AC$870,Q$23,$AE$3:$AE$870,"&lt;="&amp;$B29,$AF$3:$AF$870,"&gt;="&amp;$B29)/INDEX('01_INPUTS'!$E$17:$E$31,MATCH(Q$23,'01_INPUTS'!$B$17:$B$31,0)))</f>
        <v>0</v>
      </c>
      <c r="R29" s="61">
        <f>IF(INDEX('01_INPUTS'!$E$17:$E$31,MATCH(R$23,'01_INPUTS'!$B$17:$B$31,0))=0,IF(SUMIFS($AD$3:$AD$870,$AC$3:$AC$870,R$23,$AE$3:$AE$870,"&lt;="&amp;$B29,$AF$3:$AF$870,"&gt;="&amp;$B29)=0,0,9.99),SUMIFS($AD$3:$AD$870,$AC$3:$AC$870,R$23,$AE$3:$AE$870,"&lt;="&amp;$B29,$AF$3:$AF$870,"&gt;="&amp;$B29)/INDEX('01_INPUTS'!$E$17:$E$31,MATCH(R$23,'01_INPUTS'!$B$17:$B$31,0)))</f>
        <v>0</v>
      </c>
      <c r="S29">
        <f t="shared" si="1"/>
        <v>18</v>
      </c>
      <c r="T29">
        <f>SUM('01_INPUTS'!$E$17:$E$31)</f>
        <v>20</v>
      </c>
      <c r="U29" s="61">
        <f t="shared" si="2"/>
        <v>0.9</v>
      </c>
      <c r="V29">
        <f t="shared" si="3"/>
        <v>9</v>
      </c>
      <c r="W29" t="str">
        <f t="shared" si="4"/>
        <v>ROJO</v>
      </c>
      <c r="AA29" s="51" t="str">
        <f>'Sites Master'!$B$2</f>
        <v>Site 01</v>
      </c>
      <c r="AB29" s="51" t="str">
        <f>'Phase-Resource Allocation'!$B$90</f>
        <v>UAT</v>
      </c>
      <c r="AC29" s="51" t="str">
        <f>'Phase-Resource Allocation'!$C$90</f>
        <v>Azure Specialist</v>
      </c>
      <c r="AD29" s="60">
        <f>'Phase-Resource Allocation'!$D$90</f>
        <v>0.5</v>
      </c>
      <c r="AE29" s="51">
        <f>IFERROR(INDEX('02_SCHEDULE'!$K$5:$K$124,MATCH(AA29&amp;"|"&amp;AB29,'02_SCHEDULE'!$M$5:$M$124,0)),0)</f>
        <v>7</v>
      </c>
      <c r="AF29" s="51">
        <f>IFERROR(INDEX('02_SCHEDULE'!$L$5:$L$124,MATCH(AA29&amp;"|"&amp;AB29,'02_SCHEDULE'!$M$5:$M$124,0)),0)</f>
        <v>8</v>
      </c>
      <c r="AG29" s="51">
        <f t="shared" si="0"/>
        <v>1</v>
      </c>
    </row>
    <row r="30" spans="2:33" x14ac:dyDescent="0.3">
      <c r="B30">
        <f>7</f>
        <v>7</v>
      </c>
      <c r="C30" s="55">
        <f>'01_INPUTS'!$C$7+(7-1)*7</f>
        <v>46293</v>
      </c>
      <c r="D30" s="61">
        <f>IF(INDEX('01_INPUTS'!$E$17:$E$31,MATCH(D$23,'01_INPUTS'!$B$17:$B$31,0))=0,IF(SUMIFS($AD$3:$AD$870,$AC$3:$AC$870,D$23,$AE$3:$AE$870,"&lt;="&amp;$B30,$AF$3:$AF$870,"&gt;="&amp;$B30)=0,0,9.99),SUMIFS($AD$3:$AD$870,$AC$3:$AC$870,D$23,$AE$3:$AE$870,"&lt;="&amp;$B30,$AF$3:$AF$870,"&gt;="&amp;$B30)/INDEX('01_INPUTS'!$E$17:$E$31,MATCH(D$23,'01_INPUTS'!$B$17:$B$31,0)))</f>
        <v>1.5</v>
      </c>
      <c r="E30" s="61">
        <f>IF(INDEX('01_INPUTS'!$E$17:$E$31,MATCH(E$23,'01_INPUTS'!$B$17:$B$31,0))=0,IF(SUMIFS($AD$3:$AD$870,$AC$3:$AC$870,E$23,$AE$3:$AE$870,"&lt;="&amp;$B30,$AF$3:$AF$870,"&gt;="&amp;$B30)=0,0,9.99),SUMIFS($AD$3:$AD$870,$AC$3:$AC$870,E$23,$AE$3:$AE$870,"&lt;="&amp;$B30,$AF$3:$AF$870,"&gt;="&amp;$B30)/INDEX('01_INPUTS'!$E$17:$E$31,MATCH(E$23,'01_INPUTS'!$B$17:$B$31,0)))</f>
        <v>0</v>
      </c>
      <c r="F30" s="61">
        <f>IF(INDEX('01_INPUTS'!$E$17:$E$31,MATCH(F$23,'01_INPUTS'!$B$17:$B$31,0))=0,IF(SUMIFS($AD$3:$AD$870,$AC$3:$AC$870,F$23,$AE$3:$AE$870,"&lt;="&amp;$B30,$AF$3:$AF$870,"&gt;="&amp;$B30)=0,0,9.99),SUMIFS($AD$3:$AD$870,$AC$3:$AC$870,F$23,$AE$3:$AE$870,"&lt;="&amp;$B30,$AF$3:$AF$870,"&gt;="&amp;$B30)/INDEX('01_INPUTS'!$E$17:$E$31,MATCH(F$23,'01_INPUTS'!$B$17:$B$31,0)))</f>
        <v>0</v>
      </c>
      <c r="G30" s="61">
        <f>IF(INDEX('01_INPUTS'!$E$17:$E$31,MATCH(G$23,'01_INPUTS'!$B$17:$B$31,0))=0,IF(SUMIFS($AD$3:$AD$870,$AC$3:$AC$870,G$23,$AE$3:$AE$870,"&lt;="&amp;$B30,$AF$3:$AF$870,"&gt;="&amp;$B30)=0,0,9.99),SUMIFS($AD$3:$AD$870,$AC$3:$AC$870,G$23,$AE$3:$AE$870,"&lt;="&amp;$B30,$AF$3:$AF$870,"&gt;="&amp;$B30)/INDEX('01_INPUTS'!$E$17:$E$31,MATCH(G$23,'01_INPUTS'!$B$17:$B$31,0)))</f>
        <v>0</v>
      </c>
      <c r="H30" s="61">
        <f>IF(INDEX('01_INPUTS'!$E$17:$E$31,MATCH(H$23,'01_INPUTS'!$B$17:$B$31,0))=0,IF(SUMIFS($AD$3:$AD$870,$AC$3:$AC$870,H$23,$AE$3:$AE$870,"&lt;="&amp;$B30,$AF$3:$AF$870,"&gt;="&amp;$B30)=0,0,9.99),SUMIFS($AD$3:$AD$870,$AC$3:$AC$870,H$23,$AE$3:$AE$870,"&lt;="&amp;$B30,$AF$3:$AF$870,"&gt;="&amp;$B30)/INDEX('01_INPUTS'!$E$17:$E$31,MATCH(H$23,'01_INPUTS'!$B$17:$B$31,0)))</f>
        <v>1.5</v>
      </c>
      <c r="I30" s="61">
        <f>IF(INDEX('01_INPUTS'!$E$17:$E$31,MATCH(I$23,'01_INPUTS'!$B$17:$B$31,0))=0,IF(SUMIFS($AD$3:$AD$870,$AC$3:$AC$870,I$23,$AE$3:$AE$870,"&lt;="&amp;$B30,$AF$3:$AF$870,"&gt;="&amp;$B30)=0,0,9.99),SUMIFS($AD$3:$AD$870,$AC$3:$AC$870,I$23,$AE$3:$AE$870,"&lt;="&amp;$B30,$AF$3:$AF$870,"&gt;="&amp;$B30)/INDEX('01_INPUTS'!$E$17:$E$31,MATCH(I$23,'01_INPUTS'!$B$17:$B$31,0)))</f>
        <v>0</v>
      </c>
      <c r="J30" s="61">
        <f>IF(INDEX('01_INPUTS'!$E$17:$E$31,MATCH(J$23,'01_INPUTS'!$B$17:$B$31,0))=0,IF(SUMIFS($AD$3:$AD$870,$AC$3:$AC$870,J$23,$AE$3:$AE$870,"&lt;="&amp;$B30,$AF$3:$AF$870,"&gt;="&amp;$B30)=0,0,9.99),SUMIFS($AD$3:$AD$870,$AC$3:$AC$870,J$23,$AE$3:$AE$870,"&lt;="&amp;$B30,$AF$3:$AF$870,"&gt;="&amp;$B30)/INDEX('01_INPUTS'!$E$17:$E$31,MATCH(J$23,'01_INPUTS'!$B$17:$B$31,0)))</f>
        <v>1.5</v>
      </c>
      <c r="K30" s="61">
        <f>IF(INDEX('01_INPUTS'!$E$17:$E$31,MATCH(K$23,'01_INPUTS'!$B$17:$B$31,0))=0,IF(SUMIFS($AD$3:$AD$870,$AC$3:$AC$870,K$23,$AE$3:$AE$870,"&lt;="&amp;$B30,$AF$3:$AF$870,"&gt;="&amp;$B30)=0,0,9.99),SUMIFS($AD$3:$AD$870,$AC$3:$AC$870,K$23,$AE$3:$AE$870,"&lt;="&amp;$B30,$AF$3:$AF$870,"&gt;="&amp;$B30)/INDEX('01_INPUTS'!$E$17:$E$31,MATCH(K$23,'01_INPUTS'!$B$17:$B$31,0)))</f>
        <v>1.5</v>
      </c>
      <c r="L30" s="61">
        <f>IF(INDEX('01_INPUTS'!$E$17:$E$31,MATCH(L$23,'01_INPUTS'!$B$17:$B$31,0))=0,IF(SUMIFS($AD$3:$AD$870,$AC$3:$AC$870,L$23,$AE$3:$AE$870,"&lt;="&amp;$B30,$AF$3:$AF$870,"&gt;="&amp;$B30)=0,0,9.99),SUMIFS($AD$3:$AD$870,$AC$3:$AC$870,L$23,$AE$3:$AE$870,"&lt;="&amp;$B30,$AF$3:$AF$870,"&gt;="&amp;$B30)/INDEX('01_INPUTS'!$E$17:$E$31,MATCH(L$23,'01_INPUTS'!$B$17:$B$31,0)))</f>
        <v>1.5</v>
      </c>
      <c r="M30" s="61">
        <f>IF(INDEX('01_INPUTS'!$E$17:$E$31,MATCH(M$23,'01_INPUTS'!$B$17:$B$31,0))=0,IF(SUMIFS($AD$3:$AD$870,$AC$3:$AC$870,M$23,$AE$3:$AE$870,"&lt;="&amp;$B30,$AF$3:$AF$870,"&gt;="&amp;$B30)=0,0,9.99),SUMIFS($AD$3:$AD$870,$AC$3:$AC$870,M$23,$AE$3:$AE$870,"&lt;="&amp;$B30,$AF$3:$AF$870,"&gt;="&amp;$B30)/INDEX('01_INPUTS'!$E$17:$E$31,MATCH(M$23,'01_INPUTS'!$B$17:$B$31,0)))</f>
        <v>1.5</v>
      </c>
      <c r="N30" s="61">
        <f>IF(INDEX('01_INPUTS'!$E$17:$E$31,MATCH(N$23,'01_INPUTS'!$B$17:$B$31,0))=0,IF(SUMIFS($AD$3:$AD$870,$AC$3:$AC$870,N$23,$AE$3:$AE$870,"&lt;="&amp;$B30,$AF$3:$AF$870,"&gt;="&amp;$B30)=0,0,9.99),SUMIFS($AD$3:$AD$870,$AC$3:$AC$870,N$23,$AE$3:$AE$870,"&lt;="&amp;$B30,$AF$3:$AF$870,"&gt;="&amp;$B30)/INDEX('01_INPUTS'!$E$17:$E$31,MATCH(N$23,'01_INPUTS'!$B$17:$B$31,0)))</f>
        <v>1.5</v>
      </c>
      <c r="O30" s="61">
        <f>IF(INDEX('01_INPUTS'!$E$17:$E$31,MATCH(O$23,'01_INPUTS'!$B$17:$B$31,0))=0,IF(SUMIFS($AD$3:$AD$870,$AC$3:$AC$870,O$23,$AE$3:$AE$870,"&lt;="&amp;$B30,$AF$3:$AF$870,"&gt;="&amp;$B30)=0,0,9.99),SUMIFS($AD$3:$AD$870,$AC$3:$AC$870,O$23,$AE$3:$AE$870,"&lt;="&amp;$B30,$AF$3:$AF$870,"&gt;="&amp;$B30)/INDEX('01_INPUTS'!$E$17:$E$31,MATCH(O$23,'01_INPUTS'!$B$17:$B$31,0)))</f>
        <v>1.5</v>
      </c>
      <c r="P30" s="61">
        <f>IF(INDEX('01_INPUTS'!$E$17:$E$31,MATCH(P$23,'01_INPUTS'!$B$17:$B$31,0))=0,IF(SUMIFS($AD$3:$AD$870,$AC$3:$AC$870,P$23,$AE$3:$AE$870,"&lt;="&amp;$B30,$AF$3:$AF$870,"&gt;="&amp;$B30)=0,0,9.99),SUMIFS($AD$3:$AD$870,$AC$3:$AC$870,P$23,$AE$3:$AE$870,"&lt;="&amp;$B30,$AF$3:$AF$870,"&gt;="&amp;$B30)/INDEX('01_INPUTS'!$E$17:$E$31,MATCH(P$23,'01_INPUTS'!$B$17:$B$31,0)))</f>
        <v>3</v>
      </c>
      <c r="Q30" s="61">
        <f>IF(INDEX('01_INPUTS'!$E$17:$E$31,MATCH(Q$23,'01_INPUTS'!$B$17:$B$31,0))=0,IF(SUMIFS($AD$3:$AD$870,$AC$3:$AC$870,Q$23,$AE$3:$AE$870,"&lt;="&amp;$B30,$AF$3:$AF$870,"&gt;="&amp;$B30)=0,0,9.99),SUMIFS($AD$3:$AD$870,$AC$3:$AC$870,Q$23,$AE$3:$AE$870,"&lt;="&amp;$B30,$AF$3:$AF$870,"&gt;="&amp;$B30)/INDEX('01_INPUTS'!$E$17:$E$31,MATCH(Q$23,'01_INPUTS'!$B$17:$B$31,0)))</f>
        <v>0</v>
      </c>
      <c r="R30" s="61">
        <f>IF(INDEX('01_INPUTS'!$E$17:$E$31,MATCH(R$23,'01_INPUTS'!$B$17:$B$31,0))=0,IF(SUMIFS($AD$3:$AD$870,$AC$3:$AC$870,R$23,$AE$3:$AE$870,"&lt;="&amp;$B30,$AF$3:$AF$870,"&gt;="&amp;$B30)=0,0,9.99),SUMIFS($AD$3:$AD$870,$AC$3:$AC$870,R$23,$AE$3:$AE$870,"&lt;="&amp;$B30,$AF$3:$AF$870,"&gt;="&amp;$B30)/INDEX('01_INPUTS'!$E$17:$E$31,MATCH(R$23,'01_INPUTS'!$B$17:$B$31,0)))</f>
        <v>0</v>
      </c>
      <c r="S30">
        <f t="shared" si="1"/>
        <v>18</v>
      </c>
      <c r="T30">
        <f>SUM('01_INPUTS'!$E$17:$E$31)</f>
        <v>20</v>
      </c>
      <c r="U30" s="61">
        <f t="shared" si="2"/>
        <v>0.9</v>
      </c>
      <c r="V30">
        <f t="shared" si="3"/>
        <v>9</v>
      </c>
      <c r="W30" t="str">
        <f t="shared" si="4"/>
        <v>ROJO</v>
      </c>
      <c r="AA30" s="51" t="str">
        <f>'Sites Master'!$B$2</f>
        <v>Site 01</v>
      </c>
      <c r="AB30" s="51" t="str">
        <f>'Phase-Resource Allocation'!$B$91</f>
        <v>UAT</v>
      </c>
      <c r="AC30" s="51" t="str">
        <f>'Phase-Resource Allocation'!$C$91</f>
        <v>Testing Lead</v>
      </c>
      <c r="AD30" s="60">
        <f>'Phase-Resource Allocation'!$D$91</f>
        <v>0.5</v>
      </c>
      <c r="AE30" s="51">
        <f>IFERROR(INDEX('02_SCHEDULE'!$K$5:$K$124,MATCH(AA30&amp;"|"&amp;AB30,'02_SCHEDULE'!$M$5:$M$124,0)),0)</f>
        <v>7</v>
      </c>
      <c r="AF30" s="51">
        <f>IFERROR(INDEX('02_SCHEDULE'!$L$5:$L$124,MATCH(AA30&amp;"|"&amp;AB30,'02_SCHEDULE'!$M$5:$M$124,0)),0)</f>
        <v>8</v>
      </c>
      <c r="AG30" s="51">
        <f t="shared" si="0"/>
        <v>1</v>
      </c>
    </row>
    <row r="31" spans="2:33" x14ac:dyDescent="0.3">
      <c r="B31">
        <f>8</f>
        <v>8</v>
      </c>
      <c r="C31" s="55">
        <f>'01_INPUTS'!$C$7+(8-1)*7</f>
        <v>46300</v>
      </c>
      <c r="D31" s="61">
        <f>IF(INDEX('01_INPUTS'!$E$17:$E$31,MATCH(D$23,'01_INPUTS'!$B$17:$B$31,0))=0,IF(SUMIFS($AD$3:$AD$870,$AC$3:$AC$870,D$23,$AE$3:$AE$870,"&lt;="&amp;$B31,$AF$3:$AF$870,"&gt;="&amp;$B31)=0,0,9.99),SUMIFS($AD$3:$AD$870,$AC$3:$AC$870,D$23,$AE$3:$AE$870,"&lt;="&amp;$B31,$AF$3:$AF$870,"&gt;="&amp;$B31)/INDEX('01_INPUTS'!$E$17:$E$31,MATCH(D$23,'01_INPUTS'!$B$17:$B$31,0)))</f>
        <v>1.5</v>
      </c>
      <c r="E31" s="61">
        <f>IF(INDEX('01_INPUTS'!$E$17:$E$31,MATCH(E$23,'01_INPUTS'!$B$17:$B$31,0))=0,IF(SUMIFS($AD$3:$AD$870,$AC$3:$AC$870,E$23,$AE$3:$AE$870,"&lt;="&amp;$B31,$AF$3:$AF$870,"&gt;="&amp;$B31)=0,0,9.99),SUMIFS($AD$3:$AD$870,$AC$3:$AC$870,E$23,$AE$3:$AE$870,"&lt;="&amp;$B31,$AF$3:$AF$870,"&gt;="&amp;$B31)/INDEX('01_INPUTS'!$E$17:$E$31,MATCH(E$23,'01_INPUTS'!$B$17:$B$31,0)))</f>
        <v>0</v>
      </c>
      <c r="F31" s="61">
        <f>IF(INDEX('01_INPUTS'!$E$17:$E$31,MATCH(F$23,'01_INPUTS'!$B$17:$B$31,0))=0,IF(SUMIFS($AD$3:$AD$870,$AC$3:$AC$870,F$23,$AE$3:$AE$870,"&lt;="&amp;$B31,$AF$3:$AF$870,"&gt;="&amp;$B31)=0,0,9.99),SUMIFS($AD$3:$AD$870,$AC$3:$AC$870,F$23,$AE$3:$AE$870,"&lt;="&amp;$B31,$AF$3:$AF$870,"&gt;="&amp;$B31)/INDEX('01_INPUTS'!$E$17:$E$31,MATCH(F$23,'01_INPUTS'!$B$17:$B$31,0)))</f>
        <v>0</v>
      </c>
      <c r="G31" s="61">
        <f>IF(INDEX('01_INPUTS'!$E$17:$E$31,MATCH(G$23,'01_INPUTS'!$B$17:$B$31,0))=0,IF(SUMIFS($AD$3:$AD$870,$AC$3:$AC$870,G$23,$AE$3:$AE$870,"&lt;="&amp;$B31,$AF$3:$AF$870,"&gt;="&amp;$B31)=0,0,9.99),SUMIFS($AD$3:$AD$870,$AC$3:$AC$870,G$23,$AE$3:$AE$870,"&lt;="&amp;$B31,$AF$3:$AF$870,"&gt;="&amp;$B31)/INDEX('01_INPUTS'!$E$17:$E$31,MATCH(G$23,'01_INPUTS'!$B$17:$B$31,0)))</f>
        <v>0</v>
      </c>
      <c r="H31" s="61">
        <f>IF(INDEX('01_INPUTS'!$E$17:$E$31,MATCH(H$23,'01_INPUTS'!$B$17:$B$31,0))=0,IF(SUMIFS($AD$3:$AD$870,$AC$3:$AC$870,H$23,$AE$3:$AE$870,"&lt;="&amp;$B31,$AF$3:$AF$870,"&gt;="&amp;$B31)=0,0,9.99),SUMIFS($AD$3:$AD$870,$AC$3:$AC$870,H$23,$AE$3:$AE$870,"&lt;="&amp;$B31,$AF$3:$AF$870,"&gt;="&amp;$B31)/INDEX('01_INPUTS'!$E$17:$E$31,MATCH(H$23,'01_INPUTS'!$B$17:$B$31,0)))</f>
        <v>1.5</v>
      </c>
      <c r="I31" s="61">
        <f>IF(INDEX('01_INPUTS'!$E$17:$E$31,MATCH(I$23,'01_INPUTS'!$B$17:$B$31,0))=0,IF(SUMIFS($AD$3:$AD$870,$AC$3:$AC$870,I$23,$AE$3:$AE$870,"&lt;="&amp;$B31,$AF$3:$AF$870,"&gt;="&amp;$B31)=0,0,9.99),SUMIFS($AD$3:$AD$870,$AC$3:$AC$870,I$23,$AE$3:$AE$870,"&lt;="&amp;$B31,$AF$3:$AF$870,"&gt;="&amp;$B31)/INDEX('01_INPUTS'!$E$17:$E$31,MATCH(I$23,'01_INPUTS'!$B$17:$B$31,0)))</f>
        <v>0</v>
      </c>
      <c r="J31" s="61">
        <f>IF(INDEX('01_INPUTS'!$E$17:$E$31,MATCH(J$23,'01_INPUTS'!$B$17:$B$31,0))=0,IF(SUMIFS($AD$3:$AD$870,$AC$3:$AC$870,J$23,$AE$3:$AE$870,"&lt;="&amp;$B31,$AF$3:$AF$870,"&gt;="&amp;$B31)=0,0,9.99),SUMIFS($AD$3:$AD$870,$AC$3:$AC$870,J$23,$AE$3:$AE$870,"&lt;="&amp;$B31,$AF$3:$AF$870,"&gt;="&amp;$B31)/INDEX('01_INPUTS'!$E$17:$E$31,MATCH(J$23,'01_INPUTS'!$B$17:$B$31,0)))</f>
        <v>1.5</v>
      </c>
      <c r="K31" s="61">
        <f>IF(INDEX('01_INPUTS'!$E$17:$E$31,MATCH(K$23,'01_INPUTS'!$B$17:$B$31,0))=0,IF(SUMIFS($AD$3:$AD$870,$AC$3:$AC$870,K$23,$AE$3:$AE$870,"&lt;="&amp;$B31,$AF$3:$AF$870,"&gt;="&amp;$B31)=0,0,9.99),SUMIFS($AD$3:$AD$870,$AC$3:$AC$870,K$23,$AE$3:$AE$870,"&lt;="&amp;$B31,$AF$3:$AF$870,"&gt;="&amp;$B31)/INDEX('01_INPUTS'!$E$17:$E$31,MATCH(K$23,'01_INPUTS'!$B$17:$B$31,0)))</f>
        <v>1.5</v>
      </c>
      <c r="L31" s="61">
        <f>IF(INDEX('01_INPUTS'!$E$17:$E$31,MATCH(L$23,'01_INPUTS'!$B$17:$B$31,0))=0,IF(SUMIFS($AD$3:$AD$870,$AC$3:$AC$870,L$23,$AE$3:$AE$870,"&lt;="&amp;$B31,$AF$3:$AF$870,"&gt;="&amp;$B31)=0,0,9.99),SUMIFS($AD$3:$AD$870,$AC$3:$AC$870,L$23,$AE$3:$AE$870,"&lt;="&amp;$B31,$AF$3:$AF$870,"&gt;="&amp;$B31)/INDEX('01_INPUTS'!$E$17:$E$31,MATCH(L$23,'01_INPUTS'!$B$17:$B$31,0)))</f>
        <v>1.5</v>
      </c>
      <c r="M31" s="61">
        <f>IF(INDEX('01_INPUTS'!$E$17:$E$31,MATCH(M$23,'01_INPUTS'!$B$17:$B$31,0))=0,IF(SUMIFS($AD$3:$AD$870,$AC$3:$AC$870,M$23,$AE$3:$AE$870,"&lt;="&amp;$B31,$AF$3:$AF$870,"&gt;="&amp;$B31)=0,0,9.99),SUMIFS($AD$3:$AD$870,$AC$3:$AC$870,M$23,$AE$3:$AE$870,"&lt;="&amp;$B31,$AF$3:$AF$870,"&gt;="&amp;$B31)/INDEX('01_INPUTS'!$E$17:$E$31,MATCH(M$23,'01_INPUTS'!$B$17:$B$31,0)))</f>
        <v>1.5</v>
      </c>
      <c r="N31" s="61">
        <f>IF(INDEX('01_INPUTS'!$E$17:$E$31,MATCH(N$23,'01_INPUTS'!$B$17:$B$31,0))=0,IF(SUMIFS($AD$3:$AD$870,$AC$3:$AC$870,N$23,$AE$3:$AE$870,"&lt;="&amp;$B31,$AF$3:$AF$870,"&gt;="&amp;$B31)=0,0,9.99),SUMIFS($AD$3:$AD$870,$AC$3:$AC$870,N$23,$AE$3:$AE$870,"&lt;="&amp;$B31,$AF$3:$AF$870,"&gt;="&amp;$B31)/INDEX('01_INPUTS'!$E$17:$E$31,MATCH(N$23,'01_INPUTS'!$B$17:$B$31,0)))</f>
        <v>1.5</v>
      </c>
      <c r="O31" s="61">
        <f>IF(INDEX('01_INPUTS'!$E$17:$E$31,MATCH(O$23,'01_INPUTS'!$B$17:$B$31,0))=0,IF(SUMIFS($AD$3:$AD$870,$AC$3:$AC$870,O$23,$AE$3:$AE$870,"&lt;="&amp;$B31,$AF$3:$AF$870,"&gt;="&amp;$B31)=0,0,9.99),SUMIFS($AD$3:$AD$870,$AC$3:$AC$870,O$23,$AE$3:$AE$870,"&lt;="&amp;$B31,$AF$3:$AF$870,"&gt;="&amp;$B31)/INDEX('01_INPUTS'!$E$17:$E$31,MATCH(O$23,'01_INPUTS'!$B$17:$B$31,0)))</f>
        <v>1.5</v>
      </c>
      <c r="P31" s="61">
        <f>IF(INDEX('01_INPUTS'!$E$17:$E$31,MATCH(P$23,'01_INPUTS'!$B$17:$B$31,0))=0,IF(SUMIFS($AD$3:$AD$870,$AC$3:$AC$870,P$23,$AE$3:$AE$870,"&lt;="&amp;$B31,$AF$3:$AF$870,"&gt;="&amp;$B31)=0,0,9.99),SUMIFS($AD$3:$AD$870,$AC$3:$AC$870,P$23,$AE$3:$AE$870,"&lt;="&amp;$B31,$AF$3:$AF$870,"&gt;="&amp;$B31)/INDEX('01_INPUTS'!$E$17:$E$31,MATCH(P$23,'01_INPUTS'!$B$17:$B$31,0)))</f>
        <v>3</v>
      </c>
      <c r="Q31" s="61">
        <f>IF(INDEX('01_INPUTS'!$E$17:$E$31,MATCH(Q$23,'01_INPUTS'!$B$17:$B$31,0))=0,IF(SUMIFS($AD$3:$AD$870,$AC$3:$AC$870,Q$23,$AE$3:$AE$870,"&lt;="&amp;$B31,$AF$3:$AF$870,"&gt;="&amp;$B31)=0,0,9.99),SUMIFS($AD$3:$AD$870,$AC$3:$AC$870,Q$23,$AE$3:$AE$870,"&lt;="&amp;$B31,$AF$3:$AF$870,"&gt;="&amp;$B31)/INDEX('01_INPUTS'!$E$17:$E$31,MATCH(Q$23,'01_INPUTS'!$B$17:$B$31,0)))</f>
        <v>0</v>
      </c>
      <c r="R31" s="61">
        <f>IF(INDEX('01_INPUTS'!$E$17:$E$31,MATCH(R$23,'01_INPUTS'!$B$17:$B$31,0))=0,IF(SUMIFS($AD$3:$AD$870,$AC$3:$AC$870,R$23,$AE$3:$AE$870,"&lt;="&amp;$B31,$AF$3:$AF$870,"&gt;="&amp;$B31)=0,0,9.99),SUMIFS($AD$3:$AD$870,$AC$3:$AC$870,R$23,$AE$3:$AE$870,"&lt;="&amp;$B31,$AF$3:$AF$870,"&gt;="&amp;$B31)/INDEX('01_INPUTS'!$E$17:$E$31,MATCH(R$23,'01_INPUTS'!$B$17:$B$31,0)))</f>
        <v>0</v>
      </c>
      <c r="S31">
        <f t="shared" si="1"/>
        <v>18</v>
      </c>
      <c r="T31">
        <f>SUM('01_INPUTS'!$E$17:$E$31)</f>
        <v>20</v>
      </c>
      <c r="U31" s="61">
        <f t="shared" si="2"/>
        <v>0.9</v>
      </c>
      <c r="V31">
        <f t="shared" si="3"/>
        <v>9</v>
      </c>
      <c r="W31" t="str">
        <f t="shared" si="4"/>
        <v>ROJO</v>
      </c>
      <c r="AA31" s="51" t="str">
        <f>'Sites Master'!$B$2</f>
        <v>Site 01</v>
      </c>
      <c r="AB31" s="51" t="str">
        <f>'Phase-Resource Allocation'!$B$92</f>
        <v>UAT</v>
      </c>
      <c r="AC31" s="51" t="str">
        <f>'Phase-Resource Allocation'!$C$92</f>
        <v>Functional Lead</v>
      </c>
      <c r="AD31" s="60">
        <f>'Phase-Resource Allocation'!$D$92</f>
        <v>1</v>
      </c>
      <c r="AE31" s="51">
        <f>IFERROR(INDEX('02_SCHEDULE'!$K$5:$K$124,MATCH(AA31&amp;"|"&amp;AB31,'02_SCHEDULE'!$M$5:$M$124,0)),0)</f>
        <v>7</v>
      </c>
      <c r="AF31" s="51">
        <f>IFERROR(INDEX('02_SCHEDULE'!$L$5:$L$124,MATCH(AA31&amp;"|"&amp;AB31,'02_SCHEDULE'!$M$5:$M$124,0)),0)</f>
        <v>8</v>
      </c>
      <c r="AG31" s="51">
        <f t="shared" si="0"/>
        <v>2</v>
      </c>
    </row>
    <row r="32" spans="2:33" x14ac:dyDescent="0.3">
      <c r="B32">
        <f>9</f>
        <v>9</v>
      </c>
      <c r="C32" s="55">
        <f>'01_INPUTS'!$C$7+(9-1)*7</f>
        <v>46307</v>
      </c>
      <c r="D32" s="61">
        <f>IF(INDEX('01_INPUTS'!$E$17:$E$31,MATCH(D$23,'01_INPUTS'!$B$17:$B$31,0))=0,IF(SUMIFS($AD$3:$AD$870,$AC$3:$AC$870,D$23,$AE$3:$AE$870,"&lt;="&amp;$B32,$AF$3:$AF$870,"&gt;="&amp;$B32)=0,0,9.99),SUMIFS($AD$3:$AD$870,$AC$3:$AC$870,D$23,$AE$3:$AE$870,"&lt;="&amp;$B32,$AF$3:$AF$870,"&gt;="&amp;$B32)/INDEX('01_INPUTS'!$E$17:$E$31,MATCH(D$23,'01_INPUTS'!$B$17:$B$31,0)))</f>
        <v>0</v>
      </c>
      <c r="E32" s="61">
        <f>IF(INDEX('01_INPUTS'!$E$17:$E$31,MATCH(E$23,'01_INPUTS'!$B$17:$B$31,0))=0,IF(SUMIFS($AD$3:$AD$870,$AC$3:$AC$870,E$23,$AE$3:$AE$870,"&lt;="&amp;$B32,$AF$3:$AF$870,"&gt;="&amp;$B32)=0,0,9.99),SUMIFS($AD$3:$AD$870,$AC$3:$AC$870,E$23,$AE$3:$AE$870,"&lt;="&amp;$B32,$AF$3:$AF$870,"&gt;="&amp;$B32)/INDEX('01_INPUTS'!$E$17:$E$31,MATCH(E$23,'01_INPUTS'!$B$17:$B$31,0)))</f>
        <v>0</v>
      </c>
      <c r="F32" s="61">
        <f>IF(INDEX('01_INPUTS'!$E$17:$E$31,MATCH(F$23,'01_INPUTS'!$B$17:$B$31,0))=0,IF(SUMIFS($AD$3:$AD$870,$AC$3:$AC$870,F$23,$AE$3:$AE$870,"&lt;="&amp;$B32,$AF$3:$AF$870,"&gt;="&amp;$B32)=0,0,9.99),SUMIFS($AD$3:$AD$870,$AC$3:$AC$870,F$23,$AE$3:$AE$870,"&lt;="&amp;$B32,$AF$3:$AF$870,"&gt;="&amp;$B32)/INDEX('01_INPUTS'!$E$17:$E$31,MATCH(F$23,'01_INPUTS'!$B$17:$B$31,0)))</f>
        <v>0</v>
      </c>
      <c r="G32" s="61">
        <f>IF(INDEX('01_INPUTS'!$E$17:$E$31,MATCH(G$23,'01_INPUTS'!$B$17:$B$31,0))=0,IF(SUMIFS($AD$3:$AD$870,$AC$3:$AC$870,G$23,$AE$3:$AE$870,"&lt;="&amp;$B32,$AF$3:$AF$870,"&gt;="&amp;$B32)=0,0,9.99),SUMIFS($AD$3:$AD$870,$AC$3:$AC$870,G$23,$AE$3:$AE$870,"&lt;="&amp;$B32,$AF$3:$AF$870,"&gt;="&amp;$B32)/INDEX('01_INPUTS'!$E$17:$E$31,MATCH(G$23,'01_INPUTS'!$B$17:$B$31,0)))</f>
        <v>0</v>
      </c>
      <c r="H32" s="61">
        <f>IF(INDEX('01_INPUTS'!$E$17:$E$31,MATCH(H$23,'01_INPUTS'!$B$17:$B$31,0))=0,IF(SUMIFS($AD$3:$AD$870,$AC$3:$AC$870,H$23,$AE$3:$AE$870,"&lt;="&amp;$B32,$AF$3:$AF$870,"&gt;="&amp;$B32)=0,0,9.99),SUMIFS($AD$3:$AD$870,$AC$3:$AC$870,H$23,$AE$3:$AE$870,"&lt;="&amp;$B32,$AF$3:$AF$870,"&gt;="&amp;$B32)/INDEX('01_INPUTS'!$E$17:$E$31,MATCH(H$23,'01_INPUTS'!$B$17:$B$31,0)))</f>
        <v>1.5</v>
      </c>
      <c r="I32" s="61">
        <f>IF(INDEX('01_INPUTS'!$E$17:$E$31,MATCH(I$23,'01_INPUTS'!$B$17:$B$31,0))=0,IF(SUMIFS($AD$3:$AD$870,$AC$3:$AC$870,I$23,$AE$3:$AE$870,"&lt;="&amp;$B32,$AF$3:$AF$870,"&gt;="&amp;$B32)=0,0,9.99),SUMIFS($AD$3:$AD$870,$AC$3:$AC$870,I$23,$AE$3:$AE$870,"&lt;="&amp;$B32,$AF$3:$AF$870,"&gt;="&amp;$B32)/INDEX('01_INPUTS'!$E$17:$E$31,MATCH(I$23,'01_INPUTS'!$B$17:$B$31,0)))</f>
        <v>0</v>
      </c>
      <c r="J32" s="61">
        <f>IF(INDEX('01_INPUTS'!$E$17:$E$31,MATCH(J$23,'01_INPUTS'!$B$17:$B$31,0))=0,IF(SUMIFS($AD$3:$AD$870,$AC$3:$AC$870,J$23,$AE$3:$AE$870,"&lt;="&amp;$B32,$AF$3:$AF$870,"&gt;="&amp;$B32)=0,0,9.99),SUMIFS($AD$3:$AD$870,$AC$3:$AC$870,J$23,$AE$3:$AE$870,"&lt;="&amp;$B32,$AF$3:$AF$870,"&gt;="&amp;$B32)/INDEX('01_INPUTS'!$E$17:$E$31,MATCH(J$23,'01_INPUTS'!$B$17:$B$31,0)))</f>
        <v>0</v>
      </c>
      <c r="K32" s="61">
        <f>IF(INDEX('01_INPUTS'!$E$17:$E$31,MATCH(K$23,'01_INPUTS'!$B$17:$B$31,0))=0,IF(SUMIFS($AD$3:$AD$870,$AC$3:$AC$870,K$23,$AE$3:$AE$870,"&lt;="&amp;$B32,$AF$3:$AF$870,"&gt;="&amp;$B32)=0,0,9.99),SUMIFS($AD$3:$AD$870,$AC$3:$AC$870,K$23,$AE$3:$AE$870,"&lt;="&amp;$B32,$AF$3:$AF$870,"&gt;="&amp;$B32)/INDEX('01_INPUTS'!$E$17:$E$31,MATCH(K$23,'01_INPUTS'!$B$17:$B$31,0)))</f>
        <v>0</v>
      </c>
      <c r="L32" s="61">
        <f>IF(INDEX('01_INPUTS'!$E$17:$E$31,MATCH(L$23,'01_INPUTS'!$B$17:$B$31,0))=0,IF(SUMIFS($AD$3:$AD$870,$AC$3:$AC$870,L$23,$AE$3:$AE$870,"&lt;="&amp;$B32,$AF$3:$AF$870,"&gt;="&amp;$B32)=0,0,9.99),SUMIFS($AD$3:$AD$870,$AC$3:$AC$870,L$23,$AE$3:$AE$870,"&lt;="&amp;$B32,$AF$3:$AF$870,"&gt;="&amp;$B32)/INDEX('01_INPUTS'!$E$17:$E$31,MATCH(L$23,'01_INPUTS'!$B$17:$B$31,0)))</f>
        <v>0</v>
      </c>
      <c r="M32" s="61">
        <f>IF(INDEX('01_INPUTS'!$E$17:$E$31,MATCH(M$23,'01_INPUTS'!$B$17:$B$31,0))=0,IF(SUMIFS($AD$3:$AD$870,$AC$3:$AC$870,M$23,$AE$3:$AE$870,"&lt;="&amp;$B32,$AF$3:$AF$870,"&gt;="&amp;$B32)=0,0,9.99),SUMIFS($AD$3:$AD$870,$AC$3:$AC$870,M$23,$AE$3:$AE$870,"&lt;="&amp;$B32,$AF$3:$AF$870,"&gt;="&amp;$B32)/INDEX('01_INPUTS'!$E$17:$E$31,MATCH(M$23,'01_INPUTS'!$B$17:$B$31,0)))</f>
        <v>0</v>
      </c>
      <c r="N32" s="61">
        <f>IF(INDEX('01_INPUTS'!$E$17:$E$31,MATCH(N$23,'01_INPUTS'!$B$17:$B$31,0))=0,IF(SUMIFS($AD$3:$AD$870,$AC$3:$AC$870,N$23,$AE$3:$AE$870,"&lt;="&amp;$B32,$AF$3:$AF$870,"&gt;="&amp;$B32)=0,0,9.99),SUMIFS($AD$3:$AD$870,$AC$3:$AC$870,N$23,$AE$3:$AE$870,"&lt;="&amp;$B32,$AF$3:$AF$870,"&gt;="&amp;$B32)/INDEX('01_INPUTS'!$E$17:$E$31,MATCH(N$23,'01_INPUTS'!$B$17:$B$31,0)))</f>
        <v>0</v>
      </c>
      <c r="O32" s="61">
        <f>IF(INDEX('01_INPUTS'!$E$17:$E$31,MATCH(O$23,'01_INPUTS'!$B$17:$B$31,0))=0,IF(SUMIFS($AD$3:$AD$870,$AC$3:$AC$870,O$23,$AE$3:$AE$870,"&lt;="&amp;$B32,$AF$3:$AF$870,"&gt;="&amp;$B32)=0,0,9.99),SUMIFS($AD$3:$AD$870,$AC$3:$AC$870,O$23,$AE$3:$AE$870,"&lt;="&amp;$B32,$AF$3:$AF$870,"&gt;="&amp;$B32)/INDEX('01_INPUTS'!$E$17:$E$31,MATCH(O$23,'01_INPUTS'!$B$17:$B$31,0)))</f>
        <v>0</v>
      </c>
      <c r="P32" s="61">
        <f>IF(INDEX('01_INPUTS'!$E$17:$E$31,MATCH(P$23,'01_INPUTS'!$B$17:$B$31,0))=0,IF(SUMIFS($AD$3:$AD$870,$AC$3:$AC$870,P$23,$AE$3:$AE$870,"&lt;="&amp;$B32,$AF$3:$AF$870,"&gt;="&amp;$B32)=0,0,9.99),SUMIFS($AD$3:$AD$870,$AC$3:$AC$870,P$23,$AE$3:$AE$870,"&lt;="&amp;$B32,$AF$3:$AF$870,"&gt;="&amp;$B32)/INDEX('01_INPUTS'!$E$17:$E$31,MATCH(P$23,'01_INPUTS'!$B$17:$B$31,0)))</f>
        <v>3</v>
      </c>
      <c r="Q32" s="61">
        <f>IF(INDEX('01_INPUTS'!$E$17:$E$31,MATCH(Q$23,'01_INPUTS'!$B$17:$B$31,0))=0,IF(SUMIFS($AD$3:$AD$870,$AC$3:$AC$870,Q$23,$AE$3:$AE$870,"&lt;="&amp;$B32,$AF$3:$AF$870,"&gt;="&amp;$B32)=0,0,9.99),SUMIFS($AD$3:$AD$870,$AC$3:$AC$870,Q$23,$AE$3:$AE$870,"&lt;="&amp;$B32,$AF$3:$AF$870,"&gt;="&amp;$B32)/INDEX('01_INPUTS'!$E$17:$E$31,MATCH(Q$23,'01_INPUTS'!$B$17:$B$31,0)))</f>
        <v>0</v>
      </c>
      <c r="R32" s="61">
        <f>IF(INDEX('01_INPUTS'!$E$17:$E$31,MATCH(R$23,'01_INPUTS'!$B$17:$B$31,0))=0,IF(SUMIFS($AD$3:$AD$870,$AC$3:$AC$870,R$23,$AE$3:$AE$870,"&lt;="&amp;$B32,$AF$3:$AF$870,"&gt;="&amp;$B32)=0,0,9.99),SUMIFS($AD$3:$AD$870,$AC$3:$AC$870,R$23,$AE$3:$AE$870,"&lt;="&amp;$B32,$AF$3:$AF$870,"&gt;="&amp;$B32)/INDEX('01_INPUTS'!$E$17:$E$31,MATCH(R$23,'01_INPUTS'!$B$17:$B$31,0)))</f>
        <v>0</v>
      </c>
      <c r="S32">
        <f t="shared" si="1"/>
        <v>6</v>
      </c>
      <c r="T32">
        <f>SUM('01_INPUTS'!$E$17:$E$31)</f>
        <v>20</v>
      </c>
      <c r="U32" s="61">
        <f t="shared" si="2"/>
        <v>0.3</v>
      </c>
      <c r="V32">
        <f t="shared" si="3"/>
        <v>2</v>
      </c>
      <c r="W32" t="str">
        <f t="shared" si="4"/>
        <v>ROJO</v>
      </c>
      <c r="AA32" s="51" t="str">
        <f>'Sites Master'!$B$2</f>
        <v>Site 01</v>
      </c>
      <c r="AB32" s="51" t="str">
        <f>'Phase-Resource Allocation'!$B$93</f>
        <v>UAT</v>
      </c>
      <c r="AC32" s="51" t="str">
        <f>'Phase-Resource Allocation'!$C$93</f>
        <v>Trainers</v>
      </c>
      <c r="AD32" s="60">
        <f>'Phase-Resource Allocation'!$D$93</f>
        <v>1</v>
      </c>
      <c r="AE32" s="51">
        <f>IFERROR(INDEX('02_SCHEDULE'!$K$5:$K$124,MATCH(AA32&amp;"|"&amp;AB32,'02_SCHEDULE'!$M$5:$M$124,0)),0)</f>
        <v>7</v>
      </c>
      <c r="AF32" s="51">
        <f>IFERROR(INDEX('02_SCHEDULE'!$L$5:$L$124,MATCH(AA32&amp;"|"&amp;AB32,'02_SCHEDULE'!$M$5:$M$124,0)),0)</f>
        <v>8</v>
      </c>
      <c r="AG32" s="51">
        <f t="shared" si="0"/>
        <v>2</v>
      </c>
    </row>
    <row r="33" spans="2:33" x14ac:dyDescent="0.3">
      <c r="B33">
        <f>10</f>
        <v>10</v>
      </c>
      <c r="C33" s="55">
        <f>'01_INPUTS'!$C$7+(10-1)*7</f>
        <v>46314</v>
      </c>
      <c r="D33" s="61">
        <f>IF(INDEX('01_INPUTS'!$E$17:$E$31,MATCH(D$23,'01_INPUTS'!$B$17:$B$31,0))=0,IF(SUMIFS($AD$3:$AD$870,$AC$3:$AC$870,D$23,$AE$3:$AE$870,"&lt;="&amp;$B33,$AF$3:$AF$870,"&gt;="&amp;$B33)=0,0,9.99),SUMIFS($AD$3:$AD$870,$AC$3:$AC$870,D$23,$AE$3:$AE$870,"&lt;="&amp;$B33,$AF$3:$AF$870,"&gt;="&amp;$B33)/INDEX('01_INPUTS'!$E$17:$E$31,MATCH(D$23,'01_INPUTS'!$B$17:$B$31,0)))</f>
        <v>0</v>
      </c>
      <c r="E33" s="61">
        <f>IF(INDEX('01_INPUTS'!$E$17:$E$31,MATCH(E$23,'01_INPUTS'!$B$17:$B$31,0))=0,IF(SUMIFS($AD$3:$AD$870,$AC$3:$AC$870,E$23,$AE$3:$AE$870,"&lt;="&amp;$B33,$AF$3:$AF$870,"&gt;="&amp;$B33)=0,0,9.99),SUMIFS($AD$3:$AD$870,$AC$3:$AC$870,E$23,$AE$3:$AE$870,"&lt;="&amp;$B33,$AF$3:$AF$870,"&gt;="&amp;$B33)/INDEX('01_INPUTS'!$E$17:$E$31,MATCH(E$23,'01_INPUTS'!$B$17:$B$31,0)))</f>
        <v>0</v>
      </c>
      <c r="F33" s="61">
        <f>IF(INDEX('01_INPUTS'!$E$17:$E$31,MATCH(F$23,'01_INPUTS'!$B$17:$B$31,0))=0,IF(SUMIFS($AD$3:$AD$870,$AC$3:$AC$870,F$23,$AE$3:$AE$870,"&lt;="&amp;$B33,$AF$3:$AF$870,"&gt;="&amp;$B33)=0,0,9.99),SUMIFS($AD$3:$AD$870,$AC$3:$AC$870,F$23,$AE$3:$AE$870,"&lt;="&amp;$B33,$AF$3:$AF$870,"&gt;="&amp;$B33)/INDEX('01_INPUTS'!$E$17:$E$31,MATCH(F$23,'01_INPUTS'!$B$17:$B$31,0)))</f>
        <v>0</v>
      </c>
      <c r="G33" s="61">
        <f>IF(INDEX('01_INPUTS'!$E$17:$E$31,MATCH(G$23,'01_INPUTS'!$B$17:$B$31,0))=0,IF(SUMIFS($AD$3:$AD$870,$AC$3:$AC$870,G$23,$AE$3:$AE$870,"&lt;="&amp;$B33,$AF$3:$AF$870,"&gt;="&amp;$B33)=0,0,9.99),SUMIFS($AD$3:$AD$870,$AC$3:$AC$870,G$23,$AE$3:$AE$870,"&lt;="&amp;$B33,$AF$3:$AF$870,"&gt;="&amp;$B33)/INDEX('01_INPUTS'!$E$17:$E$31,MATCH(G$23,'01_INPUTS'!$B$17:$B$31,0)))</f>
        <v>0</v>
      </c>
      <c r="H33" s="61">
        <f>IF(INDEX('01_INPUTS'!$E$17:$E$31,MATCH(H$23,'01_INPUTS'!$B$17:$B$31,0))=0,IF(SUMIFS($AD$3:$AD$870,$AC$3:$AC$870,H$23,$AE$3:$AE$870,"&lt;="&amp;$B33,$AF$3:$AF$870,"&gt;="&amp;$B33)=0,0,9.99),SUMIFS($AD$3:$AD$870,$AC$3:$AC$870,H$23,$AE$3:$AE$870,"&lt;="&amp;$B33,$AF$3:$AF$870,"&gt;="&amp;$B33)/INDEX('01_INPUTS'!$E$17:$E$31,MATCH(H$23,'01_INPUTS'!$B$17:$B$31,0)))</f>
        <v>1.5</v>
      </c>
      <c r="I33" s="61">
        <f>IF(INDEX('01_INPUTS'!$E$17:$E$31,MATCH(I$23,'01_INPUTS'!$B$17:$B$31,0))=0,IF(SUMIFS($AD$3:$AD$870,$AC$3:$AC$870,I$23,$AE$3:$AE$870,"&lt;="&amp;$B33,$AF$3:$AF$870,"&gt;="&amp;$B33)=0,0,9.99),SUMIFS($AD$3:$AD$870,$AC$3:$AC$870,I$23,$AE$3:$AE$870,"&lt;="&amp;$B33,$AF$3:$AF$870,"&gt;="&amp;$B33)/INDEX('01_INPUTS'!$E$17:$E$31,MATCH(I$23,'01_INPUTS'!$B$17:$B$31,0)))</f>
        <v>0</v>
      </c>
      <c r="J33" s="61">
        <f>IF(INDEX('01_INPUTS'!$E$17:$E$31,MATCH(J$23,'01_INPUTS'!$B$17:$B$31,0))=0,IF(SUMIFS($AD$3:$AD$870,$AC$3:$AC$870,J$23,$AE$3:$AE$870,"&lt;="&amp;$B33,$AF$3:$AF$870,"&gt;="&amp;$B33)=0,0,9.99),SUMIFS($AD$3:$AD$870,$AC$3:$AC$870,J$23,$AE$3:$AE$870,"&lt;="&amp;$B33,$AF$3:$AF$870,"&gt;="&amp;$B33)/INDEX('01_INPUTS'!$E$17:$E$31,MATCH(J$23,'01_INPUTS'!$B$17:$B$31,0)))</f>
        <v>0</v>
      </c>
      <c r="K33" s="61">
        <f>IF(INDEX('01_INPUTS'!$E$17:$E$31,MATCH(K$23,'01_INPUTS'!$B$17:$B$31,0))=0,IF(SUMIFS($AD$3:$AD$870,$AC$3:$AC$870,K$23,$AE$3:$AE$870,"&lt;="&amp;$B33,$AF$3:$AF$870,"&gt;="&amp;$B33)=0,0,9.99),SUMIFS($AD$3:$AD$870,$AC$3:$AC$870,K$23,$AE$3:$AE$870,"&lt;="&amp;$B33,$AF$3:$AF$870,"&gt;="&amp;$B33)/INDEX('01_INPUTS'!$E$17:$E$31,MATCH(K$23,'01_INPUTS'!$B$17:$B$31,0)))</f>
        <v>0</v>
      </c>
      <c r="L33" s="61">
        <f>IF(INDEX('01_INPUTS'!$E$17:$E$31,MATCH(L$23,'01_INPUTS'!$B$17:$B$31,0))=0,IF(SUMIFS($AD$3:$AD$870,$AC$3:$AC$870,L$23,$AE$3:$AE$870,"&lt;="&amp;$B33,$AF$3:$AF$870,"&gt;="&amp;$B33)=0,0,9.99),SUMIFS($AD$3:$AD$870,$AC$3:$AC$870,L$23,$AE$3:$AE$870,"&lt;="&amp;$B33,$AF$3:$AF$870,"&gt;="&amp;$B33)/INDEX('01_INPUTS'!$E$17:$E$31,MATCH(L$23,'01_INPUTS'!$B$17:$B$31,0)))</f>
        <v>0</v>
      </c>
      <c r="M33" s="61">
        <f>IF(INDEX('01_INPUTS'!$E$17:$E$31,MATCH(M$23,'01_INPUTS'!$B$17:$B$31,0))=0,IF(SUMIFS($AD$3:$AD$870,$AC$3:$AC$870,M$23,$AE$3:$AE$870,"&lt;="&amp;$B33,$AF$3:$AF$870,"&gt;="&amp;$B33)=0,0,9.99),SUMIFS($AD$3:$AD$870,$AC$3:$AC$870,M$23,$AE$3:$AE$870,"&lt;="&amp;$B33,$AF$3:$AF$870,"&gt;="&amp;$B33)/INDEX('01_INPUTS'!$E$17:$E$31,MATCH(M$23,'01_INPUTS'!$B$17:$B$31,0)))</f>
        <v>0</v>
      </c>
      <c r="N33" s="61">
        <f>IF(INDEX('01_INPUTS'!$E$17:$E$31,MATCH(N$23,'01_INPUTS'!$B$17:$B$31,0))=0,IF(SUMIFS($AD$3:$AD$870,$AC$3:$AC$870,N$23,$AE$3:$AE$870,"&lt;="&amp;$B33,$AF$3:$AF$870,"&gt;="&amp;$B33)=0,0,9.99),SUMIFS($AD$3:$AD$870,$AC$3:$AC$870,N$23,$AE$3:$AE$870,"&lt;="&amp;$B33,$AF$3:$AF$870,"&gt;="&amp;$B33)/INDEX('01_INPUTS'!$E$17:$E$31,MATCH(N$23,'01_INPUTS'!$B$17:$B$31,0)))</f>
        <v>0</v>
      </c>
      <c r="O33" s="61">
        <f>IF(INDEX('01_INPUTS'!$E$17:$E$31,MATCH(O$23,'01_INPUTS'!$B$17:$B$31,0))=0,IF(SUMIFS($AD$3:$AD$870,$AC$3:$AC$870,O$23,$AE$3:$AE$870,"&lt;="&amp;$B33,$AF$3:$AF$870,"&gt;="&amp;$B33)=0,0,9.99),SUMIFS($AD$3:$AD$870,$AC$3:$AC$870,O$23,$AE$3:$AE$870,"&lt;="&amp;$B33,$AF$3:$AF$870,"&gt;="&amp;$B33)/INDEX('01_INPUTS'!$E$17:$E$31,MATCH(O$23,'01_INPUTS'!$B$17:$B$31,0)))</f>
        <v>0</v>
      </c>
      <c r="P33" s="61">
        <f>IF(INDEX('01_INPUTS'!$E$17:$E$31,MATCH(P$23,'01_INPUTS'!$B$17:$B$31,0))=0,IF(SUMIFS($AD$3:$AD$870,$AC$3:$AC$870,P$23,$AE$3:$AE$870,"&lt;="&amp;$B33,$AF$3:$AF$870,"&gt;="&amp;$B33)=0,0,9.99),SUMIFS($AD$3:$AD$870,$AC$3:$AC$870,P$23,$AE$3:$AE$870,"&lt;="&amp;$B33,$AF$3:$AF$870,"&gt;="&amp;$B33)/INDEX('01_INPUTS'!$E$17:$E$31,MATCH(P$23,'01_INPUTS'!$B$17:$B$31,0)))</f>
        <v>3</v>
      </c>
      <c r="Q33" s="61">
        <f>IF(INDEX('01_INPUTS'!$E$17:$E$31,MATCH(Q$23,'01_INPUTS'!$B$17:$B$31,0))=0,IF(SUMIFS($AD$3:$AD$870,$AC$3:$AC$870,Q$23,$AE$3:$AE$870,"&lt;="&amp;$B33,$AF$3:$AF$870,"&gt;="&amp;$B33)=0,0,9.99),SUMIFS($AD$3:$AD$870,$AC$3:$AC$870,Q$23,$AE$3:$AE$870,"&lt;="&amp;$B33,$AF$3:$AF$870,"&gt;="&amp;$B33)/INDEX('01_INPUTS'!$E$17:$E$31,MATCH(Q$23,'01_INPUTS'!$B$17:$B$31,0)))</f>
        <v>0</v>
      </c>
      <c r="R33" s="61">
        <f>IF(INDEX('01_INPUTS'!$E$17:$E$31,MATCH(R$23,'01_INPUTS'!$B$17:$B$31,0))=0,IF(SUMIFS($AD$3:$AD$870,$AC$3:$AC$870,R$23,$AE$3:$AE$870,"&lt;="&amp;$B33,$AF$3:$AF$870,"&gt;="&amp;$B33)=0,0,9.99),SUMIFS($AD$3:$AD$870,$AC$3:$AC$870,R$23,$AE$3:$AE$870,"&lt;="&amp;$B33,$AF$3:$AF$870,"&gt;="&amp;$B33)/INDEX('01_INPUTS'!$E$17:$E$31,MATCH(R$23,'01_INPUTS'!$B$17:$B$31,0)))</f>
        <v>0</v>
      </c>
      <c r="S33">
        <f t="shared" si="1"/>
        <v>6</v>
      </c>
      <c r="T33">
        <f>SUM('01_INPUTS'!$E$17:$E$31)</f>
        <v>20</v>
      </c>
      <c r="U33" s="61">
        <f t="shared" si="2"/>
        <v>0.3</v>
      </c>
      <c r="V33">
        <f t="shared" si="3"/>
        <v>2</v>
      </c>
      <c r="W33" t="str">
        <f t="shared" si="4"/>
        <v>ROJO</v>
      </c>
      <c r="AA33" s="51" t="str">
        <f>'Sites Master'!$B$2</f>
        <v>Site 01</v>
      </c>
      <c r="AB33" s="51" t="str">
        <f>'Phase-Resource Allocation'!$B$94</f>
        <v>Training</v>
      </c>
      <c r="AC33" s="51" t="str">
        <f>'Phase-Resource Allocation'!$C$94</f>
        <v>Change Management Lead</v>
      </c>
      <c r="AD33" s="60">
        <f>'Phase-Resource Allocation'!$D$94</f>
        <v>1</v>
      </c>
      <c r="AE33" s="51">
        <f>IFERROR(INDEX('02_SCHEDULE'!$K$5:$K$124,MATCH(AA33&amp;"|"&amp;AB33,'02_SCHEDULE'!$M$5:$M$124,0)),0)</f>
        <v>9</v>
      </c>
      <c r="AF33" s="51">
        <f>IFERROR(INDEX('02_SCHEDULE'!$L$5:$L$124,MATCH(AA33&amp;"|"&amp;AB33,'02_SCHEDULE'!$M$5:$M$124,0)),0)</f>
        <v>10</v>
      </c>
      <c r="AG33" s="51">
        <f t="shared" si="0"/>
        <v>2</v>
      </c>
    </row>
    <row r="34" spans="2:33" x14ac:dyDescent="0.3">
      <c r="B34">
        <f>11</f>
        <v>11</v>
      </c>
      <c r="C34" s="55">
        <f>'01_INPUTS'!$C$7+(11-1)*7</f>
        <v>46321</v>
      </c>
      <c r="D34" s="61">
        <f>IF(INDEX('01_INPUTS'!$E$17:$E$31,MATCH(D$23,'01_INPUTS'!$B$17:$B$31,0))=0,IF(SUMIFS($AD$3:$AD$870,$AC$3:$AC$870,D$23,$AE$3:$AE$870,"&lt;="&amp;$B34,$AF$3:$AF$870,"&gt;="&amp;$B34)=0,0,9.99),SUMIFS($AD$3:$AD$870,$AC$3:$AC$870,D$23,$AE$3:$AE$870,"&lt;="&amp;$B34,$AF$3:$AF$870,"&gt;="&amp;$B34)/INDEX('01_INPUTS'!$E$17:$E$31,MATCH(D$23,'01_INPUTS'!$B$17:$B$31,0)))</f>
        <v>1.5</v>
      </c>
      <c r="E34" s="61">
        <f>IF(INDEX('01_INPUTS'!$E$17:$E$31,MATCH(E$23,'01_INPUTS'!$B$17:$B$31,0))=0,IF(SUMIFS($AD$3:$AD$870,$AC$3:$AC$870,E$23,$AE$3:$AE$870,"&lt;="&amp;$B34,$AF$3:$AF$870,"&gt;="&amp;$B34)=0,0,9.99),SUMIFS($AD$3:$AD$870,$AC$3:$AC$870,E$23,$AE$3:$AE$870,"&lt;="&amp;$B34,$AF$3:$AF$870,"&gt;="&amp;$B34)/INDEX('01_INPUTS'!$E$17:$E$31,MATCH(E$23,'01_INPUTS'!$B$17:$B$31,0)))</f>
        <v>0</v>
      </c>
      <c r="F34" s="61">
        <f>IF(INDEX('01_INPUTS'!$E$17:$E$31,MATCH(F$23,'01_INPUTS'!$B$17:$B$31,0))=0,IF(SUMIFS($AD$3:$AD$870,$AC$3:$AC$870,F$23,$AE$3:$AE$870,"&lt;="&amp;$B34,$AF$3:$AF$870,"&gt;="&amp;$B34)=0,0,9.99),SUMIFS($AD$3:$AD$870,$AC$3:$AC$870,F$23,$AE$3:$AE$870,"&lt;="&amp;$B34,$AF$3:$AF$870,"&gt;="&amp;$B34)/INDEX('01_INPUTS'!$E$17:$E$31,MATCH(F$23,'01_INPUTS'!$B$17:$B$31,0)))</f>
        <v>0</v>
      </c>
      <c r="G34" s="61">
        <f>IF(INDEX('01_INPUTS'!$E$17:$E$31,MATCH(G$23,'01_INPUTS'!$B$17:$B$31,0))=0,IF(SUMIFS($AD$3:$AD$870,$AC$3:$AC$870,G$23,$AE$3:$AE$870,"&lt;="&amp;$B34,$AF$3:$AF$870,"&gt;="&amp;$B34)=0,0,9.99),SUMIFS($AD$3:$AD$870,$AC$3:$AC$870,G$23,$AE$3:$AE$870,"&lt;="&amp;$B34,$AF$3:$AF$870,"&gt;="&amp;$B34)/INDEX('01_INPUTS'!$E$17:$E$31,MATCH(G$23,'01_INPUTS'!$B$17:$B$31,0)))</f>
        <v>0</v>
      </c>
      <c r="H34" s="61">
        <f>IF(INDEX('01_INPUTS'!$E$17:$E$31,MATCH(H$23,'01_INPUTS'!$B$17:$B$31,0))=0,IF(SUMIFS($AD$3:$AD$870,$AC$3:$AC$870,H$23,$AE$3:$AE$870,"&lt;="&amp;$B34,$AF$3:$AF$870,"&gt;="&amp;$B34)=0,0,9.99),SUMIFS($AD$3:$AD$870,$AC$3:$AC$870,H$23,$AE$3:$AE$870,"&lt;="&amp;$B34,$AF$3:$AF$870,"&gt;="&amp;$B34)/INDEX('01_INPUTS'!$E$17:$E$31,MATCH(H$23,'01_INPUTS'!$B$17:$B$31,0)))</f>
        <v>1.5</v>
      </c>
      <c r="I34" s="61">
        <f>IF(INDEX('01_INPUTS'!$E$17:$E$31,MATCH(I$23,'01_INPUTS'!$B$17:$B$31,0))=0,IF(SUMIFS($AD$3:$AD$870,$AC$3:$AC$870,I$23,$AE$3:$AE$870,"&lt;="&amp;$B34,$AF$3:$AF$870,"&gt;="&amp;$B34)=0,0,9.99),SUMIFS($AD$3:$AD$870,$AC$3:$AC$870,I$23,$AE$3:$AE$870,"&lt;="&amp;$B34,$AF$3:$AF$870,"&gt;="&amp;$B34)/INDEX('01_INPUTS'!$E$17:$E$31,MATCH(I$23,'01_INPUTS'!$B$17:$B$31,0)))</f>
        <v>0</v>
      </c>
      <c r="J34" s="61">
        <f>IF(INDEX('01_INPUTS'!$E$17:$E$31,MATCH(J$23,'01_INPUTS'!$B$17:$B$31,0))=0,IF(SUMIFS($AD$3:$AD$870,$AC$3:$AC$870,J$23,$AE$3:$AE$870,"&lt;="&amp;$B34,$AF$3:$AF$870,"&gt;="&amp;$B34)=0,0,9.99),SUMIFS($AD$3:$AD$870,$AC$3:$AC$870,J$23,$AE$3:$AE$870,"&lt;="&amp;$B34,$AF$3:$AF$870,"&gt;="&amp;$B34)/INDEX('01_INPUTS'!$E$17:$E$31,MATCH(J$23,'01_INPUTS'!$B$17:$B$31,0)))</f>
        <v>1.5</v>
      </c>
      <c r="K34" s="61">
        <f>IF(INDEX('01_INPUTS'!$E$17:$E$31,MATCH(K$23,'01_INPUTS'!$B$17:$B$31,0))=0,IF(SUMIFS($AD$3:$AD$870,$AC$3:$AC$870,K$23,$AE$3:$AE$870,"&lt;="&amp;$B34,$AF$3:$AF$870,"&gt;="&amp;$B34)=0,0,9.99),SUMIFS($AD$3:$AD$870,$AC$3:$AC$870,K$23,$AE$3:$AE$870,"&lt;="&amp;$B34,$AF$3:$AF$870,"&gt;="&amp;$B34)/INDEX('01_INPUTS'!$E$17:$E$31,MATCH(K$23,'01_INPUTS'!$B$17:$B$31,0)))</f>
        <v>0</v>
      </c>
      <c r="L34" s="61">
        <f>IF(INDEX('01_INPUTS'!$E$17:$E$31,MATCH(L$23,'01_INPUTS'!$B$17:$B$31,0))=0,IF(SUMIFS($AD$3:$AD$870,$AC$3:$AC$870,L$23,$AE$3:$AE$870,"&lt;="&amp;$B34,$AF$3:$AF$870,"&gt;="&amp;$B34)=0,0,9.99),SUMIFS($AD$3:$AD$870,$AC$3:$AC$870,L$23,$AE$3:$AE$870,"&lt;="&amp;$B34,$AF$3:$AF$870,"&gt;="&amp;$B34)/INDEX('01_INPUTS'!$E$17:$E$31,MATCH(L$23,'01_INPUTS'!$B$17:$B$31,0)))</f>
        <v>0</v>
      </c>
      <c r="M34" s="61">
        <f>IF(INDEX('01_INPUTS'!$E$17:$E$31,MATCH(M$23,'01_INPUTS'!$B$17:$B$31,0))=0,IF(SUMIFS($AD$3:$AD$870,$AC$3:$AC$870,M$23,$AE$3:$AE$870,"&lt;="&amp;$B34,$AF$3:$AF$870,"&gt;="&amp;$B34)=0,0,9.99),SUMIFS($AD$3:$AD$870,$AC$3:$AC$870,M$23,$AE$3:$AE$870,"&lt;="&amp;$B34,$AF$3:$AF$870,"&gt;="&amp;$B34)/INDEX('01_INPUTS'!$E$17:$E$31,MATCH(M$23,'01_INPUTS'!$B$17:$B$31,0)))</f>
        <v>2.25</v>
      </c>
      <c r="N34" s="61">
        <f>IF(INDEX('01_INPUTS'!$E$17:$E$31,MATCH(N$23,'01_INPUTS'!$B$17:$B$31,0))=0,IF(SUMIFS($AD$3:$AD$870,$AC$3:$AC$870,N$23,$AE$3:$AE$870,"&lt;="&amp;$B34,$AF$3:$AF$870,"&gt;="&amp;$B34)=0,0,9.99),SUMIFS($AD$3:$AD$870,$AC$3:$AC$870,N$23,$AE$3:$AE$870,"&lt;="&amp;$B34,$AF$3:$AF$870,"&gt;="&amp;$B34)/INDEX('01_INPUTS'!$E$17:$E$31,MATCH(N$23,'01_INPUTS'!$B$17:$B$31,0)))</f>
        <v>2.25</v>
      </c>
      <c r="O34" s="61">
        <f>IF(INDEX('01_INPUTS'!$E$17:$E$31,MATCH(O$23,'01_INPUTS'!$B$17:$B$31,0))=0,IF(SUMIFS($AD$3:$AD$870,$AC$3:$AC$870,O$23,$AE$3:$AE$870,"&lt;="&amp;$B34,$AF$3:$AF$870,"&gt;="&amp;$B34)=0,0,9.99),SUMIFS($AD$3:$AD$870,$AC$3:$AC$870,O$23,$AE$3:$AE$870,"&lt;="&amp;$B34,$AF$3:$AF$870,"&gt;="&amp;$B34)/INDEX('01_INPUTS'!$E$17:$E$31,MATCH(O$23,'01_INPUTS'!$B$17:$B$31,0)))</f>
        <v>0</v>
      </c>
      <c r="P34" s="61">
        <f>IF(INDEX('01_INPUTS'!$E$17:$E$31,MATCH(P$23,'01_INPUTS'!$B$17:$B$31,0))=0,IF(SUMIFS($AD$3:$AD$870,$AC$3:$AC$870,P$23,$AE$3:$AE$870,"&lt;="&amp;$B34,$AF$3:$AF$870,"&gt;="&amp;$B34)=0,0,9.99),SUMIFS($AD$3:$AD$870,$AC$3:$AC$870,P$23,$AE$3:$AE$870,"&lt;="&amp;$B34,$AF$3:$AF$870,"&gt;="&amp;$B34)/INDEX('01_INPUTS'!$E$17:$E$31,MATCH(P$23,'01_INPUTS'!$B$17:$B$31,0)))</f>
        <v>3</v>
      </c>
      <c r="Q34" s="61">
        <f>IF(INDEX('01_INPUTS'!$E$17:$E$31,MATCH(Q$23,'01_INPUTS'!$B$17:$B$31,0))=0,IF(SUMIFS($AD$3:$AD$870,$AC$3:$AC$870,Q$23,$AE$3:$AE$870,"&lt;="&amp;$B34,$AF$3:$AF$870,"&gt;="&amp;$B34)=0,0,9.99),SUMIFS($AD$3:$AD$870,$AC$3:$AC$870,Q$23,$AE$3:$AE$870,"&lt;="&amp;$B34,$AF$3:$AF$870,"&gt;="&amp;$B34)/INDEX('01_INPUTS'!$E$17:$E$31,MATCH(Q$23,'01_INPUTS'!$B$17:$B$31,0)))</f>
        <v>1.5</v>
      </c>
      <c r="R34" s="61">
        <f>IF(INDEX('01_INPUTS'!$E$17:$E$31,MATCH(R$23,'01_INPUTS'!$B$17:$B$31,0))=0,IF(SUMIFS($AD$3:$AD$870,$AC$3:$AC$870,R$23,$AE$3:$AE$870,"&lt;="&amp;$B34,$AF$3:$AF$870,"&gt;="&amp;$B34)=0,0,9.99),SUMIFS($AD$3:$AD$870,$AC$3:$AC$870,R$23,$AE$3:$AE$870,"&lt;="&amp;$B34,$AF$3:$AF$870,"&gt;="&amp;$B34)/INDEX('01_INPUTS'!$E$17:$E$31,MATCH(R$23,'01_INPUTS'!$B$17:$B$31,0)))</f>
        <v>0</v>
      </c>
      <c r="S34">
        <f t="shared" si="1"/>
        <v>18</v>
      </c>
      <c r="T34">
        <f>SUM('01_INPUTS'!$E$17:$E$31)</f>
        <v>20</v>
      </c>
      <c r="U34" s="61">
        <f t="shared" si="2"/>
        <v>0.9</v>
      </c>
      <c r="V34">
        <f t="shared" si="3"/>
        <v>7</v>
      </c>
      <c r="W34" t="str">
        <f t="shared" si="4"/>
        <v>ROJO</v>
      </c>
      <c r="AA34" s="51" t="str">
        <f>'Sites Master'!$B$2</f>
        <v>Site 01</v>
      </c>
      <c r="AB34" s="51" t="str">
        <f>'Phase-Resource Allocation'!$B$95</f>
        <v>Training</v>
      </c>
      <c r="AC34" s="51" t="str">
        <f>'Phase-Resource Allocation'!$C$95</f>
        <v>Trainers</v>
      </c>
      <c r="AD34" s="60">
        <f>'Phase-Resource Allocation'!$D$95</f>
        <v>1</v>
      </c>
      <c r="AE34" s="51">
        <f>IFERROR(INDEX('02_SCHEDULE'!$K$5:$K$124,MATCH(AA34&amp;"|"&amp;AB34,'02_SCHEDULE'!$M$5:$M$124,0)),0)</f>
        <v>9</v>
      </c>
      <c r="AF34" s="51">
        <f>IFERROR(INDEX('02_SCHEDULE'!$L$5:$L$124,MATCH(AA34&amp;"|"&amp;AB34,'02_SCHEDULE'!$M$5:$M$124,0)),0)</f>
        <v>10</v>
      </c>
      <c r="AG34" s="51">
        <f t="shared" si="0"/>
        <v>2</v>
      </c>
    </row>
    <row r="35" spans="2:33" x14ac:dyDescent="0.3">
      <c r="B35">
        <f>12</f>
        <v>12</v>
      </c>
      <c r="C35" s="55">
        <f>'01_INPUTS'!$C$7+(12-1)*7</f>
        <v>46328</v>
      </c>
      <c r="D35" s="61">
        <f>IF(INDEX('01_INPUTS'!$E$17:$E$31,MATCH(D$23,'01_INPUTS'!$B$17:$B$31,0))=0,IF(SUMIFS($AD$3:$AD$870,$AC$3:$AC$870,D$23,$AE$3:$AE$870,"&lt;="&amp;$B35,$AF$3:$AF$870,"&gt;="&amp;$B35)=0,0,9.99),SUMIFS($AD$3:$AD$870,$AC$3:$AC$870,D$23,$AE$3:$AE$870,"&lt;="&amp;$B35,$AF$3:$AF$870,"&gt;="&amp;$B35)/INDEX('01_INPUTS'!$E$17:$E$31,MATCH(D$23,'01_INPUTS'!$B$17:$B$31,0)))</f>
        <v>3</v>
      </c>
      <c r="E35" s="61">
        <f>IF(INDEX('01_INPUTS'!$E$17:$E$31,MATCH(E$23,'01_INPUTS'!$B$17:$B$31,0))=0,IF(SUMIFS($AD$3:$AD$870,$AC$3:$AC$870,E$23,$AE$3:$AE$870,"&lt;="&amp;$B35,$AF$3:$AF$870,"&gt;="&amp;$B35)=0,0,9.99),SUMIFS($AD$3:$AD$870,$AC$3:$AC$870,E$23,$AE$3:$AE$870,"&lt;="&amp;$B35,$AF$3:$AF$870,"&gt;="&amp;$B35)/INDEX('01_INPUTS'!$E$17:$E$31,MATCH(E$23,'01_INPUTS'!$B$17:$B$31,0)))</f>
        <v>0</v>
      </c>
      <c r="F35" s="61">
        <f>IF(INDEX('01_INPUTS'!$E$17:$E$31,MATCH(F$23,'01_INPUTS'!$B$17:$B$31,0))=0,IF(SUMIFS($AD$3:$AD$870,$AC$3:$AC$870,F$23,$AE$3:$AE$870,"&lt;="&amp;$B35,$AF$3:$AF$870,"&gt;="&amp;$B35)=0,0,9.99),SUMIFS($AD$3:$AD$870,$AC$3:$AC$870,F$23,$AE$3:$AE$870,"&lt;="&amp;$B35,$AF$3:$AF$870,"&gt;="&amp;$B35)/INDEX('01_INPUTS'!$E$17:$E$31,MATCH(F$23,'01_INPUTS'!$B$17:$B$31,0)))</f>
        <v>0</v>
      </c>
      <c r="G35" s="61">
        <f>IF(INDEX('01_INPUTS'!$E$17:$E$31,MATCH(G$23,'01_INPUTS'!$B$17:$B$31,0))=0,IF(SUMIFS($AD$3:$AD$870,$AC$3:$AC$870,G$23,$AE$3:$AE$870,"&lt;="&amp;$B35,$AF$3:$AF$870,"&gt;="&amp;$B35)=0,0,9.99),SUMIFS($AD$3:$AD$870,$AC$3:$AC$870,G$23,$AE$3:$AE$870,"&lt;="&amp;$B35,$AF$3:$AF$870,"&gt;="&amp;$B35)/INDEX('01_INPUTS'!$E$17:$E$31,MATCH(G$23,'01_INPUTS'!$B$17:$B$31,0)))</f>
        <v>0</v>
      </c>
      <c r="H35" s="61">
        <f>IF(INDEX('01_INPUTS'!$E$17:$E$31,MATCH(H$23,'01_INPUTS'!$B$17:$B$31,0))=0,IF(SUMIFS($AD$3:$AD$870,$AC$3:$AC$870,H$23,$AE$3:$AE$870,"&lt;="&amp;$B35,$AF$3:$AF$870,"&gt;="&amp;$B35)=0,0,9.99),SUMIFS($AD$3:$AD$870,$AC$3:$AC$870,H$23,$AE$3:$AE$870,"&lt;="&amp;$B35,$AF$3:$AF$870,"&gt;="&amp;$B35)/INDEX('01_INPUTS'!$E$17:$E$31,MATCH(H$23,'01_INPUTS'!$B$17:$B$31,0)))</f>
        <v>1.5</v>
      </c>
      <c r="I35" s="61">
        <f>IF(INDEX('01_INPUTS'!$E$17:$E$31,MATCH(I$23,'01_INPUTS'!$B$17:$B$31,0))=0,IF(SUMIFS($AD$3:$AD$870,$AC$3:$AC$870,I$23,$AE$3:$AE$870,"&lt;="&amp;$B35,$AF$3:$AF$870,"&gt;="&amp;$B35)=0,0,9.99),SUMIFS($AD$3:$AD$870,$AC$3:$AC$870,I$23,$AE$3:$AE$870,"&lt;="&amp;$B35,$AF$3:$AF$870,"&gt;="&amp;$B35)/INDEX('01_INPUTS'!$E$17:$E$31,MATCH(I$23,'01_INPUTS'!$B$17:$B$31,0)))</f>
        <v>1.5</v>
      </c>
      <c r="J35" s="61">
        <f>IF(INDEX('01_INPUTS'!$E$17:$E$31,MATCH(J$23,'01_INPUTS'!$B$17:$B$31,0))=0,IF(SUMIFS($AD$3:$AD$870,$AC$3:$AC$870,J$23,$AE$3:$AE$870,"&lt;="&amp;$B35,$AF$3:$AF$870,"&gt;="&amp;$B35)=0,0,9.99),SUMIFS($AD$3:$AD$870,$AC$3:$AC$870,J$23,$AE$3:$AE$870,"&lt;="&amp;$B35,$AF$3:$AF$870,"&gt;="&amp;$B35)/INDEX('01_INPUTS'!$E$17:$E$31,MATCH(J$23,'01_INPUTS'!$B$17:$B$31,0)))</f>
        <v>1.5</v>
      </c>
      <c r="K35" s="61">
        <f>IF(INDEX('01_INPUTS'!$E$17:$E$31,MATCH(K$23,'01_INPUTS'!$B$17:$B$31,0))=0,IF(SUMIFS($AD$3:$AD$870,$AC$3:$AC$870,K$23,$AE$3:$AE$870,"&lt;="&amp;$B35,$AF$3:$AF$870,"&gt;="&amp;$B35)=0,0,9.99),SUMIFS($AD$3:$AD$870,$AC$3:$AC$870,K$23,$AE$3:$AE$870,"&lt;="&amp;$B35,$AF$3:$AF$870,"&gt;="&amp;$B35)/INDEX('01_INPUTS'!$E$17:$E$31,MATCH(K$23,'01_INPUTS'!$B$17:$B$31,0)))</f>
        <v>3</v>
      </c>
      <c r="L35" s="61">
        <f>IF(INDEX('01_INPUTS'!$E$17:$E$31,MATCH(L$23,'01_INPUTS'!$B$17:$B$31,0))=0,IF(SUMIFS($AD$3:$AD$870,$AC$3:$AC$870,L$23,$AE$3:$AE$870,"&lt;="&amp;$B35,$AF$3:$AF$870,"&gt;="&amp;$B35)=0,0,9.99),SUMIFS($AD$3:$AD$870,$AC$3:$AC$870,L$23,$AE$3:$AE$870,"&lt;="&amp;$B35,$AF$3:$AF$870,"&gt;="&amp;$B35)/INDEX('01_INPUTS'!$E$17:$E$31,MATCH(L$23,'01_INPUTS'!$B$17:$B$31,0)))</f>
        <v>3</v>
      </c>
      <c r="M35" s="61">
        <f>IF(INDEX('01_INPUTS'!$E$17:$E$31,MATCH(M$23,'01_INPUTS'!$B$17:$B$31,0))=0,IF(SUMIFS($AD$3:$AD$870,$AC$3:$AC$870,M$23,$AE$3:$AE$870,"&lt;="&amp;$B35,$AF$3:$AF$870,"&gt;="&amp;$B35)=0,0,9.99),SUMIFS($AD$3:$AD$870,$AC$3:$AC$870,M$23,$AE$3:$AE$870,"&lt;="&amp;$B35,$AF$3:$AF$870,"&gt;="&amp;$B35)/INDEX('01_INPUTS'!$E$17:$E$31,MATCH(M$23,'01_INPUTS'!$B$17:$B$31,0)))</f>
        <v>3</v>
      </c>
      <c r="N35" s="61">
        <f>IF(INDEX('01_INPUTS'!$E$17:$E$31,MATCH(N$23,'01_INPUTS'!$B$17:$B$31,0))=0,IF(SUMIFS($AD$3:$AD$870,$AC$3:$AC$870,N$23,$AE$3:$AE$870,"&lt;="&amp;$B35,$AF$3:$AF$870,"&gt;="&amp;$B35)=0,0,9.99),SUMIFS($AD$3:$AD$870,$AC$3:$AC$870,N$23,$AE$3:$AE$870,"&lt;="&amp;$B35,$AF$3:$AF$870,"&gt;="&amp;$B35)/INDEX('01_INPUTS'!$E$17:$E$31,MATCH(N$23,'01_INPUTS'!$B$17:$B$31,0)))</f>
        <v>3</v>
      </c>
      <c r="O35" s="61">
        <f>IF(INDEX('01_INPUTS'!$E$17:$E$31,MATCH(O$23,'01_INPUTS'!$B$17:$B$31,0))=0,IF(SUMIFS($AD$3:$AD$870,$AC$3:$AC$870,O$23,$AE$3:$AE$870,"&lt;="&amp;$B35,$AF$3:$AF$870,"&gt;="&amp;$B35)=0,0,9.99),SUMIFS($AD$3:$AD$870,$AC$3:$AC$870,O$23,$AE$3:$AE$870,"&lt;="&amp;$B35,$AF$3:$AF$870,"&gt;="&amp;$B35)/INDEX('01_INPUTS'!$E$17:$E$31,MATCH(O$23,'01_INPUTS'!$B$17:$B$31,0)))</f>
        <v>0</v>
      </c>
      <c r="P35" s="61">
        <f>IF(INDEX('01_INPUTS'!$E$17:$E$31,MATCH(P$23,'01_INPUTS'!$B$17:$B$31,0))=0,IF(SUMIFS($AD$3:$AD$870,$AC$3:$AC$870,P$23,$AE$3:$AE$870,"&lt;="&amp;$B35,$AF$3:$AF$870,"&gt;="&amp;$B35)=0,0,9.99),SUMIFS($AD$3:$AD$870,$AC$3:$AC$870,P$23,$AE$3:$AE$870,"&lt;="&amp;$B35,$AF$3:$AF$870,"&gt;="&amp;$B35)/INDEX('01_INPUTS'!$E$17:$E$31,MATCH(P$23,'01_INPUTS'!$B$17:$B$31,0)))</f>
        <v>3</v>
      </c>
      <c r="Q35" s="61">
        <f>IF(INDEX('01_INPUTS'!$E$17:$E$31,MATCH(Q$23,'01_INPUTS'!$B$17:$B$31,0))=0,IF(SUMIFS($AD$3:$AD$870,$AC$3:$AC$870,Q$23,$AE$3:$AE$870,"&lt;="&amp;$B35,$AF$3:$AF$870,"&gt;="&amp;$B35)=0,0,9.99),SUMIFS($AD$3:$AD$870,$AC$3:$AC$870,Q$23,$AE$3:$AE$870,"&lt;="&amp;$B35,$AF$3:$AF$870,"&gt;="&amp;$B35)/INDEX('01_INPUTS'!$E$17:$E$31,MATCH(Q$23,'01_INPUTS'!$B$17:$B$31,0)))</f>
        <v>1.5</v>
      </c>
      <c r="R35" s="61">
        <f>IF(INDEX('01_INPUTS'!$E$17:$E$31,MATCH(R$23,'01_INPUTS'!$B$17:$B$31,0))=0,IF(SUMIFS($AD$3:$AD$870,$AC$3:$AC$870,R$23,$AE$3:$AE$870,"&lt;="&amp;$B35,$AF$3:$AF$870,"&gt;="&amp;$B35)=0,0,9.99),SUMIFS($AD$3:$AD$870,$AC$3:$AC$870,R$23,$AE$3:$AE$870,"&lt;="&amp;$B35,$AF$3:$AF$870,"&gt;="&amp;$B35)/INDEX('01_INPUTS'!$E$17:$E$31,MATCH(R$23,'01_INPUTS'!$B$17:$B$31,0)))</f>
        <v>0</v>
      </c>
      <c r="S35">
        <f t="shared" si="1"/>
        <v>30</v>
      </c>
      <c r="T35">
        <f>SUM('01_INPUTS'!$E$17:$E$31)</f>
        <v>20</v>
      </c>
      <c r="U35" s="61">
        <f t="shared" si="2"/>
        <v>1.5</v>
      </c>
      <c r="V35">
        <f t="shared" si="3"/>
        <v>10</v>
      </c>
      <c r="W35" t="str">
        <f t="shared" si="4"/>
        <v>ROJO</v>
      </c>
      <c r="AA35" s="51" t="str">
        <f>'Sites Master'!$B$2</f>
        <v>Site 01</v>
      </c>
      <c r="AB35" s="51" t="str">
        <f>'Phase-Resource Allocation'!$B$96</f>
        <v>DIALT</v>
      </c>
      <c r="AC35" s="51" t="str">
        <f>'Phase-Resource Allocation'!$C$96</f>
        <v>Solution Architect</v>
      </c>
      <c r="AD35" s="60">
        <f>'Phase-Resource Allocation'!$D$96</f>
        <v>0.5</v>
      </c>
      <c r="AE35" s="51">
        <f>IFERROR(INDEX('02_SCHEDULE'!$K$5:$K$124,MATCH(AA35&amp;"|"&amp;AB35,'02_SCHEDULE'!$M$5:$M$124,0)),0)</f>
        <v>11</v>
      </c>
      <c r="AF35" s="51">
        <f>IFERROR(INDEX('02_SCHEDULE'!$L$5:$L$124,MATCH(AA35&amp;"|"&amp;AB35,'02_SCHEDULE'!$M$5:$M$124,0)),0)</f>
        <v>11</v>
      </c>
      <c r="AG35" s="51">
        <f t="shared" si="0"/>
        <v>0.5</v>
      </c>
    </row>
    <row r="36" spans="2:33" x14ac:dyDescent="0.3">
      <c r="B36">
        <f>13</f>
        <v>13</v>
      </c>
      <c r="C36" s="55">
        <f>'01_INPUTS'!$C$7+(13-1)*7</f>
        <v>46335</v>
      </c>
      <c r="D36" s="61">
        <f>IF(INDEX('01_INPUTS'!$E$17:$E$31,MATCH(D$23,'01_INPUTS'!$B$17:$B$31,0))=0,IF(SUMIFS($AD$3:$AD$870,$AC$3:$AC$870,D$23,$AE$3:$AE$870,"&lt;="&amp;$B36,$AF$3:$AF$870,"&gt;="&amp;$B36)=0,0,9.99),SUMIFS($AD$3:$AD$870,$AC$3:$AC$870,D$23,$AE$3:$AE$870,"&lt;="&amp;$B36,$AF$3:$AF$870,"&gt;="&amp;$B36)/INDEX('01_INPUTS'!$E$17:$E$31,MATCH(D$23,'01_INPUTS'!$B$17:$B$31,0)))</f>
        <v>1.5</v>
      </c>
      <c r="E36" s="61">
        <f>IF(INDEX('01_INPUTS'!$E$17:$E$31,MATCH(E$23,'01_INPUTS'!$B$17:$B$31,0))=0,IF(SUMIFS($AD$3:$AD$870,$AC$3:$AC$870,E$23,$AE$3:$AE$870,"&lt;="&amp;$B36,$AF$3:$AF$870,"&gt;="&amp;$B36)=0,0,9.99),SUMIFS($AD$3:$AD$870,$AC$3:$AC$870,E$23,$AE$3:$AE$870,"&lt;="&amp;$B36,$AF$3:$AF$870,"&gt;="&amp;$B36)/INDEX('01_INPUTS'!$E$17:$E$31,MATCH(E$23,'01_INPUTS'!$B$17:$B$31,0)))</f>
        <v>0</v>
      </c>
      <c r="F36" s="61">
        <f>IF(INDEX('01_INPUTS'!$E$17:$E$31,MATCH(F$23,'01_INPUTS'!$B$17:$B$31,0))=0,IF(SUMIFS($AD$3:$AD$870,$AC$3:$AC$870,F$23,$AE$3:$AE$870,"&lt;="&amp;$B36,$AF$3:$AF$870,"&gt;="&amp;$B36)=0,0,9.99),SUMIFS($AD$3:$AD$870,$AC$3:$AC$870,F$23,$AE$3:$AE$870,"&lt;="&amp;$B36,$AF$3:$AF$870,"&gt;="&amp;$B36)/INDEX('01_INPUTS'!$E$17:$E$31,MATCH(F$23,'01_INPUTS'!$B$17:$B$31,0)))</f>
        <v>0</v>
      </c>
      <c r="G36" s="61">
        <f>IF(INDEX('01_INPUTS'!$E$17:$E$31,MATCH(G$23,'01_INPUTS'!$B$17:$B$31,0))=0,IF(SUMIFS($AD$3:$AD$870,$AC$3:$AC$870,G$23,$AE$3:$AE$870,"&lt;="&amp;$B36,$AF$3:$AF$870,"&gt;="&amp;$B36)=0,0,9.99),SUMIFS($AD$3:$AD$870,$AC$3:$AC$870,G$23,$AE$3:$AE$870,"&lt;="&amp;$B36,$AF$3:$AF$870,"&gt;="&amp;$B36)/INDEX('01_INPUTS'!$E$17:$E$31,MATCH(G$23,'01_INPUTS'!$B$17:$B$31,0)))</f>
        <v>0</v>
      </c>
      <c r="H36" s="61">
        <f>IF(INDEX('01_INPUTS'!$E$17:$E$31,MATCH(H$23,'01_INPUTS'!$B$17:$B$31,0))=0,IF(SUMIFS($AD$3:$AD$870,$AC$3:$AC$870,H$23,$AE$3:$AE$870,"&lt;="&amp;$B36,$AF$3:$AF$870,"&gt;="&amp;$B36)=0,0,9.99),SUMIFS($AD$3:$AD$870,$AC$3:$AC$870,H$23,$AE$3:$AE$870,"&lt;="&amp;$B36,$AF$3:$AF$870,"&gt;="&amp;$B36)/INDEX('01_INPUTS'!$E$17:$E$31,MATCH(H$23,'01_INPUTS'!$B$17:$B$31,0)))</f>
        <v>1.5</v>
      </c>
      <c r="I36" s="61">
        <f>IF(INDEX('01_INPUTS'!$E$17:$E$31,MATCH(I$23,'01_INPUTS'!$B$17:$B$31,0))=0,IF(SUMIFS($AD$3:$AD$870,$AC$3:$AC$870,I$23,$AE$3:$AE$870,"&lt;="&amp;$B36,$AF$3:$AF$870,"&gt;="&amp;$B36)=0,0,9.99),SUMIFS($AD$3:$AD$870,$AC$3:$AC$870,I$23,$AE$3:$AE$870,"&lt;="&amp;$B36,$AF$3:$AF$870,"&gt;="&amp;$B36)/INDEX('01_INPUTS'!$E$17:$E$31,MATCH(I$23,'01_INPUTS'!$B$17:$B$31,0)))</f>
        <v>1.5</v>
      </c>
      <c r="J36" s="61">
        <f>IF(INDEX('01_INPUTS'!$E$17:$E$31,MATCH(J$23,'01_INPUTS'!$B$17:$B$31,0))=0,IF(SUMIFS($AD$3:$AD$870,$AC$3:$AC$870,J$23,$AE$3:$AE$870,"&lt;="&amp;$B36,$AF$3:$AF$870,"&gt;="&amp;$B36)=0,0,9.99),SUMIFS($AD$3:$AD$870,$AC$3:$AC$870,J$23,$AE$3:$AE$870,"&lt;="&amp;$B36,$AF$3:$AF$870,"&gt;="&amp;$B36)/INDEX('01_INPUTS'!$E$17:$E$31,MATCH(J$23,'01_INPUTS'!$B$17:$B$31,0)))</f>
        <v>3</v>
      </c>
      <c r="K36" s="61">
        <f>IF(INDEX('01_INPUTS'!$E$17:$E$31,MATCH(K$23,'01_INPUTS'!$B$17:$B$31,0))=0,IF(SUMIFS($AD$3:$AD$870,$AC$3:$AC$870,K$23,$AE$3:$AE$870,"&lt;="&amp;$B36,$AF$3:$AF$870,"&gt;="&amp;$B36)=0,0,9.99),SUMIFS($AD$3:$AD$870,$AC$3:$AC$870,K$23,$AE$3:$AE$870,"&lt;="&amp;$B36,$AF$3:$AF$870,"&gt;="&amp;$B36)/INDEX('01_INPUTS'!$E$17:$E$31,MATCH(K$23,'01_INPUTS'!$B$17:$B$31,0)))</f>
        <v>1.5</v>
      </c>
      <c r="L36" s="61">
        <f>IF(INDEX('01_INPUTS'!$E$17:$E$31,MATCH(L$23,'01_INPUTS'!$B$17:$B$31,0))=0,IF(SUMIFS($AD$3:$AD$870,$AC$3:$AC$870,L$23,$AE$3:$AE$870,"&lt;="&amp;$B36,$AF$3:$AF$870,"&gt;="&amp;$B36)=0,0,9.99),SUMIFS($AD$3:$AD$870,$AC$3:$AC$870,L$23,$AE$3:$AE$870,"&lt;="&amp;$B36,$AF$3:$AF$870,"&gt;="&amp;$B36)/INDEX('01_INPUTS'!$E$17:$E$31,MATCH(L$23,'01_INPUTS'!$B$17:$B$31,0)))</f>
        <v>1.5</v>
      </c>
      <c r="M36" s="61">
        <f>IF(INDEX('01_INPUTS'!$E$17:$E$31,MATCH(M$23,'01_INPUTS'!$B$17:$B$31,0))=0,IF(SUMIFS($AD$3:$AD$870,$AC$3:$AC$870,M$23,$AE$3:$AE$870,"&lt;="&amp;$B36,$AF$3:$AF$870,"&gt;="&amp;$B36)=0,0,9.99),SUMIFS($AD$3:$AD$870,$AC$3:$AC$870,M$23,$AE$3:$AE$870,"&lt;="&amp;$B36,$AF$3:$AF$870,"&gt;="&amp;$B36)/INDEX('01_INPUTS'!$E$17:$E$31,MATCH(M$23,'01_INPUTS'!$B$17:$B$31,0)))</f>
        <v>1.5</v>
      </c>
      <c r="N36" s="61">
        <f>IF(INDEX('01_INPUTS'!$E$17:$E$31,MATCH(N$23,'01_INPUTS'!$B$17:$B$31,0))=0,IF(SUMIFS($AD$3:$AD$870,$AC$3:$AC$870,N$23,$AE$3:$AE$870,"&lt;="&amp;$B36,$AF$3:$AF$870,"&gt;="&amp;$B36)=0,0,9.99),SUMIFS($AD$3:$AD$870,$AC$3:$AC$870,N$23,$AE$3:$AE$870,"&lt;="&amp;$B36,$AF$3:$AF$870,"&gt;="&amp;$B36)/INDEX('01_INPUTS'!$E$17:$E$31,MATCH(N$23,'01_INPUTS'!$B$17:$B$31,0)))</f>
        <v>1.5</v>
      </c>
      <c r="O36" s="61">
        <f>IF(INDEX('01_INPUTS'!$E$17:$E$31,MATCH(O$23,'01_INPUTS'!$B$17:$B$31,0))=0,IF(SUMIFS($AD$3:$AD$870,$AC$3:$AC$870,O$23,$AE$3:$AE$870,"&lt;="&amp;$B36,$AF$3:$AF$870,"&gt;="&amp;$B36)=0,0,9.99),SUMIFS($AD$3:$AD$870,$AC$3:$AC$870,O$23,$AE$3:$AE$870,"&lt;="&amp;$B36,$AF$3:$AF$870,"&gt;="&amp;$B36)/INDEX('01_INPUTS'!$E$17:$E$31,MATCH(O$23,'01_INPUTS'!$B$17:$B$31,0)))</f>
        <v>0</v>
      </c>
      <c r="P36" s="61">
        <f>IF(INDEX('01_INPUTS'!$E$17:$E$31,MATCH(P$23,'01_INPUTS'!$B$17:$B$31,0))=0,IF(SUMIFS($AD$3:$AD$870,$AC$3:$AC$870,P$23,$AE$3:$AE$870,"&lt;="&amp;$B36,$AF$3:$AF$870,"&gt;="&amp;$B36)=0,0,9.99),SUMIFS($AD$3:$AD$870,$AC$3:$AC$870,P$23,$AE$3:$AE$870,"&lt;="&amp;$B36,$AF$3:$AF$870,"&gt;="&amp;$B36)/INDEX('01_INPUTS'!$E$17:$E$31,MATCH(P$23,'01_INPUTS'!$B$17:$B$31,0)))</f>
        <v>9</v>
      </c>
      <c r="Q36" s="61">
        <f>IF(INDEX('01_INPUTS'!$E$17:$E$31,MATCH(Q$23,'01_INPUTS'!$B$17:$B$31,0))=0,IF(SUMIFS($AD$3:$AD$870,$AC$3:$AC$870,Q$23,$AE$3:$AE$870,"&lt;="&amp;$B36,$AF$3:$AF$870,"&gt;="&amp;$B36)=0,0,9.99),SUMIFS($AD$3:$AD$870,$AC$3:$AC$870,Q$23,$AE$3:$AE$870,"&lt;="&amp;$B36,$AF$3:$AF$870,"&gt;="&amp;$B36)/INDEX('01_INPUTS'!$E$17:$E$31,MATCH(Q$23,'01_INPUTS'!$B$17:$B$31,0)))</f>
        <v>0.75</v>
      </c>
      <c r="R36" s="61">
        <f>IF(INDEX('01_INPUTS'!$E$17:$E$31,MATCH(R$23,'01_INPUTS'!$B$17:$B$31,0))=0,IF(SUMIFS($AD$3:$AD$870,$AC$3:$AC$870,R$23,$AE$3:$AE$870,"&lt;="&amp;$B36,$AF$3:$AF$870,"&gt;="&amp;$B36)=0,0,9.99),SUMIFS($AD$3:$AD$870,$AC$3:$AC$870,R$23,$AE$3:$AE$870,"&lt;="&amp;$B36,$AF$3:$AF$870,"&gt;="&amp;$B36)/INDEX('01_INPUTS'!$E$17:$E$31,MATCH(R$23,'01_INPUTS'!$B$17:$B$31,0)))</f>
        <v>0</v>
      </c>
      <c r="S36">
        <f t="shared" si="1"/>
        <v>30</v>
      </c>
      <c r="T36">
        <f>SUM('01_INPUTS'!$E$17:$E$31)</f>
        <v>20</v>
      </c>
      <c r="U36" s="61">
        <f t="shared" si="2"/>
        <v>1.5</v>
      </c>
      <c r="V36">
        <f t="shared" si="3"/>
        <v>9</v>
      </c>
      <c r="W36" t="str">
        <f t="shared" si="4"/>
        <v>ROJO</v>
      </c>
      <c r="AA36" s="51" t="str">
        <f>'Sites Master'!$B$2</f>
        <v>Site 01</v>
      </c>
      <c r="AB36" s="51" t="str">
        <f>'Phase-Resource Allocation'!$B$97</f>
        <v>DIALT</v>
      </c>
      <c r="AC36" s="51" t="str">
        <f>'Phase-Resource Allocation'!$C$97</f>
        <v>Change Management Lead</v>
      </c>
      <c r="AD36" s="60">
        <f>'Phase-Resource Allocation'!$D$97</f>
        <v>1</v>
      </c>
      <c r="AE36" s="51">
        <f>IFERROR(INDEX('02_SCHEDULE'!$K$5:$K$124,MATCH(AA36&amp;"|"&amp;AB36,'02_SCHEDULE'!$M$5:$M$124,0)),0)</f>
        <v>11</v>
      </c>
      <c r="AF36" s="51">
        <f>IFERROR(INDEX('02_SCHEDULE'!$L$5:$L$124,MATCH(AA36&amp;"|"&amp;AB36,'02_SCHEDULE'!$M$5:$M$124,0)),0)</f>
        <v>11</v>
      </c>
      <c r="AG36" s="51">
        <f t="shared" si="0"/>
        <v>1</v>
      </c>
    </row>
    <row r="37" spans="2:33" x14ac:dyDescent="0.3">
      <c r="B37">
        <f>14</f>
        <v>14</v>
      </c>
      <c r="C37" s="55">
        <f>'01_INPUTS'!$C$7+(14-1)*7</f>
        <v>46342</v>
      </c>
      <c r="D37" s="61">
        <f>IF(INDEX('01_INPUTS'!$E$17:$E$31,MATCH(D$23,'01_INPUTS'!$B$17:$B$31,0))=0,IF(SUMIFS($AD$3:$AD$870,$AC$3:$AC$870,D$23,$AE$3:$AE$870,"&lt;="&amp;$B37,$AF$3:$AF$870,"&gt;="&amp;$B37)=0,0,9.99),SUMIFS($AD$3:$AD$870,$AC$3:$AC$870,D$23,$AE$3:$AE$870,"&lt;="&amp;$B37,$AF$3:$AF$870,"&gt;="&amp;$B37)/INDEX('01_INPUTS'!$E$17:$E$31,MATCH(D$23,'01_INPUTS'!$B$17:$B$31,0)))</f>
        <v>1.5</v>
      </c>
      <c r="E37" s="61">
        <f>IF(INDEX('01_INPUTS'!$E$17:$E$31,MATCH(E$23,'01_INPUTS'!$B$17:$B$31,0))=0,IF(SUMIFS($AD$3:$AD$870,$AC$3:$AC$870,E$23,$AE$3:$AE$870,"&lt;="&amp;$B37,$AF$3:$AF$870,"&gt;="&amp;$B37)=0,0,9.99),SUMIFS($AD$3:$AD$870,$AC$3:$AC$870,E$23,$AE$3:$AE$870,"&lt;="&amp;$B37,$AF$3:$AF$870,"&gt;="&amp;$B37)/INDEX('01_INPUTS'!$E$17:$E$31,MATCH(E$23,'01_INPUTS'!$B$17:$B$31,0)))</f>
        <v>0</v>
      </c>
      <c r="F37" s="61">
        <f>IF(INDEX('01_INPUTS'!$E$17:$E$31,MATCH(F$23,'01_INPUTS'!$B$17:$B$31,0))=0,IF(SUMIFS($AD$3:$AD$870,$AC$3:$AC$870,F$23,$AE$3:$AE$870,"&lt;="&amp;$B37,$AF$3:$AF$870,"&gt;="&amp;$B37)=0,0,9.99),SUMIFS($AD$3:$AD$870,$AC$3:$AC$870,F$23,$AE$3:$AE$870,"&lt;="&amp;$B37,$AF$3:$AF$870,"&gt;="&amp;$B37)/INDEX('01_INPUTS'!$E$17:$E$31,MATCH(F$23,'01_INPUTS'!$B$17:$B$31,0)))</f>
        <v>0</v>
      </c>
      <c r="G37" s="61">
        <f>IF(INDEX('01_INPUTS'!$E$17:$E$31,MATCH(G$23,'01_INPUTS'!$B$17:$B$31,0))=0,IF(SUMIFS($AD$3:$AD$870,$AC$3:$AC$870,G$23,$AE$3:$AE$870,"&lt;="&amp;$B37,$AF$3:$AF$870,"&gt;="&amp;$B37)=0,0,9.99),SUMIFS($AD$3:$AD$870,$AC$3:$AC$870,G$23,$AE$3:$AE$870,"&lt;="&amp;$B37,$AF$3:$AF$870,"&gt;="&amp;$B37)/INDEX('01_INPUTS'!$E$17:$E$31,MATCH(G$23,'01_INPUTS'!$B$17:$B$31,0)))</f>
        <v>0</v>
      </c>
      <c r="H37" s="61">
        <f>IF(INDEX('01_INPUTS'!$E$17:$E$31,MATCH(H$23,'01_INPUTS'!$B$17:$B$31,0))=0,IF(SUMIFS($AD$3:$AD$870,$AC$3:$AC$870,H$23,$AE$3:$AE$870,"&lt;="&amp;$B37,$AF$3:$AF$870,"&gt;="&amp;$B37)=0,0,9.99),SUMIFS($AD$3:$AD$870,$AC$3:$AC$870,H$23,$AE$3:$AE$870,"&lt;="&amp;$B37,$AF$3:$AF$870,"&gt;="&amp;$B37)/INDEX('01_INPUTS'!$E$17:$E$31,MATCH(H$23,'01_INPUTS'!$B$17:$B$31,0)))</f>
        <v>1.5</v>
      </c>
      <c r="I37" s="61">
        <f>IF(INDEX('01_INPUTS'!$E$17:$E$31,MATCH(I$23,'01_INPUTS'!$B$17:$B$31,0))=0,IF(SUMIFS($AD$3:$AD$870,$AC$3:$AC$870,I$23,$AE$3:$AE$870,"&lt;="&amp;$B37,$AF$3:$AF$870,"&gt;="&amp;$B37)=0,0,9.99),SUMIFS($AD$3:$AD$870,$AC$3:$AC$870,I$23,$AE$3:$AE$870,"&lt;="&amp;$B37,$AF$3:$AF$870,"&gt;="&amp;$B37)/INDEX('01_INPUTS'!$E$17:$E$31,MATCH(I$23,'01_INPUTS'!$B$17:$B$31,0)))</f>
        <v>1.5</v>
      </c>
      <c r="J37" s="61">
        <f>IF(INDEX('01_INPUTS'!$E$17:$E$31,MATCH(J$23,'01_INPUTS'!$B$17:$B$31,0))=0,IF(SUMIFS($AD$3:$AD$870,$AC$3:$AC$870,J$23,$AE$3:$AE$870,"&lt;="&amp;$B37,$AF$3:$AF$870,"&gt;="&amp;$B37)=0,0,9.99),SUMIFS($AD$3:$AD$870,$AC$3:$AC$870,J$23,$AE$3:$AE$870,"&lt;="&amp;$B37,$AF$3:$AF$870,"&gt;="&amp;$B37)/INDEX('01_INPUTS'!$E$17:$E$31,MATCH(J$23,'01_INPUTS'!$B$17:$B$31,0)))</f>
        <v>3</v>
      </c>
      <c r="K37" s="61">
        <f>IF(INDEX('01_INPUTS'!$E$17:$E$31,MATCH(K$23,'01_INPUTS'!$B$17:$B$31,0))=0,IF(SUMIFS($AD$3:$AD$870,$AC$3:$AC$870,K$23,$AE$3:$AE$870,"&lt;="&amp;$B37,$AF$3:$AF$870,"&gt;="&amp;$B37)=0,0,9.99),SUMIFS($AD$3:$AD$870,$AC$3:$AC$870,K$23,$AE$3:$AE$870,"&lt;="&amp;$B37,$AF$3:$AF$870,"&gt;="&amp;$B37)/INDEX('01_INPUTS'!$E$17:$E$31,MATCH(K$23,'01_INPUTS'!$B$17:$B$31,0)))</f>
        <v>1.5</v>
      </c>
      <c r="L37" s="61">
        <f>IF(INDEX('01_INPUTS'!$E$17:$E$31,MATCH(L$23,'01_INPUTS'!$B$17:$B$31,0))=0,IF(SUMIFS($AD$3:$AD$870,$AC$3:$AC$870,L$23,$AE$3:$AE$870,"&lt;="&amp;$B37,$AF$3:$AF$870,"&gt;="&amp;$B37)=0,0,9.99),SUMIFS($AD$3:$AD$870,$AC$3:$AC$870,L$23,$AE$3:$AE$870,"&lt;="&amp;$B37,$AF$3:$AF$870,"&gt;="&amp;$B37)/INDEX('01_INPUTS'!$E$17:$E$31,MATCH(L$23,'01_INPUTS'!$B$17:$B$31,0)))</f>
        <v>1.5</v>
      </c>
      <c r="M37" s="61">
        <f>IF(INDEX('01_INPUTS'!$E$17:$E$31,MATCH(M$23,'01_INPUTS'!$B$17:$B$31,0))=0,IF(SUMIFS($AD$3:$AD$870,$AC$3:$AC$870,M$23,$AE$3:$AE$870,"&lt;="&amp;$B37,$AF$3:$AF$870,"&gt;="&amp;$B37)=0,0,9.99),SUMIFS($AD$3:$AD$870,$AC$3:$AC$870,M$23,$AE$3:$AE$870,"&lt;="&amp;$B37,$AF$3:$AF$870,"&gt;="&amp;$B37)/INDEX('01_INPUTS'!$E$17:$E$31,MATCH(M$23,'01_INPUTS'!$B$17:$B$31,0)))</f>
        <v>1.5</v>
      </c>
      <c r="N37" s="61">
        <f>IF(INDEX('01_INPUTS'!$E$17:$E$31,MATCH(N$23,'01_INPUTS'!$B$17:$B$31,0))=0,IF(SUMIFS($AD$3:$AD$870,$AC$3:$AC$870,N$23,$AE$3:$AE$870,"&lt;="&amp;$B37,$AF$3:$AF$870,"&gt;="&amp;$B37)=0,0,9.99),SUMIFS($AD$3:$AD$870,$AC$3:$AC$870,N$23,$AE$3:$AE$870,"&lt;="&amp;$B37,$AF$3:$AF$870,"&gt;="&amp;$B37)/INDEX('01_INPUTS'!$E$17:$E$31,MATCH(N$23,'01_INPUTS'!$B$17:$B$31,0)))</f>
        <v>1.5</v>
      </c>
      <c r="O37" s="61">
        <f>IF(INDEX('01_INPUTS'!$E$17:$E$31,MATCH(O$23,'01_INPUTS'!$B$17:$B$31,0))=0,IF(SUMIFS($AD$3:$AD$870,$AC$3:$AC$870,O$23,$AE$3:$AE$870,"&lt;="&amp;$B37,$AF$3:$AF$870,"&gt;="&amp;$B37)=0,0,9.99),SUMIFS($AD$3:$AD$870,$AC$3:$AC$870,O$23,$AE$3:$AE$870,"&lt;="&amp;$B37,$AF$3:$AF$870,"&gt;="&amp;$B37)/INDEX('01_INPUTS'!$E$17:$E$31,MATCH(O$23,'01_INPUTS'!$B$17:$B$31,0)))</f>
        <v>0</v>
      </c>
      <c r="P37" s="61">
        <f>IF(INDEX('01_INPUTS'!$E$17:$E$31,MATCH(P$23,'01_INPUTS'!$B$17:$B$31,0))=0,IF(SUMIFS($AD$3:$AD$870,$AC$3:$AC$870,P$23,$AE$3:$AE$870,"&lt;="&amp;$B37,$AF$3:$AF$870,"&gt;="&amp;$B37)=0,0,9.99),SUMIFS($AD$3:$AD$870,$AC$3:$AC$870,P$23,$AE$3:$AE$870,"&lt;="&amp;$B37,$AF$3:$AF$870,"&gt;="&amp;$B37)/INDEX('01_INPUTS'!$E$17:$E$31,MATCH(P$23,'01_INPUTS'!$B$17:$B$31,0)))</f>
        <v>9</v>
      </c>
      <c r="Q37" s="61">
        <f>IF(INDEX('01_INPUTS'!$E$17:$E$31,MATCH(Q$23,'01_INPUTS'!$B$17:$B$31,0))=0,IF(SUMIFS($AD$3:$AD$870,$AC$3:$AC$870,Q$23,$AE$3:$AE$870,"&lt;="&amp;$B37,$AF$3:$AF$870,"&gt;="&amp;$B37)=0,0,9.99),SUMIFS($AD$3:$AD$870,$AC$3:$AC$870,Q$23,$AE$3:$AE$870,"&lt;="&amp;$B37,$AF$3:$AF$870,"&gt;="&amp;$B37)/INDEX('01_INPUTS'!$E$17:$E$31,MATCH(Q$23,'01_INPUTS'!$B$17:$B$31,0)))</f>
        <v>0.75</v>
      </c>
      <c r="R37" s="61">
        <f>IF(INDEX('01_INPUTS'!$E$17:$E$31,MATCH(R$23,'01_INPUTS'!$B$17:$B$31,0))=0,IF(SUMIFS($AD$3:$AD$870,$AC$3:$AC$870,R$23,$AE$3:$AE$870,"&lt;="&amp;$B37,$AF$3:$AF$870,"&gt;="&amp;$B37)=0,0,9.99),SUMIFS($AD$3:$AD$870,$AC$3:$AC$870,R$23,$AE$3:$AE$870,"&lt;="&amp;$B37,$AF$3:$AF$870,"&gt;="&amp;$B37)/INDEX('01_INPUTS'!$E$17:$E$31,MATCH(R$23,'01_INPUTS'!$B$17:$B$31,0)))</f>
        <v>0</v>
      </c>
      <c r="S37">
        <f t="shared" si="1"/>
        <v>30</v>
      </c>
      <c r="T37">
        <f>SUM('01_INPUTS'!$E$17:$E$31)</f>
        <v>20</v>
      </c>
      <c r="U37" s="61">
        <f t="shared" si="2"/>
        <v>1.5</v>
      </c>
      <c r="V37">
        <f t="shared" si="3"/>
        <v>9</v>
      </c>
      <c r="W37" t="str">
        <f t="shared" si="4"/>
        <v>ROJO</v>
      </c>
      <c r="AA37" s="51" t="str">
        <f>'Sites Master'!$B$2</f>
        <v>Site 01</v>
      </c>
      <c r="AB37" s="51" t="str">
        <f>'Phase-Resource Allocation'!$B$98</f>
        <v>DIALT</v>
      </c>
      <c r="AC37" s="51" t="str">
        <f>'Phase-Resource Allocation'!$C$98</f>
        <v>Azure Lead</v>
      </c>
      <c r="AD37" s="60">
        <f>'Phase-Resource Allocation'!$D$98</f>
        <v>0.75</v>
      </c>
      <c r="AE37" s="51">
        <f>IFERROR(INDEX('02_SCHEDULE'!$K$5:$K$124,MATCH(AA37&amp;"|"&amp;AB37,'02_SCHEDULE'!$M$5:$M$124,0)),0)</f>
        <v>11</v>
      </c>
      <c r="AF37" s="51">
        <f>IFERROR(INDEX('02_SCHEDULE'!$L$5:$L$124,MATCH(AA37&amp;"|"&amp;AB37,'02_SCHEDULE'!$M$5:$M$124,0)),0)</f>
        <v>11</v>
      </c>
      <c r="AG37" s="51">
        <f t="shared" si="0"/>
        <v>0.75</v>
      </c>
    </row>
    <row r="38" spans="2:33" x14ac:dyDescent="0.3">
      <c r="B38">
        <f>15</f>
        <v>15</v>
      </c>
      <c r="C38" s="55">
        <f>'01_INPUTS'!$C$7+(15-1)*7</f>
        <v>46349</v>
      </c>
      <c r="D38" s="61">
        <f>IF(INDEX('01_INPUTS'!$E$17:$E$31,MATCH(D$23,'01_INPUTS'!$B$17:$B$31,0))=0,IF(SUMIFS($AD$3:$AD$870,$AC$3:$AC$870,D$23,$AE$3:$AE$870,"&lt;="&amp;$B38,$AF$3:$AF$870,"&gt;="&amp;$B38)=0,0,9.99),SUMIFS($AD$3:$AD$870,$AC$3:$AC$870,D$23,$AE$3:$AE$870,"&lt;="&amp;$B38,$AF$3:$AF$870,"&gt;="&amp;$B38)/INDEX('01_INPUTS'!$E$17:$E$31,MATCH(D$23,'01_INPUTS'!$B$17:$B$31,0)))</f>
        <v>1.5</v>
      </c>
      <c r="E38" s="61">
        <f>IF(INDEX('01_INPUTS'!$E$17:$E$31,MATCH(E$23,'01_INPUTS'!$B$17:$B$31,0))=0,IF(SUMIFS($AD$3:$AD$870,$AC$3:$AC$870,E$23,$AE$3:$AE$870,"&lt;="&amp;$B38,$AF$3:$AF$870,"&gt;="&amp;$B38)=0,0,9.99),SUMIFS($AD$3:$AD$870,$AC$3:$AC$870,E$23,$AE$3:$AE$870,"&lt;="&amp;$B38,$AF$3:$AF$870,"&gt;="&amp;$B38)/INDEX('01_INPUTS'!$E$17:$E$31,MATCH(E$23,'01_INPUTS'!$B$17:$B$31,0)))</f>
        <v>0</v>
      </c>
      <c r="F38" s="61">
        <f>IF(INDEX('01_INPUTS'!$E$17:$E$31,MATCH(F$23,'01_INPUTS'!$B$17:$B$31,0))=0,IF(SUMIFS($AD$3:$AD$870,$AC$3:$AC$870,F$23,$AE$3:$AE$870,"&lt;="&amp;$B38,$AF$3:$AF$870,"&gt;="&amp;$B38)=0,0,9.99),SUMIFS($AD$3:$AD$870,$AC$3:$AC$870,F$23,$AE$3:$AE$870,"&lt;="&amp;$B38,$AF$3:$AF$870,"&gt;="&amp;$B38)/INDEX('01_INPUTS'!$E$17:$E$31,MATCH(F$23,'01_INPUTS'!$B$17:$B$31,0)))</f>
        <v>0</v>
      </c>
      <c r="G38" s="61">
        <f>IF(INDEX('01_INPUTS'!$E$17:$E$31,MATCH(G$23,'01_INPUTS'!$B$17:$B$31,0))=0,IF(SUMIFS($AD$3:$AD$870,$AC$3:$AC$870,G$23,$AE$3:$AE$870,"&lt;="&amp;$B38,$AF$3:$AF$870,"&gt;="&amp;$B38)=0,0,9.99),SUMIFS($AD$3:$AD$870,$AC$3:$AC$870,G$23,$AE$3:$AE$870,"&lt;="&amp;$B38,$AF$3:$AF$870,"&gt;="&amp;$B38)/INDEX('01_INPUTS'!$E$17:$E$31,MATCH(G$23,'01_INPUTS'!$B$17:$B$31,0)))</f>
        <v>0</v>
      </c>
      <c r="H38" s="61">
        <f>IF(INDEX('01_INPUTS'!$E$17:$E$31,MATCH(H$23,'01_INPUTS'!$B$17:$B$31,0))=0,IF(SUMIFS($AD$3:$AD$870,$AC$3:$AC$870,H$23,$AE$3:$AE$870,"&lt;="&amp;$B38,$AF$3:$AF$870,"&gt;="&amp;$B38)=0,0,9.99),SUMIFS($AD$3:$AD$870,$AC$3:$AC$870,H$23,$AE$3:$AE$870,"&lt;="&amp;$B38,$AF$3:$AF$870,"&gt;="&amp;$B38)/INDEX('01_INPUTS'!$E$17:$E$31,MATCH(H$23,'01_INPUTS'!$B$17:$B$31,0)))</f>
        <v>1.5</v>
      </c>
      <c r="I38" s="61">
        <f>IF(INDEX('01_INPUTS'!$E$17:$E$31,MATCH(I$23,'01_INPUTS'!$B$17:$B$31,0))=0,IF(SUMIFS($AD$3:$AD$870,$AC$3:$AC$870,I$23,$AE$3:$AE$870,"&lt;="&amp;$B38,$AF$3:$AF$870,"&gt;="&amp;$B38)=0,0,9.99),SUMIFS($AD$3:$AD$870,$AC$3:$AC$870,I$23,$AE$3:$AE$870,"&lt;="&amp;$B38,$AF$3:$AF$870,"&gt;="&amp;$B38)/INDEX('01_INPUTS'!$E$17:$E$31,MATCH(I$23,'01_INPUTS'!$B$17:$B$31,0)))</f>
        <v>1.5</v>
      </c>
      <c r="J38" s="61">
        <f>IF(INDEX('01_INPUTS'!$E$17:$E$31,MATCH(J$23,'01_INPUTS'!$B$17:$B$31,0))=0,IF(SUMIFS($AD$3:$AD$870,$AC$3:$AC$870,J$23,$AE$3:$AE$870,"&lt;="&amp;$B38,$AF$3:$AF$870,"&gt;="&amp;$B38)=0,0,9.99),SUMIFS($AD$3:$AD$870,$AC$3:$AC$870,J$23,$AE$3:$AE$870,"&lt;="&amp;$B38,$AF$3:$AF$870,"&gt;="&amp;$B38)/INDEX('01_INPUTS'!$E$17:$E$31,MATCH(J$23,'01_INPUTS'!$B$17:$B$31,0)))</f>
        <v>3</v>
      </c>
      <c r="K38" s="61">
        <f>IF(INDEX('01_INPUTS'!$E$17:$E$31,MATCH(K$23,'01_INPUTS'!$B$17:$B$31,0))=0,IF(SUMIFS($AD$3:$AD$870,$AC$3:$AC$870,K$23,$AE$3:$AE$870,"&lt;="&amp;$B38,$AF$3:$AF$870,"&gt;="&amp;$B38)=0,0,9.99),SUMIFS($AD$3:$AD$870,$AC$3:$AC$870,K$23,$AE$3:$AE$870,"&lt;="&amp;$B38,$AF$3:$AF$870,"&gt;="&amp;$B38)/INDEX('01_INPUTS'!$E$17:$E$31,MATCH(K$23,'01_INPUTS'!$B$17:$B$31,0)))</f>
        <v>1.5</v>
      </c>
      <c r="L38" s="61">
        <f>IF(INDEX('01_INPUTS'!$E$17:$E$31,MATCH(L$23,'01_INPUTS'!$B$17:$B$31,0))=0,IF(SUMIFS($AD$3:$AD$870,$AC$3:$AC$870,L$23,$AE$3:$AE$870,"&lt;="&amp;$B38,$AF$3:$AF$870,"&gt;="&amp;$B38)=0,0,9.99),SUMIFS($AD$3:$AD$870,$AC$3:$AC$870,L$23,$AE$3:$AE$870,"&lt;="&amp;$B38,$AF$3:$AF$870,"&gt;="&amp;$B38)/INDEX('01_INPUTS'!$E$17:$E$31,MATCH(L$23,'01_INPUTS'!$B$17:$B$31,0)))</f>
        <v>1.5</v>
      </c>
      <c r="M38" s="61">
        <f>IF(INDEX('01_INPUTS'!$E$17:$E$31,MATCH(M$23,'01_INPUTS'!$B$17:$B$31,0))=0,IF(SUMIFS($AD$3:$AD$870,$AC$3:$AC$870,M$23,$AE$3:$AE$870,"&lt;="&amp;$B38,$AF$3:$AF$870,"&gt;="&amp;$B38)=0,0,9.99),SUMIFS($AD$3:$AD$870,$AC$3:$AC$870,M$23,$AE$3:$AE$870,"&lt;="&amp;$B38,$AF$3:$AF$870,"&gt;="&amp;$B38)/INDEX('01_INPUTS'!$E$17:$E$31,MATCH(M$23,'01_INPUTS'!$B$17:$B$31,0)))</f>
        <v>1.5</v>
      </c>
      <c r="N38" s="61">
        <f>IF(INDEX('01_INPUTS'!$E$17:$E$31,MATCH(N$23,'01_INPUTS'!$B$17:$B$31,0))=0,IF(SUMIFS($AD$3:$AD$870,$AC$3:$AC$870,N$23,$AE$3:$AE$870,"&lt;="&amp;$B38,$AF$3:$AF$870,"&gt;="&amp;$B38)=0,0,9.99),SUMIFS($AD$3:$AD$870,$AC$3:$AC$870,N$23,$AE$3:$AE$870,"&lt;="&amp;$B38,$AF$3:$AF$870,"&gt;="&amp;$B38)/INDEX('01_INPUTS'!$E$17:$E$31,MATCH(N$23,'01_INPUTS'!$B$17:$B$31,0)))</f>
        <v>1.5</v>
      </c>
      <c r="O38" s="61">
        <f>IF(INDEX('01_INPUTS'!$E$17:$E$31,MATCH(O$23,'01_INPUTS'!$B$17:$B$31,0))=0,IF(SUMIFS($AD$3:$AD$870,$AC$3:$AC$870,O$23,$AE$3:$AE$870,"&lt;="&amp;$B38,$AF$3:$AF$870,"&gt;="&amp;$B38)=0,0,9.99),SUMIFS($AD$3:$AD$870,$AC$3:$AC$870,O$23,$AE$3:$AE$870,"&lt;="&amp;$B38,$AF$3:$AF$870,"&gt;="&amp;$B38)/INDEX('01_INPUTS'!$E$17:$E$31,MATCH(O$23,'01_INPUTS'!$B$17:$B$31,0)))</f>
        <v>0</v>
      </c>
      <c r="P38" s="61">
        <f>IF(INDEX('01_INPUTS'!$E$17:$E$31,MATCH(P$23,'01_INPUTS'!$B$17:$B$31,0))=0,IF(SUMIFS($AD$3:$AD$870,$AC$3:$AC$870,P$23,$AE$3:$AE$870,"&lt;="&amp;$B38,$AF$3:$AF$870,"&gt;="&amp;$B38)=0,0,9.99),SUMIFS($AD$3:$AD$870,$AC$3:$AC$870,P$23,$AE$3:$AE$870,"&lt;="&amp;$B38,$AF$3:$AF$870,"&gt;="&amp;$B38)/INDEX('01_INPUTS'!$E$17:$E$31,MATCH(P$23,'01_INPUTS'!$B$17:$B$31,0)))</f>
        <v>9</v>
      </c>
      <c r="Q38" s="61">
        <f>IF(INDEX('01_INPUTS'!$E$17:$E$31,MATCH(Q$23,'01_INPUTS'!$B$17:$B$31,0))=0,IF(SUMIFS($AD$3:$AD$870,$AC$3:$AC$870,Q$23,$AE$3:$AE$870,"&lt;="&amp;$B38,$AF$3:$AF$870,"&gt;="&amp;$B38)=0,0,9.99),SUMIFS($AD$3:$AD$870,$AC$3:$AC$870,Q$23,$AE$3:$AE$870,"&lt;="&amp;$B38,$AF$3:$AF$870,"&gt;="&amp;$B38)/INDEX('01_INPUTS'!$E$17:$E$31,MATCH(Q$23,'01_INPUTS'!$B$17:$B$31,0)))</f>
        <v>0.75</v>
      </c>
      <c r="R38" s="61">
        <f>IF(INDEX('01_INPUTS'!$E$17:$E$31,MATCH(R$23,'01_INPUTS'!$B$17:$B$31,0))=0,IF(SUMIFS($AD$3:$AD$870,$AC$3:$AC$870,R$23,$AE$3:$AE$870,"&lt;="&amp;$B38,$AF$3:$AF$870,"&gt;="&amp;$B38)=0,0,9.99),SUMIFS($AD$3:$AD$870,$AC$3:$AC$870,R$23,$AE$3:$AE$870,"&lt;="&amp;$B38,$AF$3:$AF$870,"&gt;="&amp;$B38)/INDEX('01_INPUTS'!$E$17:$E$31,MATCH(R$23,'01_INPUTS'!$B$17:$B$31,0)))</f>
        <v>0</v>
      </c>
      <c r="S38">
        <f t="shared" si="1"/>
        <v>30</v>
      </c>
      <c r="T38">
        <f>SUM('01_INPUTS'!$E$17:$E$31)</f>
        <v>20</v>
      </c>
      <c r="U38" s="61">
        <f t="shared" si="2"/>
        <v>1.5</v>
      </c>
      <c r="V38">
        <f t="shared" si="3"/>
        <v>9</v>
      </c>
      <c r="W38" t="str">
        <f t="shared" si="4"/>
        <v>ROJO</v>
      </c>
      <c r="AA38" s="51" t="str">
        <f>'Sites Master'!$B$2</f>
        <v>Site 01</v>
      </c>
      <c r="AB38" s="51" t="str">
        <f>'Phase-Resource Allocation'!$B$99</f>
        <v>DIALT</v>
      </c>
      <c r="AC38" s="51" t="str">
        <f>'Phase-Resource Allocation'!$C$99</f>
        <v>Azure Specialist</v>
      </c>
      <c r="AD38" s="60">
        <f>'Phase-Resource Allocation'!$D$99</f>
        <v>0.75</v>
      </c>
      <c r="AE38" s="51">
        <f>IFERROR(INDEX('02_SCHEDULE'!$K$5:$K$124,MATCH(AA38&amp;"|"&amp;AB38,'02_SCHEDULE'!$M$5:$M$124,0)),0)</f>
        <v>11</v>
      </c>
      <c r="AF38" s="51">
        <f>IFERROR(INDEX('02_SCHEDULE'!$L$5:$L$124,MATCH(AA38&amp;"|"&amp;AB38,'02_SCHEDULE'!$M$5:$M$124,0)),0)</f>
        <v>11</v>
      </c>
      <c r="AG38" s="51">
        <f t="shared" si="0"/>
        <v>0.75</v>
      </c>
    </row>
    <row r="39" spans="2:33" x14ac:dyDescent="0.3">
      <c r="B39">
        <f>16</f>
        <v>16</v>
      </c>
      <c r="C39" s="55">
        <f>'01_INPUTS'!$C$7+(16-1)*7</f>
        <v>46356</v>
      </c>
      <c r="D39" s="61">
        <f>IF(INDEX('01_INPUTS'!$E$17:$E$31,MATCH(D$23,'01_INPUTS'!$B$17:$B$31,0))=0,IF(SUMIFS($AD$3:$AD$870,$AC$3:$AC$870,D$23,$AE$3:$AE$870,"&lt;="&amp;$B39,$AF$3:$AF$870,"&gt;="&amp;$B39)=0,0,9.99),SUMIFS($AD$3:$AD$870,$AC$3:$AC$870,D$23,$AE$3:$AE$870,"&lt;="&amp;$B39,$AF$3:$AF$870,"&gt;="&amp;$B39)/INDEX('01_INPUTS'!$E$17:$E$31,MATCH(D$23,'01_INPUTS'!$B$17:$B$31,0)))</f>
        <v>1.5</v>
      </c>
      <c r="E39" s="61">
        <f>IF(INDEX('01_INPUTS'!$E$17:$E$31,MATCH(E$23,'01_INPUTS'!$B$17:$B$31,0))=0,IF(SUMIFS($AD$3:$AD$870,$AC$3:$AC$870,E$23,$AE$3:$AE$870,"&lt;="&amp;$B39,$AF$3:$AF$870,"&gt;="&amp;$B39)=0,0,9.99),SUMIFS($AD$3:$AD$870,$AC$3:$AC$870,E$23,$AE$3:$AE$870,"&lt;="&amp;$B39,$AF$3:$AF$870,"&gt;="&amp;$B39)/INDEX('01_INPUTS'!$E$17:$E$31,MATCH(E$23,'01_INPUTS'!$B$17:$B$31,0)))</f>
        <v>0</v>
      </c>
      <c r="F39" s="61">
        <f>IF(INDEX('01_INPUTS'!$E$17:$E$31,MATCH(F$23,'01_INPUTS'!$B$17:$B$31,0))=0,IF(SUMIFS($AD$3:$AD$870,$AC$3:$AC$870,F$23,$AE$3:$AE$870,"&lt;="&amp;$B39,$AF$3:$AF$870,"&gt;="&amp;$B39)=0,0,9.99),SUMIFS($AD$3:$AD$870,$AC$3:$AC$870,F$23,$AE$3:$AE$870,"&lt;="&amp;$B39,$AF$3:$AF$870,"&gt;="&amp;$B39)/INDEX('01_INPUTS'!$E$17:$E$31,MATCH(F$23,'01_INPUTS'!$B$17:$B$31,0)))</f>
        <v>0</v>
      </c>
      <c r="G39" s="61">
        <f>IF(INDEX('01_INPUTS'!$E$17:$E$31,MATCH(G$23,'01_INPUTS'!$B$17:$B$31,0))=0,IF(SUMIFS($AD$3:$AD$870,$AC$3:$AC$870,G$23,$AE$3:$AE$870,"&lt;="&amp;$B39,$AF$3:$AF$870,"&gt;="&amp;$B39)=0,0,9.99),SUMIFS($AD$3:$AD$870,$AC$3:$AC$870,G$23,$AE$3:$AE$870,"&lt;="&amp;$B39,$AF$3:$AF$870,"&gt;="&amp;$B39)/INDEX('01_INPUTS'!$E$17:$E$31,MATCH(G$23,'01_INPUTS'!$B$17:$B$31,0)))</f>
        <v>0</v>
      </c>
      <c r="H39" s="61">
        <f>IF(INDEX('01_INPUTS'!$E$17:$E$31,MATCH(H$23,'01_INPUTS'!$B$17:$B$31,0))=0,IF(SUMIFS($AD$3:$AD$870,$AC$3:$AC$870,H$23,$AE$3:$AE$870,"&lt;="&amp;$B39,$AF$3:$AF$870,"&gt;="&amp;$B39)=0,0,9.99),SUMIFS($AD$3:$AD$870,$AC$3:$AC$870,H$23,$AE$3:$AE$870,"&lt;="&amp;$B39,$AF$3:$AF$870,"&gt;="&amp;$B39)/INDEX('01_INPUTS'!$E$17:$E$31,MATCH(H$23,'01_INPUTS'!$B$17:$B$31,0)))</f>
        <v>1.5</v>
      </c>
      <c r="I39" s="61">
        <f>IF(INDEX('01_INPUTS'!$E$17:$E$31,MATCH(I$23,'01_INPUTS'!$B$17:$B$31,0))=0,IF(SUMIFS($AD$3:$AD$870,$AC$3:$AC$870,I$23,$AE$3:$AE$870,"&lt;="&amp;$B39,$AF$3:$AF$870,"&gt;="&amp;$B39)=0,0,9.99),SUMIFS($AD$3:$AD$870,$AC$3:$AC$870,I$23,$AE$3:$AE$870,"&lt;="&amp;$B39,$AF$3:$AF$870,"&gt;="&amp;$B39)/INDEX('01_INPUTS'!$E$17:$E$31,MATCH(I$23,'01_INPUTS'!$B$17:$B$31,0)))</f>
        <v>1.5</v>
      </c>
      <c r="J39" s="61">
        <f>IF(INDEX('01_INPUTS'!$E$17:$E$31,MATCH(J$23,'01_INPUTS'!$B$17:$B$31,0))=0,IF(SUMIFS($AD$3:$AD$870,$AC$3:$AC$870,J$23,$AE$3:$AE$870,"&lt;="&amp;$B39,$AF$3:$AF$870,"&gt;="&amp;$B39)=0,0,9.99),SUMIFS($AD$3:$AD$870,$AC$3:$AC$870,J$23,$AE$3:$AE$870,"&lt;="&amp;$B39,$AF$3:$AF$870,"&gt;="&amp;$B39)/INDEX('01_INPUTS'!$E$17:$E$31,MATCH(J$23,'01_INPUTS'!$B$17:$B$31,0)))</f>
        <v>3</v>
      </c>
      <c r="K39" s="61">
        <f>IF(INDEX('01_INPUTS'!$E$17:$E$31,MATCH(K$23,'01_INPUTS'!$B$17:$B$31,0))=0,IF(SUMIFS($AD$3:$AD$870,$AC$3:$AC$870,K$23,$AE$3:$AE$870,"&lt;="&amp;$B39,$AF$3:$AF$870,"&gt;="&amp;$B39)=0,0,9.99),SUMIFS($AD$3:$AD$870,$AC$3:$AC$870,K$23,$AE$3:$AE$870,"&lt;="&amp;$B39,$AF$3:$AF$870,"&gt;="&amp;$B39)/INDEX('01_INPUTS'!$E$17:$E$31,MATCH(K$23,'01_INPUTS'!$B$17:$B$31,0)))</f>
        <v>1.5</v>
      </c>
      <c r="L39" s="61">
        <f>IF(INDEX('01_INPUTS'!$E$17:$E$31,MATCH(L$23,'01_INPUTS'!$B$17:$B$31,0))=0,IF(SUMIFS($AD$3:$AD$870,$AC$3:$AC$870,L$23,$AE$3:$AE$870,"&lt;="&amp;$B39,$AF$3:$AF$870,"&gt;="&amp;$B39)=0,0,9.99),SUMIFS($AD$3:$AD$870,$AC$3:$AC$870,L$23,$AE$3:$AE$870,"&lt;="&amp;$B39,$AF$3:$AF$870,"&gt;="&amp;$B39)/INDEX('01_INPUTS'!$E$17:$E$31,MATCH(L$23,'01_INPUTS'!$B$17:$B$31,0)))</f>
        <v>1.5</v>
      </c>
      <c r="M39" s="61">
        <f>IF(INDEX('01_INPUTS'!$E$17:$E$31,MATCH(M$23,'01_INPUTS'!$B$17:$B$31,0))=0,IF(SUMIFS($AD$3:$AD$870,$AC$3:$AC$870,M$23,$AE$3:$AE$870,"&lt;="&amp;$B39,$AF$3:$AF$870,"&gt;="&amp;$B39)=0,0,9.99),SUMIFS($AD$3:$AD$870,$AC$3:$AC$870,M$23,$AE$3:$AE$870,"&lt;="&amp;$B39,$AF$3:$AF$870,"&gt;="&amp;$B39)/INDEX('01_INPUTS'!$E$17:$E$31,MATCH(M$23,'01_INPUTS'!$B$17:$B$31,0)))</f>
        <v>1.5</v>
      </c>
      <c r="N39" s="61">
        <f>IF(INDEX('01_INPUTS'!$E$17:$E$31,MATCH(N$23,'01_INPUTS'!$B$17:$B$31,0))=0,IF(SUMIFS($AD$3:$AD$870,$AC$3:$AC$870,N$23,$AE$3:$AE$870,"&lt;="&amp;$B39,$AF$3:$AF$870,"&gt;="&amp;$B39)=0,0,9.99),SUMIFS($AD$3:$AD$870,$AC$3:$AC$870,N$23,$AE$3:$AE$870,"&lt;="&amp;$B39,$AF$3:$AF$870,"&gt;="&amp;$B39)/INDEX('01_INPUTS'!$E$17:$E$31,MATCH(N$23,'01_INPUTS'!$B$17:$B$31,0)))</f>
        <v>1.5</v>
      </c>
      <c r="O39" s="61">
        <f>IF(INDEX('01_INPUTS'!$E$17:$E$31,MATCH(O$23,'01_INPUTS'!$B$17:$B$31,0))=0,IF(SUMIFS($AD$3:$AD$870,$AC$3:$AC$870,O$23,$AE$3:$AE$870,"&lt;="&amp;$B39,$AF$3:$AF$870,"&gt;="&amp;$B39)=0,0,9.99),SUMIFS($AD$3:$AD$870,$AC$3:$AC$870,O$23,$AE$3:$AE$870,"&lt;="&amp;$B39,$AF$3:$AF$870,"&gt;="&amp;$B39)/INDEX('01_INPUTS'!$E$17:$E$31,MATCH(O$23,'01_INPUTS'!$B$17:$B$31,0)))</f>
        <v>0</v>
      </c>
      <c r="P39" s="61">
        <f>IF(INDEX('01_INPUTS'!$E$17:$E$31,MATCH(P$23,'01_INPUTS'!$B$17:$B$31,0))=0,IF(SUMIFS($AD$3:$AD$870,$AC$3:$AC$870,P$23,$AE$3:$AE$870,"&lt;="&amp;$B39,$AF$3:$AF$870,"&gt;="&amp;$B39)=0,0,9.99),SUMIFS($AD$3:$AD$870,$AC$3:$AC$870,P$23,$AE$3:$AE$870,"&lt;="&amp;$B39,$AF$3:$AF$870,"&gt;="&amp;$B39)/INDEX('01_INPUTS'!$E$17:$E$31,MATCH(P$23,'01_INPUTS'!$B$17:$B$31,0)))</f>
        <v>9</v>
      </c>
      <c r="Q39" s="61">
        <f>IF(INDEX('01_INPUTS'!$E$17:$E$31,MATCH(Q$23,'01_INPUTS'!$B$17:$B$31,0))=0,IF(SUMIFS($AD$3:$AD$870,$AC$3:$AC$870,Q$23,$AE$3:$AE$870,"&lt;="&amp;$B39,$AF$3:$AF$870,"&gt;="&amp;$B39)=0,0,9.99),SUMIFS($AD$3:$AD$870,$AC$3:$AC$870,Q$23,$AE$3:$AE$870,"&lt;="&amp;$B39,$AF$3:$AF$870,"&gt;="&amp;$B39)/INDEX('01_INPUTS'!$E$17:$E$31,MATCH(Q$23,'01_INPUTS'!$B$17:$B$31,0)))</f>
        <v>0.75</v>
      </c>
      <c r="R39" s="61">
        <f>IF(INDEX('01_INPUTS'!$E$17:$E$31,MATCH(R$23,'01_INPUTS'!$B$17:$B$31,0))=0,IF(SUMIFS($AD$3:$AD$870,$AC$3:$AC$870,R$23,$AE$3:$AE$870,"&lt;="&amp;$B39,$AF$3:$AF$870,"&gt;="&amp;$B39)=0,0,9.99),SUMIFS($AD$3:$AD$870,$AC$3:$AC$870,R$23,$AE$3:$AE$870,"&lt;="&amp;$B39,$AF$3:$AF$870,"&gt;="&amp;$B39)/INDEX('01_INPUTS'!$E$17:$E$31,MATCH(R$23,'01_INPUTS'!$B$17:$B$31,0)))</f>
        <v>0</v>
      </c>
      <c r="S39">
        <f t="shared" si="1"/>
        <v>30</v>
      </c>
      <c r="T39">
        <f>SUM('01_INPUTS'!$E$17:$E$31)</f>
        <v>20</v>
      </c>
      <c r="U39" s="61">
        <f t="shared" si="2"/>
        <v>1.5</v>
      </c>
      <c r="V39">
        <f t="shared" si="3"/>
        <v>9</v>
      </c>
      <c r="W39" t="str">
        <f t="shared" si="4"/>
        <v>ROJO</v>
      </c>
      <c r="AA39" s="51" t="str">
        <f>'Sites Master'!$B$2</f>
        <v>Site 01</v>
      </c>
      <c r="AB39" s="51" t="str">
        <f>'Phase-Resource Allocation'!$B$100</f>
        <v>DIALT</v>
      </c>
      <c r="AC39" s="51" t="str">
        <f>'Phase-Resource Allocation'!$C$100</f>
        <v>Functional Lead</v>
      </c>
      <c r="AD39" s="60">
        <f>'Phase-Resource Allocation'!$D$100</f>
        <v>1</v>
      </c>
      <c r="AE39" s="51">
        <f>IFERROR(INDEX('02_SCHEDULE'!$K$5:$K$124,MATCH(AA39&amp;"|"&amp;AB39,'02_SCHEDULE'!$M$5:$M$124,0)),0)</f>
        <v>11</v>
      </c>
      <c r="AF39" s="51">
        <f>IFERROR(INDEX('02_SCHEDULE'!$L$5:$L$124,MATCH(AA39&amp;"|"&amp;AB39,'02_SCHEDULE'!$M$5:$M$124,0)),0)</f>
        <v>11</v>
      </c>
      <c r="AG39" s="51">
        <f t="shared" si="0"/>
        <v>1</v>
      </c>
    </row>
    <row r="40" spans="2:33" x14ac:dyDescent="0.3">
      <c r="B40">
        <f>17</f>
        <v>17</v>
      </c>
      <c r="C40" s="55">
        <f>'01_INPUTS'!$C$7+(17-1)*7</f>
        <v>46363</v>
      </c>
      <c r="D40" s="61">
        <f>IF(INDEX('01_INPUTS'!$E$17:$E$31,MATCH(D$23,'01_INPUTS'!$B$17:$B$31,0))=0,IF(SUMIFS($AD$3:$AD$870,$AC$3:$AC$870,D$23,$AE$3:$AE$870,"&lt;="&amp;$B40,$AF$3:$AF$870,"&gt;="&amp;$B40)=0,0,9.99),SUMIFS($AD$3:$AD$870,$AC$3:$AC$870,D$23,$AE$3:$AE$870,"&lt;="&amp;$B40,$AF$3:$AF$870,"&gt;="&amp;$B40)/INDEX('01_INPUTS'!$E$17:$E$31,MATCH(D$23,'01_INPUTS'!$B$17:$B$31,0)))</f>
        <v>0</v>
      </c>
      <c r="E40" s="61">
        <f>IF(INDEX('01_INPUTS'!$E$17:$E$31,MATCH(E$23,'01_INPUTS'!$B$17:$B$31,0))=0,IF(SUMIFS($AD$3:$AD$870,$AC$3:$AC$870,E$23,$AE$3:$AE$870,"&lt;="&amp;$B40,$AF$3:$AF$870,"&gt;="&amp;$B40)=0,0,9.99),SUMIFS($AD$3:$AD$870,$AC$3:$AC$870,E$23,$AE$3:$AE$870,"&lt;="&amp;$B40,$AF$3:$AF$870,"&gt;="&amp;$B40)/INDEX('01_INPUTS'!$E$17:$E$31,MATCH(E$23,'01_INPUTS'!$B$17:$B$31,0)))</f>
        <v>0</v>
      </c>
      <c r="F40" s="61">
        <f>IF(INDEX('01_INPUTS'!$E$17:$E$31,MATCH(F$23,'01_INPUTS'!$B$17:$B$31,0))=0,IF(SUMIFS($AD$3:$AD$870,$AC$3:$AC$870,F$23,$AE$3:$AE$870,"&lt;="&amp;$B40,$AF$3:$AF$870,"&gt;="&amp;$B40)=0,0,9.99),SUMIFS($AD$3:$AD$870,$AC$3:$AC$870,F$23,$AE$3:$AE$870,"&lt;="&amp;$B40,$AF$3:$AF$870,"&gt;="&amp;$B40)/INDEX('01_INPUTS'!$E$17:$E$31,MATCH(F$23,'01_INPUTS'!$B$17:$B$31,0)))</f>
        <v>0</v>
      </c>
      <c r="G40" s="61">
        <f>IF(INDEX('01_INPUTS'!$E$17:$E$31,MATCH(G$23,'01_INPUTS'!$B$17:$B$31,0))=0,IF(SUMIFS($AD$3:$AD$870,$AC$3:$AC$870,G$23,$AE$3:$AE$870,"&lt;="&amp;$B40,$AF$3:$AF$870,"&gt;="&amp;$B40)=0,0,9.99),SUMIFS($AD$3:$AD$870,$AC$3:$AC$870,G$23,$AE$3:$AE$870,"&lt;="&amp;$B40,$AF$3:$AF$870,"&gt;="&amp;$B40)/INDEX('01_INPUTS'!$E$17:$E$31,MATCH(G$23,'01_INPUTS'!$B$17:$B$31,0)))</f>
        <v>0</v>
      </c>
      <c r="H40" s="61">
        <f>IF(INDEX('01_INPUTS'!$E$17:$E$31,MATCH(H$23,'01_INPUTS'!$B$17:$B$31,0))=0,IF(SUMIFS($AD$3:$AD$870,$AC$3:$AC$870,H$23,$AE$3:$AE$870,"&lt;="&amp;$B40,$AF$3:$AF$870,"&gt;="&amp;$B40)=0,0,9.99),SUMIFS($AD$3:$AD$870,$AC$3:$AC$870,H$23,$AE$3:$AE$870,"&lt;="&amp;$B40,$AF$3:$AF$870,"&gt;="&amp;$B40)/INDEX('01_INPUTS'!$E$17:$E$31,MATCH(H$23,'01_INPUTS'!$B$17:$B$31,0)))</f>
        <v>0</v>
      </c>
      <c r="I40" s="61">
        <f>IF(INDEX('01_INPUTS'!$E$17:$E$31,MATCH(I$23,'01_INPUTS'!$B$17:$B$31,0))=0,IF(SUMIFS($AD$3:$AD$870,$AC$3:$AC$870,I$23,$AE$3:$AE$870,"&lt;="&amp;$B40,$AF$3:$AF$870,"&gt;="&amp;$B40)=0,0,9.99),SUMIFS($AD$3:$AD$870,$AC$3:$AC$870,I$23,$AE$3:$AE$870,"&lt;="&amp;$B40,$AF$3:$AF$870,"&gt;="&amp;$B40)/INDEX('01_INPUTS'!$E$17:$E$31,MATCH(I$23,'01_INPUTS'!$B$17:$B$31,0)))</f>
        <v>1.5</v>
      </c>
      <c r="J40" s="61">
        <f>IF(INDEX('01_INPUTS'!$E$17:$E$31,MATCH(J$23,'01_INPUTS'!$B$17:$B$31,0))=0,IF(SUMIFS($AD$3:$AD$870,$AC$3:$AC$870,J$23,$AE$3:$AE$870,"&lt;="&amp;$B40,$AF$3:$AF$870,"&gt;="&amp;$B40)=0,0,9.99),SUMIFS($AD$3:$AD$870,$AC$3:$AC$870,J$23,$AE$3:$AE$870,"&lt;="&amp;$B40,$AF$3:$AF$870,"&gt;="&amp;$B40)/INDEX('01_INPUTS'!$E$17:$E$31,MATCH(J$23,'01_INPUTS'!$B$17:$B$31,0)))</f>
        <v>0</v>
      </c>
      <c r="K40" s="61">
        <f>IF(INDEX('01_INPUTS'!$E$17:$E$31,MATCH(K$23,'01_INPUTS'!$B$17:$B$31,0))=0,IF(SUMIFS($AD$3:$AD$870,$AC$3:$AC$870,K$23,$AE$3:$AE$870,"&lt;="&amp;$B40,$AF$3:$AF$870,"&gt;="&amp;$B40)=0,0,9.99),SUMIFS($AD$3:$AD$870,$AC$3:$AC$870,K$23,$AE$3:$AE$870,"&lt;="&amp;$B40,$AF$3:$AF$870,"&gt;="&amp;$B40)/INDEX('01_INPUTS'!$E$17:$E$31,MATCH(K$23,'01_INPUTS'!$B$17:$B$31,0)))</f>
        <v>1.5</v>
      </c>
      <c r="L40" s="61">
        <f>IF(INDEX('01_INPUTS'!$E$17:$E$31,MATCH(L$23,'01_INPUTS'!$B$17:$B$31,0))=0,IF(SUMIFS($AD$3:$AD$870,$AC$3:$AC$870,L$23,$AE$3:$AE$870,"&lt;="&amp;$B40,$AF$3:$AF$870,"&gt;="&amp;$B40)=0,0,9.99),SUMIFS($AD$3:$AD$870,$AC$3:$AC$870,L$23,$AE$3:$AE$870,"&lt;="&amp;$B40,$AF$3:$AF$870,"&gt;="&amp;$B40)/INDEX('01_INPUTS'!$E$17:$E$31,MATCH(L$23,'01_INPUTS'!$B$17:$B$31,0)))</f>
        <v>0</v>
      </c>
      <c r="M40" s="61">
        <f>IF(INDEX('01_INPUTS'!$E$17:$E$31,MATCH(M$23,'01_INPUTS'!$B$17:$B$31,0))=0,IF(SUMIFS($AD$3:$AD$870,$AC$3:$AC$870,M$23,$AE$3:$AE$870,"&lt;="&amp;$B40,$AF$3:$AF$870,"&gt;="&amp;$B40)=0,0,9.99),SUMIFS($AD$3:$AD$870,$AC$3:$AC$870,M$23,$AE$3:$AE$870,"&lt;="&amp;$B40,$AF$3:$AF$870,"&gt;="&amp;$B40)/INDEX('01_INPUTS'!$E$17:$E$31,MATCH(M$23,'01_INPUTS'!$B$17:$B$31,0)))</f>
        <v>0</v>
      </c>
      <c r="N40" s="61">
        <f>IF(INDEX('01_INPUTS'!$E$17:$E$31,MATCH(N$23,'01_INPUTS'!$B$17:$B$31,0))=0,IF(SUMIFS($AD$3:$AD$870,$AC$3:$AC$870,N$23,$AE$3:$AE$870,"&lt;="&amp;$B40,$AF$3:$AF$870,"&gt;="&amp;$B40)=0,0,9.99),SUMIFS($AD$3:$AD$870,$AC$3:$AC$870,N$23,$AE$3:$AE$870,"&lt;="&amp;$B40,$AF$3:$AF$870,"&gt;="&amp;$B40)/INDEX('01_INPUTS'!$E$17:$E$31,MATCH(N$23,'01_INPUTS'!$B$17:$B$31,0)))</f>
        <v>0</v>
      </c>
      <c r="O40" s="61">
        <f>IF(INDEX('01_INPUTS'!$E$17:$E$31,MATCH(O$23,'01_INPUTS'!$B$17:$B$31,0))=0,IF(SUMIFS($AD$3:$AD$870,$AC$3:$AC$870,O$23,$AE$3:$AE$870,"&lt;="&amp;$B40,$AF$3:$AF$870,"&gt;="&amp;$B40)=0,0,9.99),SUMIFS($AD$3:$AD$870,$AC$3:$AC$870,O$23,$AE$3:$AE$870,"&lt;="&amp;$B40,$AF$3:$AF$870,"&gt;="&amp;$B40)/INDEX('01_INPUTS'!$E$17:$E$31,MATCH(O$23,'01_INPUTS'!$B$17:$B$31,0)))</f>
        <v>0</v>
      </c>
      <c r="P40" s="61">
        <f>IF(INDEX('01_INPUTS'!$E$17:$E$31,MATCH(P$23,'01_INPUTS'!$B$17:$B$31,0))=0,IF(SUMIFS($AD$3:$AD$870,$AC$3:$AC$870,P$23,$AE$3:$AE$870,"&lt;="&amp;$B40,$AF$3:$AF$870,"&gt;="&amp;$B40)=0,0,9.99),SUMIFS($AD$3:$AD$870,$AC$3:$AC$870,P$23,$AE$3:$AE$870,"&lt;="&amp;$B40,$AF$3:$AF$870,"&gt;="&amp;$B40)/INDEX('01_INPUTS'!$E$17:$E$31,MATCH(P$23,'01_INPUTS'!$B$17:$B$31,0)))</f>
        <v>0</v>
      </c>
      <c r="Q40" s="61">
        <f>IF(INDEX('01_INPUTS'!$E$17:$E$31,MATCH(Q$23,'01_INPUTS'!$B$17:$B$31,0))=0,IF(SUMIFS($AD$3:$AD$870,$AC$3:$AC$870,Q$23,$AE$3:$AE$870,"&lt;="&amp;$B40,$AF$3:$AF$870,"&gt;="&amp;$B40)=0,0,9.99),SUMIFS($AD$3:$AD$870,$AC$3:$AC$870,Q$23,$AE$3:$AE$870,"&lt;="&amp;$B40,$AF$3:$AF$870,"&gt;="&amp;$B40)/INDEX('01_INPUTS'!$E$17:$E$31,MATCH(Q$23,'01_INPUTS'!$B$17:$B$31,0)))</f>
        <v>0</v>
      </c>
      <c r="R40" s="61">
        <f>IF(INDEX('01_INPUTS'!$E$17:$E$31,MATCH(R$23,'01_INPUTS'!$B$17:$B$31,0))=0,IF(SUMIFS($AD$3:$AD$870,$AC$3:$AC$870,R$23,$AE$3:$AE$870,"&lt;="&amp;$B40,$AF$3:$AF$870,"&gt;="&amp;$B40)=0,0,9.99),SUMIFS($AD$3:$AD$870,$AC$3:$AC$870,R$23,$AE$3:$AE$870,"&lt;="&amp;$B40,$AF$3:$AF$870,"&gt;="&amp;$B40)/INDEX('01_INPUTS'!$E$17:$E$31,MATCH(R$23,'01_INPUTS'!$B$17:$B$31,0)))</f>
        <v>0</v>
      </c>
      <c r="S40">
        <f t="shared" si="1"/>
        <v>4.5</v>
      </c>
      <c r="T40">
        <f>SUM('01_INPUTS'!$E$17:$E$31)</f>
        <v>20</v>
      </c>
      <c r="U40" s="61">
        <f t="shared" si="2"/>
        <v>0.22500000000000001</v>
      </c>
      <c r="V40">
        <f t="shared" si="3"/>
        <v>2</v>
      </c>
      <c r="W40" t="str">
        <f t="shared" si="4"/>
        <v>ROJO</v>
      </c>
      <c r="AA40" s="51" t="str">
        <f>'Sites Master'!$B$2</f>
        <v>Site 01</v>
      </c>
      <c r="AB40" s="51" t="str">
        <f>'Phase-Resource Allocation'!$B$101</f>
        <v>DIALT</v>
      </c>
      <c r="AC40" s="51" t="str">
        <f>'Phase-Resource Allocation'!$C$101</f>
        <v>Trainers</v>
      </c>
      <c r="AD40" s="60">
        <f>'Phase-Resource Allocation'!$D$101</f>
        <v>1</v>
      </c>
      <c r="AE40" s="51">
        <f>IFERROR(INDEX('02_SCHEDULE'!$K$5:$K$124,MATCH(AA40&amp;"|"&amp;AB40,'02_SCHEDULE'!$M$5:$M$124,0)),0)</f>
        <v>11</v>
      </c>
      <c r="AF40" s="51">
        <f>IFERROR(INDEX('02_SCHEDULE'!$L$5:$L$124,MATCH(AA40&amp;"|"&amp;AB40,'02_SCHEDULE'!$M$5:$M$124,0)),0)</f>
        <v>11</v>
      </c>
      <c r="AG40" s="51">
        <f t="shared" si="0"/>
        <v>1</v>
      </c>
    </row>
    <row r="41" spans="2:33" x14ac:dyDescent="0.3">
      <c r="B41">
        <f>18</f>
        <v>18</v>
      </c>
      <c r="C41" s="55">
        <f>'01_INPUTS'!$C$7+(18-1)*7</f>
        <v>46370</v>
      </c>
      <c r="D41" s="61">
        <f>IF(INDEX('01_INPUTS'!$E$17:$E$31,MATCH(D$23,'01_INPUTS'!$B$17:$B$31,0))=0,IF(SUMIFS($AD$3:$AD$870,$AC$3:$AC$870,D$23,$AE$3:$AE$870,"&lt;="&amp;$B41,$AF$3:$AF$870,"&gt;="&amp;$B41)=0,0,9.99),SUMIFS($AD$3:$AD$870,$AC$3:$AC$870,D$23,$AE$3:$AE$870,"&lt;="&amp;$B41,$AF$3:$AF$870,"&gt;="&amp;$B41)/INDEX('01_INPUTS'!$E$17:$E$31,MATCH(D$23,'01_INPUTS'!$B$17:$B$31,0)))</f>
        <v>0</v>
      </c>
      <c r="E41" s="61">
        <f>IF(INDEX('01_INPUTS'!$E$17:$E$31,MATCH(E$23,'01_INPUTS'!$B$17:$B$31,0))=0,IF(SUMIFS($AD$3:$AD$870,$AC$3:$AC$870,E$23,$AE$3:$AE$870,"&lt;="&amp;$B41,$AF$3:$AF$870,"&gt;="&amp;$B41)=0,0,9.99),SUMIFS($AD$3:$AD$870,$AC$3:$AC$870,E$23,$AE$3:$AE$870,"&lt;="&amp;$B41,$AF$3:$AF$870,"&gt;="&amp;$B41)/INDEX('01_INPUTS'!$E$17:$E$31,MATCH(E$23,'01_INPUTS'!$B$17:$B$31,0)))</f>
        <v>0</v>
      </c>
      <c r="F41" s="61">
        <f>IF(INDEX('01_INPUTS'!$E$17:$E$31,MATCH(F$23,'01_INPUTS'!$B$17:$B$31,0))=0,IF(SUMIFS($AD$3:$AD$870,$AC$3:$AC$870,F$23,$AE$3:$AE$870,"&lt;="&amp;$B41,$AF$3:$AF$870,"&gt;="&amp;$B41)=0,0,9.99),SUMIFS($AD$3:$AD$870,$AC$3:$AC$870,F$23,$AE$3:$AE$870,"&lt;="&amp;$B41,$AF$3:$AF$870,"&gt;="&amp;$B41)/INDEX('01_INPUTS'!$E$17:$E$31,MATCH(F$23,'01_INPUTS'!$B$17:$B$31,0)))</f>
        <v>0</v>
      </c>
      <c r="G41" s="61">
        <f>IF(INDEX('01_INPUTS'!$E$17:$E$31,MATCH(G$23,'01_INPUTS'!$B$17:$B$31,0))=0,IF(SUMIFS($AD$3:$AD$870,$AC$3:$AC$870,G$23,$AE$3:$AE$870,"&lt;="&amp;$B41,$AF$3:$AF$870,"&gt;="&amp;$B41)=0,0,9.99),SUMIFS($AD$3:$AD$870,$AC$3:$AC$870,G$23,$AE$3:$AE$870,"&lt;="&amp;$B41,$AF$3:$AF$870,"&gt;="&amp;$B41)/INDEX('01_INPUTS'!$E$17:$E$31,MATCH(G$23,'01_INPUTS'!$B$17:$B$31,0)))</f>
        <v>0</v>
      </c>
      <c r="H41" s="61">
        <f>IF(INDEX('01_INPUTS'!$E$17:$E$31,MATCH(H$23,'01_INPUTS'!$B$17:$B$31,0))=0,IF(SUMIFS($AD$3:$AD$870,$AC$3:$AC$870,H$23,$AE$3:$AE$870,"&lt;="&amp;$B41,$AF$3:$AF$870,"&gt;="&amp;$B41)=0,0,9.99),SUMIFS($AD$3:$AD$870,$AC$3:$AC$870,H$23,$AE$3:$AE$870,"&lt;="&amp;$B41,$AF$3:$AF$870,"&gt;="&amp;$B41)/INDEX('01_INPUTS'!$E$17:$E$31,MATCH(H$23,'01_INPUTS'!$B$17:$B$31,0)))</f>
        <v>0</v>
      </c>
      <c r="I41" s="61">
        <f>IF(INDEX('01_INPUTS'!$E$17:$E$31,MATCH(I$23,'01_INPUTS'!$B$17:$B$31,0))=0,IF(SUMIFS($AD$3:$AD$870,$AC$3:$AC$870,I$23,$AE$3:$AE$870,"&lt;="&amp;$B41,$AF$3:$AF$870,"&gt;="&amp;$B41)=0,0,9.99),SUMIFS($AD$3:$AD$870,$AC$3:$AC$870,I$23,$AE$3:$AE$870,"&lt;="&amp;$B41,$AF$3:$AF$870,"&gt;="&amp;$B41)/INDEX('01_INPUTS'!$E$17:$E$31,MATCH(I$23,'01_INPUTS'!$B$17:$B$31,0)))</f>
        <v>1.5</v>
      </c>
      <c r="J41" s="61">
        <f>IF(INDEX('01_INPUTS'!$E$17:$E$31,MATCH(J$23,'01_INPUTS'!$B$17:$B$31,0))=0,IF(SUMIFS($AD$3:$AD$870,$AC$3:$AC$870,J$23,$AE$3:$AE$870,"&lt;="&amp;$B41,$AF$3:$AF$870,"&gt;="&amp;$B41)=0,0,9.99),SUMIFS($AD$3:$AD$870,$AC$3:$AC$870,J$23,$AE$3:$AE$870,"&lt;="&amp;$B41,$AF$3:$AF$870,"&gt;="&amp;$B41)/INDEX('01_INPUTS'!$E$17:$E$31,MATCH(J$23,'01_INPUTS'!$B$17:$B$31,0)))</f>
        <v>0</v>
      </c>
      <c r="K41" s="61">
        <f>IF(INDEX('01_INPUTS'!$E$17:$E$31,MATCH(K$23,'01_INPUTS'!$B$17:$B$31,0))=0,IF(SUMIFS($AD$3:$AD$870,$AC$3:$AC$870,K$23,$AE$3:$AE$870,"&lt;="&amp;$B41,$AF$3:$AF$870,"&gt;="&amp;$B41)=0,0,9.99),SUMIFS($AD$3:$AD$870,$AC$3:$AC$870,K$23,$AE$3:$AE$870,"&lt;="&amp;$B41,$AF$3:$AF$870,"&gt;="&amp;$B41)/INDEX('01_INPUTS'!$E$17:$E$31,MATCH(K$23,'01_INPUTS'!$B$17:$B$31,0)))</f>
        <v>1.5</v>
      </c>
      <c r="L41" s="61">
        <f>IF(INDEX('01_INPUTS'!$E$17:$E$31,MATCH(L$23,'01_INPUTS'!$B$17:$B$31,0))=0,IF(SUMIFS($AD$3:$AD$870,$AC$3:$AC$870,L$23,$AE$3:$AE$870,"&lt;="&amp;$B41,$AF$3:$AF$870,"&gt;="&amp;$B41)=0,0,9.99),SUMIFS($AD$3:$AD$870,$AC$3:$AC$870,L$23,$AE$3:$AE$870,"&lt;="&amp;$B41,$AF$3:$AF$870,"&gt;="&amp;$B41)/INDEX('01_INPUTS'!$E$17:$E$31,MATCH(L$23,'01_INPUTS'!$B$17:$B$31,0)))</f>
        <v>0</v>
      </c>
      <c r="M41" s="61">
        <f>IF(INDEX('01_INPUTS'!$E$17:$E$31,MATCH(M$23,'01_INPUTS'!$B$17:$B$31,0))=0,IF(SUMIFS($AD$3:$AD$870,$AC$3:$AC$870,M$23,$AE$3:$AE$870,"&lt;="&amp;$B41,$AF$3:$AF$870,"&gt;="&amp;$B41)=0,0,9.99),SUMIFS($AD$3:$AD$870,$AC$3:$AC$870,M$23,$AE$3:$AE$870,"&lt;="&amp;$B41,$AF$3:$AF$870,"&gt;="&amp;$B41)/INDEX('01_INPUTS'!$E$17:$E$31,MATCH(M$23,'01_INPUTS'!$B$17:$B$31,0)))</f>
        <v>0</v>
      </c>
      <c r="N41" s="61">
        <f>IF(INDEX('01_INPUTS'!$E$17:$E$31,MATCH(N$23,'01_INPUTS'!$B$17:$B$31,0))=0,IF(SUMIFS($AD$3:$AD$870,$AC$3:$AC$870,N$23,$AE$3:$AE$870,"&lt;="&amp;$B41,$AF$3:$AF$870,"&gt;="&amp;$B41)=0,0,9.99),SUMIFS($AD$3:$AD$870,$AC$3:$AC$870,N$23,$AE$3:$AE$870,"&lt;="&amp;$B41,$AF$3:$AF$870,"&gt;="&amp;$B41)/INDEX('01_INPUTS'!$E$17:$E$31,MATCH(N$23,'01_INPUTS'!$B$17:$B$31,0)))</f>
        <v>0</v>
      </c>
      <c r="O41" s="61">
        <f>IF(INDEX('01_INPUTS'!$E$17:$E$31,MATCH(O$23,'01_INPUTS'!$B$17:$B$31,0))=0,IF(SUMIFS($AD$3:$AD$870,$AC$3:$AC$870,O$23,$AE$3:$AE$870,"&lt;="&amp;$B41,$AF$3:$AF$870,"&gt;="&amp;$B41)=0,0,9.99),SUMIFS($AD$3:$AD$870,$AC$3:$AC$870,O$23,$AE$3:$AE$870,"&lt;="&amp;$B41,$AF$3:$AF$870,"&gt;="&amp;$B41)/INDEX('01_INPUTS'!$E$17:$E$31,MATCH(O$23,'01_INPUTS'!$B$17:$B$31,0)))</f>
        <v>0</v>
      </c>
      <c r="P41" s="61">
        <f>IF(INDEX('01_INPUTS'!$E$17:$E$31,MATCH(P$23,'01_INPUTS'!$B$17:$B$31,0))=0,IF(SUMIFS($AD$3:$AD$870,$AC$3:$AC$870,P$23,$AE$3:$AE$870,"&lt;="&amp;$B41,$AF$3:$AF$870,"&gt;="&amp;$B41)=0,0,9.99),SUMIFS($AD$3:$AD$870,$AC$3:$AC$870,P$23,$AE$3:$AE$870,"&lt;="&amp;$B41,$AF$3:$AF$870,"&gt;="&amp;$B41)/INDEX('01_INPUTS'!$E$17:$E$31,MATCH(P$23,'01_INPUTS'!$B$17:$B$31,0)))</f>
        <v>0</v>
      </c>
      <c r="Q41" s="61">
        <f>IF(INDEX('01_INPUTS'!$E$17:$E$31,MATCH(Q$23,'01_INPUTS'!$B$17:$B$31,0))=0,IF(SUMIFS($AD$3:$AD$870,$AC$3:$AC$870,Q$23,$AE$3:$AE$870,"&lt;="&amp;$B41,$AF$3:$AF$870,"&gt;="&amp;$B41)=0,0,9.99),SUMIFS($AD$3:$AD$870,$AC$3:$AC$870,Q$23,$AE$3:$AE$870,"&lt;="&amp;$B41,$AF$3:$AF$870,"&gt;="&amp;$B41)/INDEX('01_INPUTS'!$E$17:$E$31,MATCH(Q$23,'01_INPUTS'!$B$17:$B$31,0)))</f>
        <v>0</v>
      </c>
      <c r="R41" s="61">
        <f>IF(INDEX('01_INPUTS'!$E$17:$E$31,MATCH(R$23,'01_INPUTS'!$B$17:$B$31,0))=0,IF(SUMIFS($AD$3:$AD$870,$AC$3:$AC$870,R$23,$AE$3:$AE$870,"&lt;="&amp;$B41,$AF$3:$AF$870,"&gt;="&amp;$B41)=0,0,9.99),SUMIFS($AD$3:$AD$870,$AC$3:$AC$870,R$23,$AE$3:$AE$870,"&lt;="&amp;$B41,$AF$3:$AF$870,"&gt;="&amp;$B41)/INDEX('01_INPUTS'!$E$17:$E$31,MATCH(R$23,'01_INPUTS'!$B$17:$B$31,0)))</f>
        <v>0</v>
      </c>
      <c r="S41">
        <f t="shared" si="1"/>
        <v>4.5</v>
      </c>
      <c r="T41">
        <f>SUM('01_INPUTS'!$E$17:$E$31)</f>
        <v>20</v>
      </c>
      <c r="U41" s="61">
        <f t="shared" si="2"/>
        <v>0.22500000000000001</v>
      </c>
      <c r="V41">
        <f t="shared" si="3"/>
        <v>2</v>
      </c>
      <c r="W41" t="str">
        <f t="shared" si="4"/>
        <v>ROJO</v>
      </c>
      <c r="AA41" s="51" t="str">
        <f>'Sites Master'!$B$2</f>
        <v>Site 01</v>
      </c>
      <c r="AB41" s="51" t="str">
        <f>'Phase-Resource Allocation'!$B$102</f>
        <v>DIALT</v>
      </c>
      <c r="AC41" s="51" t="str">
        <f>'Phase-Resource Allocation'!$C$102</f>
        <v>Functional Lead Vendor A</v>
      </c>
      <c r="AD41" s="60">
        <f>'Phase-Resource Allocation'!$D$102</f>
        <v>1</v>
      </c>
      <c r="AE41" s="51">
        <f>IFERROR(INDEX('02_SCHEDULE'!$K$5:$K$124,MATCH(AA41&amp;"|"&amp;AB41,'02_SCHEDULE'!$M$5:$M$124,0)),0)</f>
        <v>11</v>
      </c>
      <c r="AF41" s="51">
        <f>IFERROR(INDEX('02_SCHEDULE'!$L$5:$L$124,MATCH(AA41&amp;"|"&amp;AB41,'02_SCHEDULE'!$M$5:$M$124,0)),0)</f>
        <v>11</v>
      </c>
      <c r="AG41" s="51">
        <f t="shared" si="0"/>
        <v>1</v>
      </c>
    </row>
    <row r="42" spans="2:33" x14ac:dyDescent="0.3">
      <c r="B42">
        <f>19</f>
        <v>19</v>
      </c>
      <c r="C42" s="55">
        <f>'01_INPUTS'!$C$7+(19-1)*7</f>
        <v>46377</v>
      </c>
      <c r="D42" s="61">
        <f>IF(INDEX('01_INPUTS'!$E$17:$E$31,MATCH(D$23,'01_INPUTS'!$B$17:$B$31,0))=0,IF(SUMIFS($AD$3:$AD$870,$AC$3:$AC$870,D$23,$AE$3:$AE$870,"&lt;="&amp;$B42,$AF$3:$AF$870,"&gt;="&amp;$B42)=0,0,9.99),SUMIFS($AD$3:$AD$870,$AC$3:$AC$870,D$23,$AE$3:$AE$870,"&lt;="&amp;$B42,$AF$3:$AF$870,"&gt;="&amp;$B42)/INDEX('01_INPUTS'!$E$17:$E$31,MATCH(D$23,'01_INPUTS'!$B$17:$B$31,0)))</f>
        <v>0</v>
      </c>
      <c r="E42" s="61">
        <f>IF(INDEX('01_INPUTS'!$E$17:$E$31,MATCH(E$23,'01_INPUTS'!$B$17:$B$31,0))=0,IF(SUMIFS($AD$3:$AD$870,$AC$3:$AC$870,E$23,$AE$3:$AE$870,"&lt;="&amp;$B42,$AF$3:$AF$870,"&gt;="&amp;$B42)=0,0,9.99),SUMIFS($AD$3:$AD$870,$AC$3:$AC$870,E$23,$AE$3:$AE$870,"&lt;="&amp;$B42,$AF$3:$AF$870,"&gt;="&amp;$B42)/INDEX('01_INPUTS'!$E$17:$E$31,MATCH(E$23,'01_INPUTS'!$B$17:$B$31,0)))</f>
        <v>0</v>
      </c>
      <c r="F42" s="61">
        <f>IF(INDEX('01_INPUTS'!$E$17:$E$31,MATCH(F$23,'01_INPUTS'!$B$17:$B$31,0))=0,IF(SUMIFS($AD$3:$AD$870,$AC$3:$AC$870,F$23,$AE$3:$AE$870,"&lt;="&amp;$B42,$AF$3:$AF$870,"&gt;="&amp;$B42)=0,0,9.99),SUMIFS($AD$3:$AD$870,$AC$3:$AC$870,F$23,$AE$3:$AE$870,"&lt;="&amp;$B42,$AF$3:$AF$870,"&gt;="&amp;$B42)/INDEX('01_INPUTS'!$E$17:$E$31,MATCH(F$23,'01_INPUTS'!$B$17:$B$31,0)))</f>
        <v>0</v>
      </c>
      <c r="G42" s="61">
        <f>IF(INDEX('01_INPUTS'!$E$17:$E$31,MATCH(G$23,'01_INPUTS'!$B$17:$B$31,0))=0,IF(SUMIFS($AD$3:$AD$870,$AC$3:$AC$870,G$23,$AE$3:$AE$870,"&lt;="&amp;$B42,$AF$3:$AF$870,"&gt;="&amp;$B42)=0,0,9.99),SUMIFS($AD$3:$AD$870,$AC$3:$AC$870,G$23,$AE$3:$AE$870,"&lt;="&amp;$B42,$AF$3:$AF$870,"&gt;="&amp;$B42)/INDEX('01_INPUTS'!$E$17:$E$31,MATCH(G$23,'01_INPUTS'!$B$17:$B$31,0)))</f>
        <v>0</v>
      </c>
      <c r="H42" s="61">
        <f>IF(INDEX('01_INPUTS'!$E$17:$E$31,MATCH(H$23,'01_INPUTS'!$B$17:$B$31,0))=0,IF(SUMIFS($AD$3:$AD$870,$AC$3:$AC$870,H$23,$AE$3:$AE$870,"&lt;="&amp;$B42,$AF$3:$AF$870,"&gt;="&amp;$B42)=0,0,9.99),SUMIFS($AD$3:$AD$870,$AC$3:$AC$870,H$23,$AE$3:$AE$870,"&lt;="&amp;$B42,$AF$3:$AF$870,"&gt;="&amp;$B42)/INDEX('01_INPUTS'!$E$17:$E$31,MATCH(H$23,'01_INPUTS'!$B$17:$B$31,0)))</f>
        <v>0</v>
      </c>
      <c r="I42" s="61">
        <f>IF(INDEX('01_INPUTS'!$E$17:$E$31,MATCH(I$23,'01_INPUTS'!$B$17:$B$31,0))=0,IF(SUMIFS($AD$3:$AD$870,$AC$3:$AC$870,I$23,$AE$3:$AE$870,"&lt;="&amp;$B42,$AF$3:$AF$870,"&gt;="&amp;$B42)=0,0,9.99),SUMIFS($AD$3:$AD$870,$AC$3:$AC$870,I$23,$AE$3:$AE$870,"&lt;="&amp;$B42,$AF$3:$AF$870,"&gt;="&amp;$B42)/INDEX('01_INPUTS'!$E$17:$E$31,MATCH(I$23,'01_INPUTS'!$B$17:$B$31,0)))</f>
        <v>1.5</v>
      </c>
      <c r="J42" s="61">
        <f>IF(INDEX('01_INPUTS'!$E$17:$E$31,MATCH(J$23,'01_INPUTS'!$B$17:$B$31,0))=0,IF(SUMIFS($AD$3:$AD$870,$AC$3:$AC$870,J$23,$AE$3:$AE$870,"&lt;="&amp;$B42,$AF$3:$AF$870,"&gt;="&amp;$B42)=0,0,9.99),SUMIFS($AD$3:$AD$870,$AC$3:$AC$870,J$23,$AE$3:$AE$870,"&lt;="&amp;$B42,$AF$3:$AF$870,"&gt;="&amp;$B42)/INDEX('01_INPUTS'!$E$17:$E$31,MATCH(J$23,'01_INPUTS'!$B$17:$B$31,0)))</f>
        <v>0</v>
      </c>
      <c r="K42" s="61">
        <f>IF(INDEX('01_INPUTS'!$E$17:$E$31,MATCH(K$23,'01_INPUTS'!$B$17:$B$31,0))=0,IF(SUMIFS($AD$3:$AD$870,$AC$3:$AC$870,K$23,$AE$3:$AE$870,"&lt;="&amp;$B42,$AF$3:$AF$870,"&gt;="&amp;$B42)=0,0,9.99),SUMIFS($AD$3:$AD$870,$AC$3:$AC$870,K$23,$AE$3:$AE$870,"&lt;="&amp;$B42,$AF$3:$AF$870,"&gt;="&amp;$B42)/INDEX('01_INPUTS'!$E$17:$E$31,MATCH(K$23,'01_INPUTS'!$B$17:$B$31,0)))</f>
        <v>1.5</v>
      </c>
      <c r="L42" s="61">
        <f>IF(INDEX('01_INPUTS'!$E$17:$E$31,MATCH(L$23,'01_INPUTS'!$B$17:$B$31,0))=0,IF(SUMIFS($AD$3:$AD$870,$AC$3:$AC$870,L$23,$AE$3:$AE$870,"&lt;="&amp;$B42,$AF$3:$AF$870,"&gt;="&amp;$B42)=0,0,9.99),SUMIFS($AD$3:$AD$870,$AC$3:$AC$870,L$23,$AE$3:$AE$870,"&lt;="&amp;$B42,$AF$3:$AF$870,"&gt;="&amp;$B42)/INDEX('01_INPUTS'!$E$17:$E$31,MATCH(L$23,'01_INPUTS'!$B$17:$B$31,0)))</f>
        <v>0</v>
      </c>
      <c r="M42" s="61">
        <f>IF(INDEX('01_INPUTS'!$E$17:$E$31,MATCH(M$23,'01_INPUTS'!$B$17:$B$31,0))=0,IF(SUMIFS($AD$3:$AD$870,$AC$3:$AC$870,M$23,$AE$3:$AE$870,"&lt;="&amp;$B42,$AF$3:$AF$870,"&gt;="&amp;$B42)=0,0,9.99),SUMIFS($AD$3:$AD$870,$AC$3:$AC$870,M$23,$AE$3:$AE$870,"&lt;="&amp;$B42,$AF$3:$AF$870,"&gt;="&amp;$B42)/INDEX('01_INPUTS'!$E$17:$E$31,MATCH(M$23,'01_INPUTS'!$B$17:$B$31,0)))</f>
        <v>0</v>
      </c>
      <c r="N42" s="61">
        <f>IF(INDEX('01_INPUTS'!$E$17:$E$31,MATCH(N$23,'01_INPUTS'!$B$17:$B$31,0))=0,IF(SUMIFS($AD$3:$AD$870,$AC$3:$AC$870,N$23,$AE$3:$AE$870,"&lt;="&amp;$B42,$AF$3:$AF$870,"&gt;="&amp;$B42)=0,0,9.99),SUMIFS($AD$3:$AD$870,$AC$3:$AC$870,N$23,$AE$3:$AE$870,"&lt;="&amp;$B42,$AF$3:$AF$870,"&gt;="&amp;$B42)/INDEX('01_INPUTS'!$E$17:$E$31,MATCH(N$23,'01_INPUTS'!$B$17:$B$31,0)))</f>
        <v>0</v>
      </c>
      <c r="O42" s="61">
        <f>IF(INDEX('01_INPUTS'!$E$17:$E$31,MATCH(O$23,'01_INPUTS'!$B$17:$B$31,0))=0,IF(SUMIFS($AD$3:$AD$870,$AC$3:$AC$870,O$23,$AE$3:$AE$870,"&lt;="&amp;$B42,$AF$3:$AF$870,"&gt;="&amp;$B42)=0,0,9.99),SUMIFS($AD$3:$AD$870,$AC$3:$AC$870,O$23,$AE$3:$AE$870,"&lt;="&amp;$B42,$AF$3:$AF$870,"&gt;="&amp;$B42)/INDEX('01_INPUTS'!$E$17:$E$31,MATCH(O$23,'01_INPUTS'!$B$17:$B$31,0)))</f>
        <v>0</v>
      </c>
      <c r="P42" s="61">
        <f>IF(INDEX('01_INPUTS'!$E$17:$E$31,MATCH(P$23,'01_INPUTS'!$B$17:$B$31,0))=0,IF(SUMIFS($AD$3:$AD$870,$AC$3:$AC$870,P$23,$AE$3:$AE$870,"&lt;="&amp;$B42,$AF$3:$AF$870,"&gt;="&amp;$B42)=0,0,9.99),SUMIFS($AD$3:$AD$870,$AC$3:$AC$870,P$23,$AE$3:$AE$870,"&lt;="&amp;$B42,$AF$3:$AF$870,"&gt;="&amp;$B42)/INDEX('01_INPUTS'!$E$17:$E$31,MATCH(P$23,'01_INPUTS'!$B$17:$B$31,0)))</f>
        <v>0</v>
      </c>
      <c r="Q42" s="61">
        <f>IF(INDEX('01_INPUTS'!$E$17:$E$31,MATCH(Q$23,'01_INPUTS'!$B$17:$B$31,0))=0,IF(SUMIFS($AD$3:$AD$870,$AC$3:$AC$870,Q$23,$AE$3:$AE$870,"&lt;="&amp;$B42,$AF$3:$AF$870,"&gt;="&amp;$B42)=0,0,9.99),SUMIFS($AD$3:$AD$870,$AC$3:$AC$870,Q$23,$AE$3:$AE$870,"&lt;="&amp;$B42,$AF$3:$AF$870,"&gt;="&amp;$B42)/INDEX('01_INPUTS'!$E$17:$E$31,MATCH(Q$23,'01_INPUTS'!$B$17:$B$31,0)))</f>
        <v>0</v>
      </c>
      <c r="R42" s="61">
        <f>IF(INDEX('01_INPUTS'!$E$17:$E$31,MATCH(R$23,'01_INPUTS'!$B$17:$B$31,0))=0,IF(SUMIFS($AD$3:$AD$870,$AC$3:$AC$870,R$23,$AE$3:$AE$870,"&lt;="&amp;$B42,$AF$3:$AF$870,"&gt;="&amp;$B42)=0,0,9.99),SUMIFS($AD$3:$AD$870,$AC$3:$AC$870,R$23,$AE$3:$AE$870,"&lt;="&amp;$B42,$AF$3:$AF$870,"&gt;="&amp;$B42)/INDEX('01_INPUTS'!$E$17:$E$31,MATCH(R$23,'01_INPUTS'!$B$17:$B$31,0)))</f>
        <v>0</v>
      </c>
      <c r="S42">
        <f t="shared" si="1"/>
        <v>4.5</v>
      </c>
      <c r="T42">
        <f>SUM('01_INPUTS'!$E$17:$E$31)</f>
        <v>20</v>
      </c>
      <c r="U42" s="61">
        <f t="shared" si="2"/>
        <v>0.22500000000000001</v>
      </c>
      <c r="V42">
        <f t="shared" si="3"/>
        <v>2</v>
      </c>
      <c r="W42" t="str">
        <f t="shared" si="4"/>
        <v>ROJO</v>
      </c>
      <c r="AA42" s="51" t="str">
        <f>'Sites Master'!$B$2</f>
        <v>Site 01</v>
      </c>
      <c r="AB42" s="51" t="str">
        <f>'Phase-Resource Allocation'!$B$103</f>
        <v>Go Live</v>
      </c>
      <c r="AC42" s="51" t="str">
        <f>'Phase-Resource Allocation'!$C$103</f>
        <v>Solution Architect</v>
      </c>
      <c r="AD42" s="60">
        <f>'Phase-Resource Allocation'!$D$103</f>
        <v>1</v>
      </c>
      <c r="AE42" s="51">
        <f>IFERROR(INDEX('02_SCHEDULE'!$K$5:$K$124,MATCH(AA42&amp;"|"&amp;AB42,'02_SCHEDULE'!$M$5:$M$124,0)),0)</f>
        <v>12</v>
      </c>
      <c r="AF42" s="51">
        <f>IFERROR(INDEX('02_SCHEDULE'!$L$5:$L$124,MATCH(AA42&amp;"|"&amp;AB42,'02_SCHEDULE'!$M$5:$M$124,0)),0)</f>
        <v>12</v>
      </c>
      <c r="AG42" s="51">
        <f t="shared" si="0"/>
        <v>1</v>
      </c>
    </row>
    <row r="43" spans="2:33" x14ac:dyDescent="0.3">
      <c r="B43">
        <f>20</f>
        <v>20</v>
      </c>
      <c r="C43" s="55">
        <f>'01_INPUTS'!$C$7+(20-1)*7</f>
        <v>46384</v>
      </c>
      <c r="D43" s="61">
        <f>IF(INDEX('01_INPUTS'!$E$17:$E$31,MATCH(D$23,'01_INPUTS'!$B$17:$B$31,0))=0,IF(SUMIFS($AD$3:$AD$870,$AC$3:$AC$870,D$23,$AE$3:$AE$870,"&lt;="&amp;$B43,$AF$3:$AF$870,"&gt;="&amp;$B43)=0,0,9.99),SUMIFS($AD$3:$AD$870,$AC$3:$AC$870,D$23,$AE$3:$AE$870,"&lt;="&amp;$B43,$AF$3:$AF$870,"&gt;="&amp;$B43)/INDEX('01_INPUTS'!$E$17:$E$31,MATCH(D$23,'01_INPUTS'!$B$17:$B$31,0)))</f>
        <v>0</v>
      </c>
      <c r="E43" s="61">
        <f>IF(INDEX('01_INPUTS'!$E$17:$E$31,MATCH(E$23,'01_INPUTS'!$B$17:$B$31,0))=0,IF(SUMIFS($AD$3:$AD$870,$AC$3:$AC$870,E$23,$AE$3:$AE$870,"&lt;="&amp;$B43,$AF$3:$AF$870,"&gt;="&amp;$B43)=0,0,9.99),SUMIFS($AD$3:$AD$870,$AC$3:$AC$870,E$23,$AE$3:$AE$870,"&lt;="&amp;$B43,$AF$3:$AF$870,"&gt;="&amp;$B43)/INDEX('01_INPUTS'!$E$17:$E$31,MATCH(E$23,'01_INPUTS'!$B$17:$B$31,0)))</f>
        <v>0</v>
      </c>
      <c r="F43" s="61">
        <f>IF(INDEX('01_INPUTS'!$E$17:$E$31,MATCH(F$23,'01_INPUTS'!$B$17:$B$31,0))=0,IF(SUMIFS($AD$3:$AD$870,$AC$3:$AC$870,F$23,$AE$3:$AE$870,"&lt;="&amp;$B43,$AF$3:$AF$870,"&gt;="&amp;$B43)=0,0,9.99),SUMIFS($AD$3:$AD$870,$AC$3:$AC$870,F$23,$AE$3:$AE$870,"&lt;="&amp;$B43,$AF$3:$AF$870,"&gt;="&amp;$B43)/INDEX('01_INPUTS'!$E$17:$E$31,MATCH(F$23,'01_INPUTS'!$B$17:$B$31,0)))</f>
        <v>0</v>
      </c>
      <c r="G43" s="61">
        <f>IF(INDEX('01_INPUTS'!$E$17:$E$31,MATCH(G$23,'01_INPUTS'!$B$17:$B$31,0))=0,IF(SUMIFS($AD$3:$AD$870,$AC$3:$AC$870,G$23,$AE$3:$AE$870,"&lt;="&amp;$B43,$AF$3:$AF$870,"&gt;="&amp;$B43)=0,0,9.99),SUMIFS($AD$3:$AD$870,$AC$3:$AC$870,G$23,$AE$3:$AE$870,"&lt;="&amp;$B43,$AF$3:$AF$870,"&gt;="&amp;$B43)/INDEX('01_INPUTS'!$E$17:$E$31,MATCH(G$23,'01_INPUTS'!$B$17:$B$31,0)))</f>
        <v>0</v>
      </c>
      <c r="H43" s="61">
        <f>IF(INDEX('01_INPUTS'!$E$17:$E$31,MATCH(H$23,'01_INPUTS'!$B$17:$B$31,0))=0,IF(SUMIFS($AD$3:$AD$870,$AC$3:$AC$870,H$23,$AE$3:$AE$870,"&lt;="&amp;$B43,$AF$3:$AF$870,"&gt;="&amp;$B43)=0,0,9.99),SUMIFS($AD$3:$AD$870,$AC$3:$AC$870,H$23,$AE$3:$AE$870,"&lt;="&amp;$B43,$AF$3:$AF$870,"&gt;="&amp;$B43)/INDEX('01_INPUTS'!$E$17:$E$31,MATCH(H$23,'01_INPUTS'!$B$17:$B$31,0)))</f>
        <v>0</v>
      </c>
      <c r="I43" s="61">
        <f>IF(INDEX('01_INPUTS'!$E$17:$E$31,MATCH(I$23,'01_INPUTS'!$B$17:$B$31,0))=0,IF(SUMIFS($AD$3:$AD$870,$AC$3:$AC$870,I$23,$AE$3:$AE$870,"&lt;="&amp;$B43,$AF$3:$AF$870,"&gt;="&amp;$B43)=0,0,9.99),SUMIFS($AD$3:$AD$870,$AC$3:$AC$870,I$23,$AE$3:$AE$870,"&lt;="&amp;$B43,$AF$3:$AF$870,"&gt;="&amp;$B43)/INDEX('01_INPUTS'!$E$17:$E$31,MATCH(I$23,'01_INPUTS'!$B$17:$B$31,0)))</f>
        <v>1.5</v>
      </c>
      <c r="J43" s="61">
        <f>IF(INDEX('01_INPUTS'!$E$17:$E$31,MATCH(J$23,'01_INPUTS'!$B$17:$B$31,0))=0,IF(SUMIFS($AD$3:$AD$870,$AC$3:$AC$870,J$23,$AE$3:$AE$870,"&lt;="&amp;$B43,$AF$3:$AF$870,"&gt;="&amp;$B43)=0,0,9.99),SUMIFS($AD$3:$AD$870,$AC$3:$AC$870,J$23,$AE$3:$AE$870,"&lt;="&amp;$B43,$AF$3:$AF$870,"&gt;="&amp;$B43)/INDEX('01_INPUTS'!$E$17:$E$31,MATCH(J$23,'01_INPUTS'!$B$17:$B$31,0)))</f>
        <v>0</v>
      </c>
      <c r="K43" s="61">
        <f>IF(INDEX('01_INPUTS'!$E$17:$E$31,MATCH(K$23,'01_INPUTS'!$B$17:$B$31,0))=0,IF(SUMIFS($AD$3:$AD$870,$AC$3:$AC$870,K$23,$AE$3:$AE$870,"&lt;="&amp;$B43,$AF$3:$AF$870,"&gt;="&amp;$B43)=0,0,9.99),SUMIFS($AD$3:$AD$870,$AC$3:$AC$870,K$23,$AE$3:$AE$870,"&lt;="&amp;$B43,$AF$3:$AF$870,"&gt;="&amp;$B43)/INDEX('01_INPUTS'!$E$17:$E$31,MATCH(K$23,'01_INPUTS'!$B$17:$B$31,0)))</f>
        <v>1.5</v>
      </c>
      <c r="L43" s="61">
        <f>IF(INDEX('01_INPUTS'!$E$17:$E$31,MATCH(L$23,'01_INPUTS'!$B$17:$B$31,0))=0,IF(SUMIFS($AD$3:$AD$870,$AC$3:$AC$870,L$23,$AE$3:$AE$870,"&lt;="&amp;$B43,$AF$3:$AF$870,"&gt;="&amp;$B43)=0,0,9.99),SUMIFS($AD$3:$AD$870,$AC$3:$AC$870,L$23,$AE$3:$AE$870,"&lt;="&amp;$B43,$AF$3:$AF$870,"&gt;="&amp;$B43)/INDEX('01_INPUTS'!$E$17:$E$31,MATCH(L$23,'01_INPUTS'!$B$17:$B$31,0)))</f>
        <v>0</v>
      </c>
      <c r="M43" s="61">
        <f>IF(INDEX('01_INPUTS'!$E$17:$E$31,MATCH(M$23,'01_INPUTS'!$B$17:$B$31,0))=0,IF(SUMIFS($AD$3:$AD$870,$AC$3:$AC$870,M$23,$AE$3:$AE$870,"&lt;="&amp;$B43,$AF$3:$AF$870,"&gt;="&amp;$B43)=0,0,9.99),SUMIFS($AD$3:$AD$870,$AC$3:$AC$870,M$23,$AE$3:$AE$870,"&lt;="&amp;$B43,$AF$3:$AF$870,"&gt;="&amp;$B43)/INDEX('01_INPUTS'!$E$17:$E$31,MATCH(M$23,'01_INPUTS'!$B$17:$B$31,0)))</f>
        <v>0</v>
      </c>
      <c r="N43" s="61">
        <f>IF(INDEX('01_INPUTS'!$E$17:$E$31,MATCH(N$23,'01_INPUTS'!$B$17:$B$31,0))=0,IF(SUMIFS($AD$3:$AD$870,$AC$3:$AC$870,N$23,$AE$3:$AE$870,"&lt;="&amp;$B43,$AF$3:$AF$870,"&gt;="&amp;$B43)=0,0,9.99),SUMIFS($AD$3:$AD$870,$AC$3:$AC$870,N$23,$AE$3:$AE$870,"&lt;="&amp;$B43,$AF$3:$AF$870,"&gt;="&amp;$B43)/INDEX('01_INPUTS'!$E$17:$E$31,MATCH(N$23,'01_INPUTS'!$B$17:$B$31,0)))</f>
        <v>0</v>
      </c>
      <c r="O43" s="61">
        <f>IF(INDEX('01_INPUTS'!$E$17:$E$31,MATCH(O$23,'01_INPUTS'!$B$17:$B$31,0))=0,IF(SUMIFS($AD$3:$AD$870,$AC$3:$AC$870,O$23,$AE$3:$AE$870,"&lt;="&amp;$B43,$AF$3:$AF$870,"&gt;="&amp;$B43)=0,0,9.99),SUMIFS($AD$3:$AD$870,$AC$3:$AC$870,O$23,$AE$3:$AE$870,"&lt;="&amp;$B43,$AF$3:$AF$870,"&gt;="&amp;$B43)/INDEX('01_INPUTS'!$E$17:$E$31,MATCH(O$23,'01_INPUTS'!$B$17:$B$31,0)))</f>
        <v>0</v>
      </c>
      <c r="P43" s="61">
        <f>IF(INDEX('01_INPUTS'!$E$17:$E$31,MATCH(P$23,'01_INPUTS'!$B$17:$B$31,0))=0,IF(SUMIFS($AD$3:$AD$870,$AC$3:$AC$870,P$23,$AE$3:$AE$870,"&lt;="&amp;$B43,$AF$3:$AF$870,"&gt;="&amp;$B43)=0,0,9.99),SUMIFS($AD$3:$AD$870,$AC$3:$AC$870,P$23,$AE$3:$AE$870,"&lt;="&amp;$B43,$AF$3:$AF$870,"&gt;="&amp;$B43)/INDEX('01_INPUTS'!$E$17:$E$31,MATCH(P$23,'01_INPUTS'!$B$17:$B$31,0)))</f>
        <v>0</v>
      </c>
      <c r="Q43" s="61">
        <f>IF(INDEX('01_INPUTS'!$E$17:$E$31,MATCH(Q$23,'01_INPUTS'!$B$17:$B$31,0))=0,IF(SUMIFS($AD$3:$AD$870,$AC$3:$AC$870,Q$23,$AE$3:$AE$870,"&lt;="&amp;$B43,$AF$3:$AF$870,"&gt;="&amp;$B43)=0,0,9.99),SUMIFS($AD$3:$AD$870,$AC$3:$AC$870,Q$23,$AE$3:$AE$870,"&lt;="&amp;$B43,$AF$3:$AF$870,"&gt;="&amp;$B43)/INDEX('01_INPUTS'!$E$17:$E$31,MATCH(Q$23,'01_INPUTS'!$B$17:$B$31,0)))</f>
        <v>0</v>
      </c>
      <c r="R43" s="61">
        <f>IF(INDEX('01_INPUTS'!$E$17:$E$31,MATCH(R$23,'01_INPUTS'!$B$17:$B$31,0))=0,IF(SUMIFS($AD$3:$AD$870,$AC$3:$AC$870,R$23,$AE$3:$AE$870,"&lt;="&amp;$B43,$AF$3:$AF$870,"&gt;="&amp;$B43)=0,0,9.99),SUMIFS($AD$3:$AD$870,$AC$3:$AC$870,R$23,$AE$3:$AE$870,"&lt;="&amp;$B43,$AF$3:$AF$870,"&gt;="&amp;$B43)/INDEX('01_INPUTS'!$E$17:$E$31,MATCH(R$23,'01_INPUTS'!$B$17:$B$31,0)))</f>
        <v>0</v>
      </c>
      <c r="S43">
        <f t="shared" si="1"/>
        <v>4.5</v>
      </c>
      <c r="T43">
        <f>SUM('01_INPUTS'!$E$17:$E$31)</f>
        <v>20</v>
      </c>
      <c r="U43" s="61">
        <f t="shared" si="2"/>
        <v>0.22500000000000001</v>
      </c>
      <c r="V43">
        <f t="shared" si="3"/>
        <v>2</v>
      </c>
      <c r="W43" t="str">
        <f t="shared" si="4"/>
        <v>ROJO</v>
      </c>
      <c r="AA43" s="51" t="str">
        <f>'Sites Master'!$B$2</f>
        <v>Site 01</v>
      </c>
      <c r="AB43" s="51" t="str">
        <f>'Phase-Resource Allocation'!$B$104</f>
        <v>Go Live</v>
      </c>
      <c r="AC43" s="51" t="str">
        <f>'Phase-Resource Allocation'!$C$104</f>
        <v>Change Management Lead</v>
      </c>
      <c r="AD43" s="60">
        <f>'Phase-Resource Allocation'!$D$104</f>
        <v>1</v>
      </c>
      <c r="AE43" s="51">
        <f>IFERROR(INDEX('02_SCHEDULE'!$K$5:$K$124,MATCH(AA43&amp;"|"&amp;AB43,'02_SCHEDULE'!$M$5:$M$124,0)),0)</f>
        <v>12</v>
      </c>
      <c r="AF43" s="51">
        <f>IFERROR(INDEX('02_SCHEDULE'!$L$5:$L$124,MATCH(AA43&amp;"|"&amp;AB43,'02_SCHEDULE'!$M$5:$M$124,0)),0)</f>
        <v>12</v>
      </c>
      <c r="AG43" s="51">
        <f t="shared" si="0"/>
        <v>1</v>
      </c>
    </row>
    <row r="44" spans="2:33" x14ac:dyDescent="0.3">
      <c r="B44">
        <f>21</f>
        <v>21</v>
      </c>
      <c r="C44" s="55">
        <f>'01_INPUTS'!$C$7+(21-1)*7</f>
        <v>46391</v>
      </c>
      <c r="D44" s="61">
        <f>IF(INDEX('01_INPUTS'!$E$17:$E$31,MATCH(D$23,'01_INPUTS'!$B$17:$B$31,0))=0,IF(SUMIFS($AD$3:$AD$870,$AC$3:$AC$870,D$23,$AE$3:$AE$870,"&lt;="&amp;$B44,$AF$3:$AF$870,"&gt;="&amp;$B44)=0,0,9.99),SUMIFS($AD$3:$AD$870,$AC$3:$AC$870,D$23,$AE$3:$AE$870,"&lt;="&amp;$B44,$AF$3:$AF$870,"&gt;="&amp;$B44)/INDEX('01_INPUTS'!$E$17:$E$31,MATCH(D$23,'01_INPUTS'!$B$17:$B$31,0)))</f>
        <v>2</v>
      </c>
      <c r="E44" s="61">
        <f>IF(INDEX('01_INPUTS'!$E$17:$E$31,MATCH(E$23,'01_INPUTS'!$B$17:$B$31,0))=0,IF(SUMIFS($AD$3:$AD$870,$AC$3:$AC$870,E$23,$AE$3:$AE$870,"&lt;="&amp;$B44,$AF$3:$AF$870,"&gt;="&amp;$B44)=0,0,9.99),SUMIFS($AD$3:$AD$870,$AC$3:$AC$870,E$23,$AE$3:$AE$870,"&lt;="&amp;$B44,$AF$3:$AF$870,"&gt;="&amp;$B44)/INDEX('01_INPUTS'!$E$17:$E$31,MATCH(E$23,'01_INPUTS'!$B$17:$B$31,0)))</f>
        <v>0</v>
      </c>
      <c r="F44" s="61">
        <f>IF(INDEX('01_INPUTS'!$E$17:$E$31,MATCH(F$23,'01_INPUTS'!$B$17:$B$31,0))=0,IF(SUMIFS($AD$3:$AD$870,$AC$3:$AC$870,F$23,$AE$3:$AE$870,"&lt;="&amp;$B44,$AF$3:$AF$870,"&gt;="&amp;$B44)=0,0,9.99),SUMIFS($AD$3:$AD$870,$AC$3:$AC$870,F$23,$AE$3:$AE$870,"&lt;="&amp;$B44,$AF$3:$AF$870,"&gt;="&amp;$B44)/INDEX('01_INPUTS'!$E$17:$E$31,MATCH(F$23,'01_INPUTS'!$B$17:$B$31,0)))</f>
        <v>0</v>
      </c>
      <c r="G44" s="61">
        <f>IF(INDEX('01_INPUTS'!$E$17:$E$31,MATCH(G$23,'01_INPUTS'!$B$17:$B$31,0))=0,IF(SUMIFS($AD$3:$AD$870,$AC$3:$AC$870,G$23,$AE$3:$AE$870,"&lt;="&amp;$B44,$AF$3:$AF$870,"&gt;="&amp;$B44)=0,0,9.99),SUMIFS($AD$3:$AD$870,$AC$3:$AC$870,G$23,$AE$3:$AE$870,"&lt;="&amp;$B44,$AF$3:$AF$870,"&gt;="&amp;$B44)/INDEX('01_INPUTS'!$E$17:$E$31,MATCH(G$23,'01_INPUTS'!$B$17:$B$31,0)))</f>
        <v>0</v>
      </c>
      <c r="H44" s="61">
        <f>IF(INDEX('01_INPUTS'!$E$17:$E$31,MATCH(H$23,'01_INPUTS'!$B$17:$B$31,0))=0,IF(SUMIFS($AD$3:$AD$870,$AC$3:$AC$870,H$23,$AE$3:$AE$870,"&lt;="&amp;$B44,$AF$3:$AF$870,"&gt;="&amp;$B44)=0,0,9.99),SUMIFS($AD$3:$AD$870,$AC$3:$AC$870,H$23,$AE$3:$AE$870,"&lt;="&amp;$B44,$AF$3:$AF$870,"&gt;="&amp;$B44)/INDEX('01_INPUTS'!$E$17:$E$31,MATCH(H$23,'01_INPUTS'!$B$17:$B$31,0)))</f>
        <v>0</v>
      </c>
      <c r="I44" s="61">
        <f>IF(INDEX('01_INPUTS'!$E$17:$E$31,MATCH(I$23,'01_INPUTS'!$B$17:$B$31,0))=0,IF(SUMIFS($AD$3:$AD$870,$AC$3:$AC$870,I$23,$AE$3:$AE$870,"&lt;="&amp;$B44,$AF$3:$AF$870,"&gt;="&amp;$B44)=0,0,9.99),SUMIFS($AD$3:$AD$870,$AC$3:$AC$870,I$23,$AE$3:$AE$870,"&lt;="&amp;$B44,$AF$3:$AF$870,"&gt;="&amp;$B44)/INDEX('01_INPUTS'!$E$17:$E$31,MATCH(I$23,'01_INPUTS'!$B$17:$B$31,0)))</f>
        <v>1.5</v>
      </c>
      <c r="J44" s="61">
        <f>IF(INDEX('01_INPUTS'!$E$17:$E$31,MATCH(J$23,'01_INPUTS'!$B$17:$B$31,0))=0,IF(SUMIFS($AD$3:$AD$870,$AC$3:$AC$870,J$23,$AE$3:$AE$870,"&lt;="&amp;$B44,$AF$3:$AF$870,"&gt;="&amp;$B44)=0,0,9.99),SUMIFS($AD$3:$AD$870,$AC$3:$AC$870,J$23,$AE$3:$AE$870,"&lt;="&amp;$B44,$AF$3:$AF$870,"&gt;="&amp;$B44)/INDEX('01_INPUTS'!$E$17:$E$31,MATCH(J$23,'01_INPUTS'!$B$17:$B$31,0)))</f>
        <v>1</v>
      </c>
      <c r="K44" s="61">
        <f>IF(INDEX('01_INPUTS'!$E$17:$E$31,MATCH(K$23,'01_INPUTS'!$B$17:$B$31,0))=0,IF(SUMIFS($AD$3:$AD$870,$AC$3:$AC$870,K$23,$AE$3:$AE$870,"&lt;="&amp;$B44,$AF$3:$AF$870,"&gt;="&amp;$B44)=0,0,9.99),SUMIFS($AD$3:$AD$870,$AC$3:$AC$870,K$23,$AE$3:$AE$870,"&lt;="&amp;$B44,$AF$3:$AF$870,"&gt;="&amp;$B44)/INDEX('01_INPUTS'!$E$17:$E$31,MATCH(K$23,'01_INPUTS'!$B$17:$B$31,0)))</f>
        <v>1.5</v>
      </c>
      <c r="L44" s="61">
        <f>IF(INDEX('01_INPUTS'!$E$17:$E$31,MATCH(L$23,'01_INPUTS'!$B$17:$B$31,0))=0,IF(SUMIFS($AD$3:$AD$870,$AC$3:$AC$870,L$23,$AE$3:$AE$870,"&lt;="&amp;$B44,$AF$3:$AF$870,"&gt;="&amp;$B44)=0,0,9.99),SUMIFS($AD$3:$AD$870,$AC$3:$AC$870,L$23,$AE$3:$AE$870,"&lt;="&amp;$B44,$AF$3:$AF$870,"&gt;="&amp;$B44)/INDEX('01_INPUTS'!$E$17:$E$31,MATCH(L$23,'01_INPUTS'!$B$17:$B$31,0)))</f>
        <v>1</v>
      </c>
      <c r="M44" s="61">
        <f>IF(INDEX('01_INPUTS'!$E$17:$E$31,MATCH(M$23,'01_INPUTS'!$B$17:$B$31,0))=0,IF(SUMIFS($AD$3:$AD$870,$AC$3:$AC$870,M$23,$AE$3:$AE$870,"&lt;="&amp;$B44,$AF$3:$AF$870,"&gt;="&amp;$B44)=0,0,9.99),SUMIFS($AD$3:$AD$870,$AC$3:$AC$870,M$23,$AE$3:$AE$870,"&lt;="&amp;$B44,$AF$3:$AF$870,"&gt;="&amp;$B44)/INDEX('01_INPUTS'!$E$17:$E$31,MATCH(M$23,'01_INPUTS'!$B$17:$B$31,0)))</f>
        <v>1</v>
      </c>
      <c r="N44" s="61">
        <f>IF(INDEX('01_INPUTS'!$E$17:$E$31,MATCH(N$23,'01_INPUTS'!$B$17:$B$31,0))=0,IF(SUMIFS($AD$3:$AD$870,$AC$3:$AC$870,N$23,$AE$3:$AE$870,"&lt;="&amp;$B44,$AF$3:$AF$870,"&gt;="&amp;$B44)=0,0,9.99),SUMIFS($AD$3:$AD$870,$AC$3:$AC$870,N$23,$AE$3:$AE$870,"&lt;="&amp;$B44,$AF$3:$AF$870,"&gt;="&amp;$B44)/INDEX('01_INPUTS'!$E$17:$E$31,MATCH(N$23,'01_INPUTS'!$B$17:$B$31,0)))</f>
        <v>1</v>
      </c>
      <c r="O44" s="61">
        <f>IF(INDEX('01_INPUTS'!$E$17:$E$31,MATCH(O$23,'01_INPUTS'!$B$17:$B$31,0))=0,IF(SUMIFS($AD$3:$AD$870,$AC$3:$AC$870,O$23,$AE$3:$AE$870,"&lt;="&amp;$B44,$AF$3:$AF$870,"&gt;="&amp;$B44)=0,0,9.99),SUMIFS($AD$3:$AD$870,$AC$3:$AC$870,O$23,$AE$3:$AE$870,"&lt;="&amp;$B44,$AF$3:$AF$870,"&gt;="&amp;$B44)/INDEX('01_INPUTS'!$E$17:$E$31,MATCH(O$23,'01_INPUTS'!$B$17:$B$31,0)))</f>
        <v>2</v>
      </c>
      <c r="P44" s="61">
        <f>IF(INDEX('01_INPUTS'!$E$17:$E$31,MATCH(P$23,'01_INPUTS'!$B$17:$B$31,0))=0,IF(SUMIFS($AD$3:$AD$870,$AC$3:$AC$870,P$23,$AE$3:$AE$870,"&lt;="&amp;$B44,$AF$3:$AF$870,"&gt;="&amp;$B44)=0,0,9.99),SUMIFS($AD$3:$AD$870,$AC$3:$AC$870,P$23,$AE$3:$AE$870,"&lt;="&amp;$B44,$AF$3:$AF$870,"&gt;="&amp;$B44)/INDEX('01_INPUTS'!$E$17:$E$31,MATCH(P$23,'01_INPUTS'!$B$17:$B$31,0)))</f>
        <v>2</v>
      </c>
      <c r="Q44" s="61">
        <f>IF(INDEX('01_INPUTS'!$E$17:$E$31,MATCH(Q$23,'01_INPUTS'!$B$17:$B$31,0))=0,IF(SUMIFS($AD$3:$AD$870,$AC$3:$AC$870,Q$23,$AE$3:$AE$870,"&lt;="&amp;$B44,$AF$3:$AF$870,"&gt;="&amp;$B44)=0,0,9.99),SUMIFS($AD$3:$AD$870,$AC$3:$AC$870,Q$23,$AE$3:$AE$870,"&lt;="&amp;$B44,$AF$3:$AF$870,"&gt;="&amp;$B44)/INDEX('01_INPUTS'!$E$17:$E$31,MATCH(Q$23,'01_INPUTS'!$B$17:$B$31,0)))</f>
        <v>1</v>
      </c>
      <c r="R44" s="61">
        <f>IF(INDEX('01_INPUTS'!$E$17:$E$31,MATCH(R$23,'01_INPUTS'!$B$17:$B$31,0))=0,IF(SUMIFS($AD$3:$AD$870,$AC$3:$AC$870,R$23,$AE$3:$AE$870,"&lt;="&amp;$B44,$AF$3:$AF$870,"&gt;="&amp;$B44)=0,0,9.99),SUMIFS($AD$3:$AD$870,$AC$3:$AC$870,R$23,$AE$3:$AE$870,"&lt;="&amp;$B44,$AF$3:$AF$870,"&gt;="&amp;$B44)/INDEX('01_INPUTS'!$E$17:$E$31,MATCH(R$23,'01_INPUTS'!$B$17:$B$31,0)))</f>
        <v>0</v>
      </c>
      <c r="S44">
        <f t="shared" si="1"/>
        <v>17.5</v>
      </c>
      <c r="T44">
        <f>SUM('01_INPUTS'!$E$17:$E$31)</f>
        <v>20</v>
      </c>
      <c r="U44" s="61">
        <f t="shared" si="2"/>
        <v>0.875</v>
      </c>
      <c r="V44">
        <f t="shared" si="3"/>
        <v>5</v>
      </c>
      <c r="W44" t="str">
        <f t="shared" si="4"/>
        <v>ROJO</v>
      </c>
      <c r="AA44" s="51" t="str">
        <f>'Sites Master'!$B$2</f>
        <v>Site 01</v>
      </c>
      <c r="AB44" s="51" t="str">
        <f>'Phase-Resource Allocation'!$B$105</f>
        <v>Go Live</v>
      </c>
      <c r="AC44" s="51" t="str">
        <f>'Phase-Resource Allocation'!$C$105</f>
        <v>SAP Integrations Lead</v>
      </c>
      <c r="AD44" s="60">
        <f>'Phase-Resource Allocation'!$D$105</f>
        <v>1</v>
      </c>
      <c r="AE44" s="51">
        <f>IFERROR(INDEX('02_SCHEDULE'!$K$5:$K$124,MATCH(AA44&amp;"|"&amp;AB44,'02_SCHEDULE'!$M$5:$M$124,0)),0)</f>
        <v>12</v>
      </c>
      <c r="AF44" s="51">
        <f>IFERROR(INDEX('02_SCHEDULE'!$L$5:$L$124,MATCH(AA44&amp;"|"&amp;AB44,'02_SCHEDULE'!$M$5:$M$124,0)),0)</f>
        <v>12</v>
      </c>
      <c r="AG44" s="51">
        <f t="shared" si="0"/>
        <v>1</v>
      </c>
    </row>
    <row r="45" spans="2:33" x14ac:dyDescent="0.3">
      <c r="B45">
        <f>22</f>
        <v>22</v>
      </c>
      <c r="C45" s="55">
        <f>'01_INPUTS'!$C$7+(22-1)*7</f>
        <v>46398</v>
      </c>
      <c r="D45" s="61">
        <f>IF(INDEX('01_INPUTS'!$E$17:$E$31,MATCH(D$23,'01_INPUTS'!$B$17:$B$31,0))=0,IF(SUMIFS($AD$3:$AD$870,$AC$3:$AC$870,D$23,$AE$3:$AE$870,"&lt;="&amp;$B45,$AF$3:$AF$870,"&gt;="&amp;$B45)=0,0,9.99),SUMIFS($AD$3:$AD$870,$AC$3:$AC$870,D$23,$AE$3:$AE$870,"&lt;="&amp;$B45,$AF$3:$AF$870,"&gt;="&amp;$B45)/INDEX('01_INPUTS'!$E$17:$E$31,MATCH(D$23,'01_INPUTS'!$B$17:$B$31,0)))</f>
        <v>2</v>
      </c>
      <c r="E45" s="61">
        <f>IF(INDEX('01_INPUTS'!$E$17:$E$31,MATCH(E$23,'01_INPUTS'!$B$17:$B$31,0))=0,IF(SUMIFS($AD$3:$AD$870,$AC$3:$AC$870,E$23,$AE$3:$AE$870,"&lt;="&amp;$B45,$AF$3:$AF$870,"&gt;="&amp;$B45)=0,0,9.99),SUMIFS($AD$3:$AD$870,$AC$3:$AC$870,E$23,$AE$3:$AE$870,"&lt;="&amp;$B45,$AF$3:$AF$870,"&gt;="&amp;$B45)/INDEX('01_INPUTS'!$E$17:$E$31,MATCH(E$23,'01_INPUTS'!$B$17:$B$31,0)))</f>
        <v>0</v>
      </c>
      <c r="F45" s="61">
        <f>IF(INDEX('01_INPUTS'!$E$17:$E$31,MATCH(F$23,'01_INPUTS'!$B$17:$B$31,0))=0,IF(SUMIFS($AD$3:$AD$870,$AC$3:$AC$870,F$23,$AE$3:$AE$870,"&lt;="&amp;$B45,$AF$3:$AF$870,"&gt;="&amp;$B45)=0,0,9.99),SUMIFS($AD$3:$AD$870,$AC$3:$AC$870,F$23,$AE$3:$AE$870,"&lt;="&amp;$B45,$AF$3:$AF$870,"&gt;="&amp;$B45)/INDEX('01_INPUTS'!$E$17:$E$31,MATCH(F$23,'01_INPUTS'!$B$17:$B$31,0)))</f>
        <v>0</v>
      </c>
      <c r="G45" s="61">
        <f>IF(INDEX('01_INPUTS'!$E$17:$E$31,MATCH(G$23,'01_INPUTS'!$B$17:$B$31,0))=0,IF(SUMIFS($AD$3:$AD$870,$AC$3:$AC$870,G$23,$AE$3:$AE$870,"&lt;="&amp;$B45,$AF$3:$AF$870,"&gt;="&amp;$B45)=0,0,9.99),SUMIFS($AD$3:$AD$870,$AC$3:$AC$870,G$23,$AE$3:$AE$870,"&lt;="&amp;$B45,$AF$3:$AF$870,"&gt;="&amp;$B45)/INDEX('01_INPUTS'!$E$17:$E$31,MATCH(G$23,'01_INPUTS'!$B$17:$B$31,0)))</f>
        <v>0</v>
      </c>
      <c r="H45" s="61">
        <f>IF(INDEX('01_INPUTS'!$E$17:$E$31,MATCH(H$23,'01_INPUTS'!$B$17:$B$31,0))=0,IF(SUMIFS($AD$3:$AD$870,$AC$3:$AC$870,H$23,$AE$3:$AE$870,"&lt;="&amp;$B45,$AF$3:$AF$870,"&gt;="&amp;$B45)=0,0,9.99),SUMIFS($AD$3:$AD$870,$AC$3:$AC$870,H$23,$AE$3:$AE$870,"&lt;="&amp;$B45,$AF$3:$AF$870,"&gt;="&amp;$B45)/INDEX('01_INPUTS'!$E$17:$E$31,MATCH(H$23,'01_INPUTS'!$B$17:$B$31,0)))</f>
        <v>1</v>
      </c>
      <c r="I45" s="61">
        <f>IF(INDEX('01_INPUTS'!$E$17:$E$31,MATCH(I$23,'01_INPUTS'!$B$17:$B$31,0))=0,IF(SUMIFS($AD$3:$AD$870,$AC$3:$AC$870,I$23,$AE$3:$AE$870,"&lt;="&amp;$B45,$AF$3:$AF$870,"&gt;="&amp;$B45)=0,0,9.99),SUMIFS($AD$3:$AD$870,$AC$3:$AC$870,I$23,$AE$3:$AE$870,"&lt;="&amp;$B45,$AF$3:$AF$870,"&gt;="&amp;$B45)/INDEX('01_INPUTS'!$E$17:$E$31,MATCH(I$23,'01_INPUTS'!$B$17:$B$31,0)))</f>
        <v>0.5</v>
      </c>
      <c r="J45" s="61">
        <f>IF(INDEX('01_INPUTS'!$E$17:$E$31,MATCH(J$23,'01_INPUTS'!$B$17:$B$31,0))=0,IF(SUMIFS($AD$3:$AD$870,$AC$3:$AC$870,J$23,$AE$3:$AE$870,"&lt;="&amp;$B45,$AF$3:$AF$870,"&gt;="&amp;$B45)=0,0,9.99),SUMIFS($AD$3:$AD$870,$AC$3:$AC$870,J$23,$AE$3:$AE$870,"&lt;="&amp;$B45,$AF$3:$AF$870,"&gt;="&amp;$B45)/INDEX('01_INPUTS'!$E$17:$E$31,MATCH(J$23,'01_INPUTS'!$B$17:$B$31,0)))</f>
        <v>1.5</v>
      </c>
      <c r="K45" s="61">
        <f>IF(INDEX('01_INPUTS'!$E$17:$E$31,MATCH(K$23,'01_INPUTS'!$B$17:$B$31,0))=0,IF(SUMIFS($AD$3:$AD$870,$AC$3:$AC$870,K$23,$AE$3:$AE$870,"&lt;="&amp;$B45,$AF$3:$AF$870,"&gt;="&amp;$B45)=0,0,9.99),SUMIFS($AD$3:$AD$870,$AC$3:$AC$870,K$23,$AE$3:$AE$870,"&lt;="&amp;$B45,$AF$3:$AF$870,"&gt;="&amp;$B45)/INDEX('01_INPUTS'!$E$17:$E$31,MATCH(K$23,'01_INPUTS'!$B$17:$B$31,0)))</f>
        <v>1.5</v>
      </c>
      <c r="L45" s="61">
        <f>IF(INDEX('01_INPUTS'!$E$17:$E$31,MATCH(L$23,'01_INPUTS'!$B$17:$B$31,0))=0,IF(SUMIFS($AD$3:$AD$870,$AC$3:$AC$870,L$23,$AE$3:$AE$870,"&lt;="&amp;$B45,$AF$3:$AF$870,"&gt;="&amp;$B45)=0,0,9.99),SUMIFS($AD$3:$AD$870,$AC$3:$AC$870,L$23,$AE$3:$AE$870,"&lt;="&amp;$B45,$AF$3:$AF$870,"&gt;="&amp;$B45)/INDEX('01_INPUTS'!$E$17:$E$31,MATCH(L$23,'01_INPUTS'!$B$17:$B$31,0)))</f>
        <v>1.5</v>
      </c>
      <c r="M45" s="61">
        <f>IF(INDEX('01_INPUTS'!$E$17:$E$31,MATCH(M$23,'01_INPUTS'!$B$17:$B$31,0))=0,IF(SUMIFS($AD$3:$AD$870,$AC$3:$AC$870,M$23,$AE$3:$AE$870,"&lt;="&amp;$B45,$AF$3:$AF$870,"&gt;="&amp;$B45)=0,0,9.99),SUMIFS($AD$3:$AD$870,$AC$3:$AC$870,M$23,$AE$3:$AE$870,"&lt;="&amp;$B45,$AF$3:$AF$870,"&gt;="&amp;$B45)/INDEX('01_INPUTS'!$E$17:$E$31,MATCH(M$23,'01_INPUTS'!$B$17:$B$31,0)))</f>
        <v>1.5</v>
      </c>
      <c r="N45" s="61">
        <f>IF(INDEX('01_INPUTS'!$E$17:$E$31,MATCH(N$23,'01_INPUTS'!$B$17:$B$31,0))=0,IF(SUMIFS($AD$3:$AD$870,$AC$3:$AC$870,N$23,$AE$3:$AE$870,"&lt;="&amp;$B45,$AF$3:$AF$870,"&gt;="&amp;$B45)=0,0,9.99),SUMIFS($AD$3:$AD$870,$AC$3:$AC$870,N$23,$AE$3:$AE$870,"&lt;="&amp;$B45,$AF$3:$AF$870,"&gt;="&amp;$B45)/INDEX('01_INPUTS'!$E$17:$E$31,MATCH(N$23,'01_INPUTS'!$B$17:$B$31,0)))</f>
        <v>1.5</v>
      </c>
      <c r="O45" s="61">
        <f>IF(INDEX('01_INPUTS'!$E$17:$E$31,MATCH(O$23,'01_INPUTS'!$B$17:$B$31,0))=0,IF(SUMIFS($AD$3:$AD$870,$AC$3:$AC$870,O$23,$AE$3:$AE$870,"&lt;="&amp;$B45,$AF$3:$AF$870,"&gt;="&amp;$B45)=0,0,9.99),SUMIFS($AD$3:$AD$870,$AC$3:$AC$870,O$23,$AE$3:$AE$870,"&lt;="&amp;$B45,$AF$3:$AF$870,"&gt;="&amp;$B45)/INDEX('01_INPUTS'!$E$17:$E$31,MATCH(O$23,'01_INPUTS'!$B$17:$B$31,0)))</f>
        <v>2</v>
      </c>
      <c r="P45" s="61">
        <f>IF(INDEX('01_INPUTS'!$E$17:$E$31,MATCH(P$23,'01_INPUTS'!$B$17:$B$31,0))=0,IF(SUMIFS($AD$3:$AD$870,$AC$3:$AC$870,P$23,$AE$3:$AE$870,"&lt;="&amp;$B45,$AF$3:$AF$870,"&gt;="&amp;$B45)=0,0,9.99),SUMIFS($AD$3:$AD$870,$AC$3:$AC$870,P$23,$AE$3:$AE$870,"&lt;="&amp;$B45,$AF$3:$AF$870,"&gt;="&amp;$B45)/INDEX('01_INPUTS'!$E$17:$E$31,MATCH(P$23,'01_INPUTS'!$B$17:$B$31,0)))</f>
        <v>3</v>
      </c>
      <c r="Q45" s="61">
        <f>IF(INDEX('01_INPUTS'!$E$17:$E$31,MATCH(Q$23,'01_INPUTS'!$B$17:$B$31,0))=0,IF(SUMIFS($AD$3:$AD$870,$AC$3:$AC$870,Q$23,$AE$3:$AE$870,"&lt;="&amp;$B45,$AF$3:$AF$870,"&gt;="&amp;$B45)=0,0,9.99),SUMIFS($AD$3:$AD$870,$AC$3:$AC$870,Q$23,$AE$3:$AE$870,"&lt;="&amp;$B45,$AF$3:$AF$870,"&gt;="&amp;$B45)/INDEX('01_INPUTS'!$E$17:$E$31,MATCH(Q$23,'01_INPUTS'!$B$17:$B$31,0)))</f>
        <v>0.5</v>
      </c>
      <c r="R45" s="61">
        <f>IF(INDEX('01_INPUTS'!$E$17:$E$31,MATCH(R$23,'01_INPUTS'!$B$17:$B$31,0))=0,IF(SUMIFS($AD$3:$AD$870,$AC$3:$AC$870,R$23,$AE$3:$AE$870,"&lt;="&amp;$B45,$AF$3:$AF$870,"&gt;="&amp;$B45)=0,0,9.99),SUMIFS($AD$3:$AD$870,$AC$3:$AC$870,R$23,$AE$3:$AE$870,"&lt;="&amp;$B45,$AF$3:$AF$870,"&gt;="&amp;$B45)/INDEX('01_INPUTS'!$E$17:$E$31,MATCH(R$23,'01_INPUTS'!$B$17:$B$31,0)))</f>
        <v>0</v>
      </c>
      <c r="S45">
        <f t="shared" si="1"/>
        <v>20</v>
      </c>
      <c r="T45">
        <f>SUM('01_INPUTS'!$E$17:$E$31)</f>
        <v>20</v>
      </c>
      <c r="U45" s="61">
        <f t="shared" si="2"/>
        <v>1</v>
      </c>
      <c r="V45">
        <f t="shared" si="3"/>
        <v>8</v>
      </c>
      <c r="W45" t="str">
        <f t="shared" si="4"/>
        <v>ROJO</v>
      </c>
      <c r="AA45" s="51" t="str">
        <f>'Sites Master'!$B$2</f>
        <v>Site 01</v>
      </c>
      <c r="AB45" s="51" t="str">
        <f>'Phase-Resource Allocation'!$B$106</f>
        <v>Go Live</v>
      </c>
      <c r="AC45" s="51" t="str">
        <f>'Phase-Resource Allocation'!$C$106</f>
        <v>SAP Integrations Specialist</v>
      </c>
      <c r="AD45" s="60">
        <f>'Phase-Resource Allocation'!$D$106</f>
        <v>1</v>
      </c>
      <c r="AE45" s="51">
        <f>IFERROR(INDEX('02_SCHEDULE'!$K$5:$K$124,MATCH(AA45&amp;"|"&amp;AB45,'02_SCHEDULE'!$M$5:$M$124,0)),0)</f>
        <v>12</v>
      </c>
      <c r="AF45" s="51">
        <f>IFERROR(INDEX('02_SCHEDULE'!$L$5:$L$124,MATCH(AA45&amp;"|"&amp;AB45,'02_SCHEDULE'!$M$5:$M$124,0)),0)</f>
        <v>12</v>
      </c>
      <c r="AG45" s="51">
        <f t="shared" si="0"/>
        <v>1</v>
      </c>
    </row>
    <row r="46" spans="2:33" x14ac:dyDescent="0.3">
      <c r="B46">
        <f>23</f>
        <v>23</v>
      </c>
      <c r="C46" s="55">
        <f>'01_INPUTS'!$C$7+(23-1)*7</f>
        <v>46405</v>
      </c>
      <c r="D46" s="61">
        <f>IF(INDEX('01_INPUTS'!$E$17:$E$31,MATCH(D$23,'01_INPUTS'!$B$17:$B$31,0))=0,IF(SUMIFS($AD$3:$AD$870,$AC$3:$AC$870,D$23,$AE$3:$AE$870,"&lt;="&amp;$B46,$AF$3:$AF$870,"&gt;="&amp;$B46)=0,0,9.99),SUMIFS($AD$3:$AD$870,$AC$3:$AC$870,D$23,$AE$3:$AE$870,"&lt;="&amp;$B46,$AF$3:$AF$870,"&gt;="&amp;$B46)/INDEX('01_INPUTS'!$E$17:$E$31,MATCH(D$23,'01_INPUTS'!$B$17:$B$31,0)))</f>
        <v>2</v>
      </c>
      <c r="E46" s="61">
        <f>IF(INDEX('01_INPUTS'!$E$17:$E$31,MATCH(E$23,'01_INPUTS'!$B$17:$B$31,0))=0,IF(SUMIFS($AD$3:$AD$870,$AC$3:$AC$870,E$23,$AE$3:$AE$870,"&lt;="&amp;$B46,$AF$3:$AF$870,"&gt;="&amp;$B46)=0,0,9.99),SUMIFS($AD$3:$AD$870,$AC$3:$AC$870,E$23,$AE$3:$AE$870,"&lt;="&amp;$B46,$AF$3:$AF$870,"&gt;="&amp;$B46)/INDEX('01_INPUTS'!$E$17:$E$31,MATCH(E$23,'01_INPUTS'!$B$17:$B$31,0)))</f>
        <v>0</v>
      </c>
      <c r="F46" s="61">
        <f>IF(INDEX('01_INPUTS'!$E$17:$E$31,MATCH(F$23,'01_INPUTS'!$B$17:$B$31,0))=0,IF(SUMIFS($AD$3:$AD$870,$AC$3:$AC$870,F$23,$AE$3:$AE$870,"&lt;="&amp;$B46,$AF$3:$AF$870,"&gt;="&amp;$B46)=0,0,9.99),SUMIFS($AD$3:$AD$870,$AC$3:$AC$870,F$23,$AE$3:$AE$870,"&lt;="&amp;$B46,$AF$3:$AF$870,"&gt;="&amp;$B46)/INDEX('01_INPUTS'!$E$17:$E$31,MATCH(F$23,'01_INPUTS'!$B$17:$B$31,0)))</f>
        <v>0</v>
      </c>
      <c r="G46" s="61">
        <f>IF(INDEX('01_INPUTS'!$E$17:$E$31,MATCH(G$23,'01_INPUTS'!$B$17:$B$31,0))=0,IF(SUMIFS($AD$3:$AD$870,$AC$3:$AC$870,G$23,$AE$3:$AE$870,"&lt;="&amp;$B46,$AF$3:$AF$870,"&gt;="&amp;$B46)=0,0,9.99),SUMIFS($AD$3:$AD$870,$AC$3:$AC$870,G$23,$AE$3:$AE$870,"&lt;="&amp;$B46,$AF$3:$AF$870,"&gt;="&amp;$B46)/INDEX('01_INPUTS'!$E$17:$E$31,MATCH(G$23,'01_INPUTS'!$B$17:$B$31,0)))</f>
        <v>0</v>
      </c>
      <c r="H46" s="61">
        <f>IF(INDEX('01_INPUTS'!$E$17:$E$31,MATCH(H$23,'01_INPUTS'!$B$17:$B$31,0))=0,IF(SUMIFS($AD$3:$AD$870,$AC$3:$AC$870,H$23,$AE$3:$AE$870,"&lt;="&amp;$B46,$AF$3:$AF$870,"&gt;="&amp;$B46)=0,0,9.99),SUMIFS($AD$3:$AD$870,$AC$3:$AC$870,H$23,$AE$3:$AE$870,"&lt;="&amp;$B46,$AF$3:$AF$870,"&gt;="&amp;$B46)/INDEX('01_INPUTS'!$E$17:$E$31,MATCH(H$23,'01_INPUTS'!$B$17:$B$31,0)))</f>
        <v>1</v>
      </c>
      <c r="I46" s="61">
        <f>IF(INDEX('01_INPUTS'!$E$17:$E$31,MATCH(I$23,'01_INPUTS'!$B$17:$B$31,0))=0,IF(SUMIFS($AD$3:$AD$870,$AC$3:$AC$870,I$23,$AE$3:$AE$870,"&lt;="&amp;$B46,$AF$3:$AF$870,"&gt;="&amp;$B46)=0,0,9.99),SUMIFS($AD$3:$AD$870,$AC$3:$AC$870,I$23,$AE$3:$AE$870,"&lt;="&amp;$B46,$AF$3:$AF$870,"&gt;="&amp;$B46)/INDEX('01_INPUTS'!$E$17:$E$31,MATCH(I$23,'01_INPUTS'!$B$17:$B$31,0)))</f>
        <v>0.5</v>
      </c>
      <c r="J46" s="61">
        <f>IF(INDEX('01_INPUTS'!$E$17:$E$31,MATCH(J$23,'01_INPUTS'!$B$17:$B$31,0))=0,IF(SUMIFS($AD$3:$AD$870,$AC$3:$AC$870,J$23,$AE$3:$AE$870,"&lt;="&amp;$B46,$AF$3:$AF$870,"&gt;="&amp;$B46)=0,0,9.99),SUMIFS($AD$3:$AD$870,$AC$3:$AC$870,J$23,$AE$3:$AE$870,"&lt;="&amp;$B46,$AF$3:$AF$870,"&gt;="&amp;$B46)/INDEX('01_INPUTS'!$E$17:$E$31,MATCH(J$23,'01_INPUTS'!$B$17:$B$31,0)))</f>
        <v>1.5</v>
      </c>
      <c r="K46" s="61">
        <f>IF(INDEX('01_INPUTS'!$E$17:$E$31,MATCH(K$23,'01_INPUTS'!$B$17:$B$31,0))=0,IF(SUMIFS($AD$3:$AD$870,$AC$3:$AC$870,K$23,$AE$3:$AE$870,"&lt;="&amp;$B46,$AF$3:$AF$870,"&gt;="&amp;$B46)=0,0,9.99),SUMIFS($AD$3:$AD$870,$AC$3:$AC$870,K$23,$AE$3:$AE$870,"&lt;="&amp;$B46,$AF$3:$AF$870,"&gt;="&amp;$B46)/INDEX('01_INPUTS'!$E$17:$E$31,MATCH(K$23,'01_INPUTS'!$B$17:$B$31,0)))</f>
        <v>1.5</v>
      </c>
      <c r="L46" s="61">
        <f>IF(INDEX('01_INPUTS'!$E$17:$E$31,MATCH(L$23,'01_INPUTS'!$B$17:$B$31,0))=0,IF(SUMIFS($AD$3:$AD$870,$AC$3:$AC$870,L$23,$AE$3:$AE$870,"&lt;="&amp;$B46,$AF$3:$AF$870,"&gt;="&amp;$B46)=0,0,9.99),SUMIFS($AD$3:$AD$870,$AC$3:$AC$870,L$23,$AE$3:$AE$870,"&lt;="&amp;$B46,$AF$3:$AF$870,"&gt;="&amp;$B46)/INDEX('01_INPUTS'!$E$17:$E$31,MATCH(L$23,'01_INPUTS'!$B$17:$B$31,0)))</f>
        <v>1.5</v>
      </c>
      <c r="M46" s="61">
        <f>IF(INDEX('01_INPUTS'!$E$17:$E$31,MATCH(M$23,'01_INPUTS'!$B$17:$B$31,0))=0,IF(SUMIFS($AD$3:$AD$870,$AC$3:$AC$870,M$23,$AE$3:$AE$870,"&lt;="&amp;$B46,$AF$3:$AF$870,"&gt;="&amp;$B46)=0,0,9.99),SUMIFS($AD$3:$AD$870,$AC$3:$AC$870,M$23,$AE$3:$AE$870,"&lt;="&amp;$B46,$AF$3:$AF$870,"&gt;="&amp;$B46)/INDEX('01_INPUTS'!$E$17:$E$31,MATCH(M$23,'01_INPUTS'!$B$17:$B$31,0)))</f>
        <v>1.5</v>
      </c>
      <c r="N46" s="61">
        <f>IF(INDEX('01_INPUTS'!$E$17:$E$31,MATCH(N$23,'01_INPUTS'!$B$17:$B$31,0))=0,IF(SUMIFS($AD$3:$AD$870,$AC$3:$AC$870,N$23,$AE$3:$AE$870,"&lt;="&amp;$B46,$AF$3:$AF$870,"&gt;="&amp;$B46)=0,0,9.99),SUMIFS($AD$3:$AD$870,$AC$3:$AC$870,N$23,$AE$3:$AE$870,"&lt;="&amp;$B46,$AF$3:$AF$870,"&gt;="&amp;$B46)/INDEX('01_INPUTS'!$E$17:$E$31,MATCH(N$23,'01_INPUTS'!$B$17:$B$31,0)))</f>
        <v>1.5</v>
      </c>
      <c r="O46" s="61">
        <f>IF(INDEX('01_INPUTS'!$E$17:$E$31,MATCH(O$23,'01_INPUTS'!$B$17:$B$31,0))=0,IF(SUMIFS($AD$3:$AD$870,$AC$3:$AC$870,O$23,$AE$3:$AE$870,"&lt;="&amp;$B46,$AF$3:$AF$870,"&gt;="&amp;$B46)=0,0,9.99),SUMIFS($AD$3:$AD$870,$AC$3:$AC$870,O$23,$AE$3:$AE$870,"&lt;="&amp;$B46,$AF$3:$AF$870,"&gt;="&amp;$B46)/INDEX('01_INPUTS'!$E$17:$E$31,MATCH(O$23,'01_INPUTS'!$B$17:$B$31,0)))</f>
        <v>2</v>
      </c>
      <c r="P46" s="61">
        <f>IF(INDEX('01_INPUTS'!$E$17:$E$31,MATCH(P$23,'01_INPUTS'!$B$17:$B$31,0))=0,IF(SUMIFS($AD$3:$AD$870,$AC$3:$AC$870,P$23,$AE$3:$AE$870,"&lt;="&amp;$B46,$AF$3:$AF$870,"&gt;="&amp;$B46)=0,0,9.99),SUMIFS($AD$3:$AD$870,$AC$3:$AC$870,P$23,$AE$3:$AE$870,"&lt;="&amp;$B46,$AF$3:$AF$870,"&gt;="&amp;$B46)/INDEX('01_INPUTS'!$E$17:$E$31,MATCH(P$23,'01_INPUTS'!$B$17:$B$31,0)))</f>
        <v>3</v>
      </c>
      <c r="Q46" s="61">
        <f>IF(INDEX('01_INPUTS'!$E$17:$E$31,MATCH(Q$23,'01_INPUTS'!$B$17:$B$31,0))=0,IF(SUMIFS($AD$3:$AD$870,$AC$3:$AC$870,Q$23,$AE$3:$AE$870,"&lt;="&amp;$B46,$AF$3:$AF$870,"&gt;="&amp;$B46)=0,0,9.99),SUMIFS($AD$3:$AD$870,$AC$3:$AC$870,Q$23,$AE$3:$AE$870,"&lt;="&amp;$B46,$AF$3:$AF$870,"&gt;="&amp;$B46)/INDEX('01_INPUTS'!$E$17:$E$31,MATCH(Q$23,'01_INPUTS'!$B$17:$B$31,0)))</f>
        <v>0.5</v>
      </c>
      <c r="R46" s="61">
        <f>IF(INDEX('01_INPUTS'!$E$17:$E$31,MATCH(R$23,'01_INPUTS'!$B$17:$B$31,0))=0,IF(SUMIFS($AD$3:$AD$870,$AC$3:$AC$870,R$23,$AE$3:$AE$870,"&lt;="&amp;$B46,$AF$3:$AF$870,"&gt;="&amp;$B46)=0,0,9.99),SUMIFS($AD$3:$AD$870,$AC$3:$AC$870,R$23,$AE$3:$AE$870,"&lt;="&amp;$B46,$AF$3:$AF$870,"&gt;="&amp;$B46)/INDEX('01_INPUTS'!$E$17:$E$31,MATCH(R$23,'01_INPUTS'!$B$17:$B$31,0)))</f>
        <v>0</v>
      </c>
      <c r="S46">
        <f t="shared" si="1"/>
        <v>20</v>
      </c>
      <c r="T46">
        <f>SUM('01_INPUTS'!$E$17:$E$31)</f>
        <v>20</v>
      </c>
      <c r="U46" s="61">
        <f t="shared" si="2"/>
        <v>1</v>
      </c>
      <c r="V46">
        <f t="shared" si="3"/>
        <v>8</v>
      </c>
      <c r="W46" t="str">
        <f t="shared" si="4"/>
        <v>ROJO</v>
      </c>
      <c r="AA46" s="51" t="str">
        <f>'Sites Master'!$B$2</f>
        <v>Site 01</v>
      </c>
      <c r="AB46" s="51" t="str">
        <f>'Phase-Resource Allocation'!$B$107</f>
        <v>Go Live</v>
      </c>
      <c r="AC46" s="51" t="str">
        <f>'Phase-Resource Allocation'!$C$107</f>
        <v>Azure Lead</v>
      </c>
      <c r="AD46" s="60">
        <f>'Phase-Resource Allocation'!$D$107</f>
        <v>1</v>
      </c>
      <c r="AE46" s="51">
        <f>IFERROR(INDEX('02_SCHEDULE'!$K$5:$K$124,MATCH(AA46&amp;"|"&amp;AB46,'02_SCHEDULE'!$M$5:$M$124,0)),0)</f>
        <v>12</v>
      </c>
      <c r="AF46" s="51">
        <f>IFERROR(INDEX('02_SCHEDULE'!$L$5:$L$124,MATCH(AA46&amp;"|"&amp;AB46,'02_SCHEDULE'!$M$5:$M$124,0)),0)</f>
        <v>12</v>
      </c>
      <c r="AG46" s="51">
        <f t="shared" si="0"/>
        <v>1</v>
      </c>
    </row>
    <row r="47" spans="2:33" x14ac:dyDescent="0.3">
      <c r="B47">
        <f>24</f>
        <v>24</v>
      </c>
      <c r="C47" s="55">
        <f>'01_INPUTS'!$C$7+(24-1)*7</f>
        <v>46412</v>
      </c>
      <c r="D47" s="61">
        <f>IF(INDEX('01_INPUTS'!$E$17:$E$31,MATCH(D$23,'01_INPUTS'!$B$17:$B$31,0))=0,IF(SUMIFS($AD$3:$AD$870,$AC$3:$AC$870,D$23,$AE$3:$AE$870,"&lt;="&amp;$B47,$AF$3:$AF$870,"&gt;="&amp;$B47)=0,0,9.99),SUMIFS($AD$3:$AD$870,$AC$3:$AC$870,D$23,$AE$3:$AE$870,"&lt;="&amp;$B47,$AF$3:$AF$870,"&gt;="&amp;$B47)/INDEX('01_INPUTS'!$E$17:$E$31,MATCH(D$23,'01_INPUTS'!$B$17:$B$31,0)))</f>
        <v>1</v>
      </c>
      <c r="E47" s="61">
        <f>IF(INDEX('01_INPUTS'!$E$17:$E$31,MATCH(E$23,'01_INPUTS'!$B$17:$B$31,0))=0,IF(SUMIFS($AD$3:$AD$870,$AC$3:$AC$870,E$23,$AE$3:$AE$870,"&lt;="&amp;$B47,$AF$3:$AF$870,"&gt;="&amp;$B47)=0,0,9.99),SUMIFS($AD$3:$AD$870,$AC$3:$AC$870,E$23,$AE$3:$AE$870,"&lt;="&amp;$B47,$AF$3:$AF$870,"&gt;="&amp;$B47)/INDEX('01_INPUTS'!$E$17:$E$31,MATCH(E$23,'01_INPUTS'!$B$17:$B$31,0)))</f>
        <v>0</v>
      </c>
      <c r="F47" s="61">
        <f>IF(INDEX('01_INPUTS'!$E$17:$E$31,MATCH(F$23,'01_INPUTS'!$B$17:$B$31,0))=0,IF(SUMIFS($AD$3:$AD$870,$AC$3:$AC$870,F$23,$AE$3:$AE$870,"&lt;="&amp;$B47,$AF$3:$AF$870,"&gt;="&amp;$B47)=0,0,9.99),SUMIFS($AD$3:$AD$870,$AC$3:$AC$870,F$23,$AE$3:$AE$870,"&lt;="&amp;$B47,$AF$3:$AF$870,"&gt;="&amp;$B47)/INDEX('01_INPUTS'!$E$17:$E$31,MATCH(F$23,'01_INPUTS'!$B$17:$B$31,0)))</f>
        <v>0</v>
      </c>
      <c r="G47" s="61">
        <f>IF(INDEX('01_INPUTS'!$E$17:$E$31,MATCH(G$23,'01_INPUTS'!$B$17:$B$31,0))=0,IF(SUMIFS($AD$3:$AD$870,$AC$3:$AC$870,G$23,$AE$3:$AE$870,"&lt;="&amp;$B47,$AF$3:$AF$870,"&gt;="&amp;$B47)=0,0,9.99),SUMIFS($AD$3:$AD$870,$AC$3:$AC$870,G$23,$AE$3:$AE$870,"&lt;="&amp;$B47,$AF$3:$AF$870,"&gt;="&amp;$B47)/INDEX('01_INPUTS'!$E$17:$E$31,MATCH(G$23,'01_INPUTS'!$B$17:$B$31,0)))</f>
        <v>0</v>
      </c>
      <c r="H47" s="61">
        <f>IF(INDEX('01_INPUTS'!$E$17:$E$31,MATCH(H$23,'01_INPUTS'!$B$17:$B$31,0))=0,IF(SUMIFS($AD$3:$AD$870,$AC$3:$AC$870,H$23,$AE$3:$AE$870,"&lt;="&amp;$B47,$AF$3:$AF$870,"&gt;="&amp;$B47)=0,0,9.99),SUMIFS($AD$3:$AD$870,$AC$3:$AC$870,H$23,$AE$3:$AE$870,"&lt;="&amp;$B47,$AF$3:$AF$870,"&gt;="&amp;$B47)/INDEX('01_INPUTS'!$E$17:$E$31,MATCH(H$23,'01_INPUTS'!$B$17:$B$31,0)))</f>
        <v>1.5</v>
      </c>
      <c r="I47" s="61">
        <f>IF(INDEX('01_INPUTS'!$E$17:$E$31,MATCH(I$23,'01_INPUTS'!$B$17:$B$31,0))=0,IF(SUMIFS($AD$3:$AD$870,$AC$3:$AC$870,I$23,$AE$3:$AE$870,"&lt;="&amp;$B47,$AF$3:$AF$870,"&gt;="&amp;$B47)=0,0,9.99),SUMIFS($AD$3:$AD$870,$AC$3:$AC$870,I$23,$AE$3:$AE$870,"&lt;="&amp;$B47,$AF$3:$AF$870,"&gt;="&amp;$B47)/INDEX('01_INPUTS'!$E$17:$E$31,MATCH(I$23,'01_INPUTS'!$B$17:$B$31,0)))</f>
        <v>0</v>
      </c>
      <c r="J47" s="61">
        <f>IF(INDEX('01_INPUTS'!$E$17:$E$31,MATCH(J$23,'01_INPUTS'!$B$17:$B$31,0))=0,IF(SUMIFS($AD$3:$AD$870,$AC$3:$AC$870,J$23,$AE$3:$AE$870,"&lt;="&amp;$B47,$AF$3:$AF$870,"&gt;="&amp;$B47)=0,0,9.99),SUMIFS($AD$3:$AD$870,$AC$3:$AC$870,J$23,$AE$3:$AE$870,"&lt;="&amp;$B47,$AF$3:$AF$870,"&gt;="&amp;$B47)/INDEX('01_INPUTS'!$E$17:$E$31,MATCH(J$23,'01_INPUTS'!$B$17:$B$31,0)))</f>
        <v>1</v>
      </c>
      <c r="K47" s="61">
        <f>IF(INDEX('01_INPUTS'!$E$17:$E$31,MATCH(K$23,'01_INPUTS'!$B$17:$B$31,0))=0,IF(SUMIFS($AD$3:$AD$870,$AC$3:$AC$870,K$23,$AE$3:$AE$870,"&lt;="&amp;$B47,$AF$3:$AF$870,"&gt;="&amp;$B47)=0,0,9.99),SUMIFS($AD$3:$AD$870,$AC$3:$AC$870,K$23,$AE$3:$AE$870,"&lt;="&amp;$B47,$AF$3:$AF$870,"&gt;="&amp;$B47)/INDEX('01_INPUTS'!$E$17:$E$31,MATCH(K$23,'01_INPUTS'!$B$17:$B$31,0)))</f>
        <v>1</v>
      </c>
      <c r="L47" s="61">
        <f>IF(INDEX('01_INPUTS'!$E$17:$E$31,MATCH(L$23,'01_INPUTS'!$B$17:$B$31,0))=0,IF(SUMIFS($AD$3:$AD$870,$AC$3:$AC$870,L$23,$AE$3:$AE$870,"&lt;="&amp;$B47,$AF$3:$AF$870,"&gt;="&amp;$B47)=0,0,9.99),SUMIFS($AD$3:$AD$870,$AC$3:$AC$870,L$23,$AE$3:$AE$870,"&lt;="&amp;$B47,$AF$3:$AF$870,"&gt;="&amp;$B47)/INDEX('01_INPUTS'!$E$17:$E$31,MATCH(L$23,'01_INPUTS'!$B$17:$B$31,0)))</f>
        <v>1</v>
      </c>
      <c r="M47" s="61">
        <f>IF(INDEX('01_INPUTS'!$E$17:$E$31,MATCH(M$23,'01_INPUTS'!$B$17:$B$31,0))=0,IF(SUMIFS($AD$3:$AD$870,$AC$3:$AC$870,M$23,$AE$3:$AE$870,"&lt;="&amp;$B47,$AF$3:$AF$870,"&gt;="&amp;$B47)=0,0,9.99),SUMIFS($AD$3:$AD$870,$AC$3:$AC$870,M$23,$AE$3:$AE$870,"&lt;="&amp;$B47,$AF$3:$AF$870,"&gt;="&amp;$B47)/INDEX('01_INPUTS'!$E$17:$E$31,MATCH(M$23,'01_INPUTS'!$B$17:$B$31,0)))</f>
        <v>1</v>
      </c>
      <c r="N47" s="61">
        <f>IF(INDEX('01_INPUTS'!$E$17:$E$31,MATCH(N$23,'01_INPUTS'!$B$17:$B$31,0))=0,IF(SUMIFS($AD$3:$AD$870,$AC$3:$AC$870,N$23,$AE$3:$AE$870,"&lt;="&amp;$B47,$AF$3:$AF$870,"&gt;="&amp;$B47)=0,0,9.99),SUMIFS($AD$3:$AD$870,$AC$3:$AC$870,N$23,$AE$3:$AE$870,"&lt;="&amp;$B47,$AF$3:$AF$870,"&gt;="&amp;$B47)/INDEX('01_INPUTS'!$E$17:$E$31,MATCH(N$23,'01_INPUTS'!$B$17:$B$31,0)))</f>
        <v>1</v>
      </c>
      <c r="O47" s="61">
        <f>IF(INDEX('01_INPUTS'!$E$17:$E$31,MATCH(O$23,'01_INPUTS'!$B$17:$B$31,0))=0,IF(SUMIFS($AD$3:$AD$870,$AC$3:$AC$870,O$23,$AE$3:$AE$870,"&lt;="&amp;$B47,$AF$3:$AF$870,"&gt;="&amp;$B47)=0,0,9.99),SUMIFS($AD$3:$AD$870,$AC$3:$AC$870,O$23,$AE$3:$AE$870,"&lt;="&amp;$B47,$AF$3:$AF$870,"&gt;="&amp;$B47)/INDEX('01_INPUTS'!$E$17:$E$31,MATCH(O$23,'01_INPUTS'!$B$17:$B$31,0)))</f>
        <v>1</v>
      </c>
      <c r="P47" s="61">
        <f>IF(INDEX('01_INPUTS'!$E$17:$E$31,MATCH(P$23,'01_INPUTS'!$B$17:$B$31,0))=0,IF(SUMIFS($AD$3:$AD$870,$AC$3:$AC$870,P$23,$AE$3:$AE$870,"&lt;="&amp;$B47,$AF$3:$AF$870,"&gt;="&amp;$B47)=0,0,9.99),SUMIFS($AD$3:$AD$870,$AC$3:$AC$870,P$23,$AE$3:$AE$870,"&lt;="&amp;$B47,$AF$3:$AF$870,"&gt;="&amp;$B47)/INDEX('01_INPUTS'!$E$17:$E$31,MATCH(P$23,'01_INPUTS'!$B$17:$B$31,0)))</f>
        <v>3</v>
      </c>
      <c r="Q47" s="61">
        <f>IF(INDEX('01_INPUTS'!$E$17:$E$31,MATCH(Q$23,'01_INPUTS'!$B$17:$B$31,0))=0,IF(SUMIFS($AD$3:$AD$870,$AC$3:$AC$870,Q$23,$AE$3:$AE$870,"&lt;="&amp;$B47,$AF$3:$AF$870,"&gt;="&amp;$B47)=0,0,9.99),SUMIFS($AD$3:$AD$870,$AC$3:$AC$870,Q$23,$AE$3:$AE$870,"&lt;="&amp;$B47,$AF$3:$AF$870,"&gt;="&amp;$B47)/INDEX('01_INPUTS'!$E$17:$E$31,MATCH(Q$23,'01_INPUTS'!$B$17:$B$31,0)))</f>
        <v>0</v>
      </c>
      <c r="R47" s="61">
        <f>IF(INDEX('01_INPUTS'!$E$17:$E$31,MATCH(R$23,'01_INPUTS'!$B$17:$B$31,0))=0,IF(SUMIFS($AD$3:$AD$870,$AC$3:$AC$870,R$23,$AE$3:$AE$870,"&lt;="&amp;$B47,$AF$3:$AF$870,"&gt;="&amp;$B47)=0,0,9.99),SUMIFS($AD$3:$AD$870,$AC$3:$AC$870,R$23,$AE$3:$AE$870,"&lt;="&amp;$B47,$AF$3:$AF$870,"&gt;="&amp;$B47)/INDEX('01_INPUTS'!$E$17:$E$31,MATCH(R$23,'01_INPUTS'!$B$17:$B$31,0)))</f>
        <v>0</v>
      </c>
      <c r="S47">
        <f t="shared" si="1"/>
        <v>14</v>
      </c>
      <c r="T47">
        <f>SUM('01_INPUTS'!$E$17:$E$31)</f>
        <v>20</v>
      </c>
      <c r="U47" s="61">
        <f t="shared" si="2"/>
        <v>0.7</v>
      </c>
      <c r="V47">
        <f t="shared" si="3"/>
        <v>2</v>
      </c>
      <c r="W47" t="str">
        <f t="shared" si="4"/>
        <v>ROJO</v>
      </c>
      <c r="AA47" s="51" t="str">
        <f>'Sites Master'!$B$2</f>
        <v>Site 01</v>
      </c>
      <c r="AB47" s="51" t="str">
        <f>'Phase-Resource Allocation'!$B$108</f>
        <v>Go Live</v>
      </c>
      <c r="AC47" s="51" t="str">
        <f>'Phase-Resource Allocation'!$C$108</f>
        <v>Azure Specialist</v>
      </c>
      <c r="AD47" s="60">
        <f>'Phase-Resource Allocation'!$D$108</f>
        <v>1</v>
      </c>
      <c r="AE47" s="51">
        <f>IFERROR(INDEX('02_SCHEDULE'!$K$5:$K$124,MATCH(AA47&amp;"|"&amp;AB47,'02_SCHEDULE'!$M$5:$M$124,0)),0)</f>
        <v>12</v>
      </c>
      <c r="AF47" s="51">
        <f>IFERROR(INDEX('02_SCHEDULE'!$L$5:$L$124,MATCH(AA47&amp;"|"&amp;AB47,'02_SCHEDULE'!$M$5:$M$124,0)),0)</f>
        <v>12</v>
      </c>
      <c r="AG47" s="51">
        <f t="shared" si="0"/>
        <v>1</v>
      </c>
    </row>
    <row r="48" spans="2:33" x14ac:dyDescent="0.3">
      <c r="B48">
        <f>25</f>
        <v>25</v>
      </c>
      <c r="C48" s="55">
        <f>'01_INPUTS'!$C$7+(25-1)*7</f>
        <v>46419</v>
      </c>
      <c r="D48" s="61">
        <f>IF(INDEX('01_INPUTS'!$E$17:$E$31,MATCH(D$23,'01_INPUTS'!$B$17:$B$31,0))=0,IF(SUMIFS($AD$3:$AD$870,$AC$3:$AC$870,D$23,$AE$3:$AE$870,"&lt;="&amp;$B48,$AF$3:$AF$870,"&gt;="&amp;$B48)=0,0,9.99),SUMIFS($AD$3:$AD$870,$AC$3:$AC$870,D$23,$AE$3:$AE$870,"&lt;="&amp;$B48,$AF$3:$AF$870,"&gt;="&amp;$B48)/INDEX('01_INPUTS'!$E$17:$E$31,MATCH(D$23,'01_INPUTS'!$B$17:$B$31,0)))</f>
        <v>0.5</v>
      </c>
      <c r="E48" s="61">
        <f>IF(INDEX('01_INPUTS'!$E$17:$E$31,MATCH(E$23,'01_INPUTS'!$B$17:$B$31,0))=0,IF(SUMIFS($AD$3:$AD$870,$AC$3:$AC$870,E$23,$AE$3:$AE$870,"&lt;="&amp;$B48,$AF$3:$AF$870,"&gt;="&amp;$B48)=0,0,9.99),SUMIFS($AD$3:$AD$870,$AC$3:$AC$870,E$23,$AE$3:$AE$870,"&lt;="&amp;$B48,$AF$3:$AF$870,"&gt;="&amp;$B48)/INDEX('01_INPUTS'!$E$17:$E$31,MATCH(E$23,'01_INPUTS'!$B$17:$B$31,0)))</f>
        <v>0</v>
      </c>
      <c r="F48" s="61">
        <f>IF(INDEX('01_INPUTS'!$E$17:$E$31,MATCH(F$23,'01_INPUTS'!$B$17:$B$31,0))=0,IF(SUMIFS($AD$3:$AD$870,$AC$3:$AC$870,F$23,$AE$3:$AE$870,"&lt;="&amp;$B48,$AF$3:$AF$870,"&gt;="&amp;$B48)=0,0,9.99),SUMIFS($AD$3:$AD$870,$AC$3:$AC$870,F$23,$AE$3:$AE$870,"&lt;="&amp;$B48,$AF$3:$AF$870,"&gt;="&amp;$B48)/INDEX('01_INPUTS'!$E$17:$E$31,MATCH(F$23,'01_INPUTS'!$B$17:$B$31,0)))</f>
        <v>0</v>
      </c>
      <c r="G48" s="61">
        <f>IF(INDEX('01_INPUTS'!$E$17:$E$31,MATCH(G$23,'01_INPUTS'!$B$17:$B$31,0))=0,IF(SUMIFS($AD$3:$AD$870,$AC$3:$AC$870,G$23,$AE$3:$AE$870,"&lt;="&amp;$B48,$AF$3:$AF$870,"&gt;="&amp;$B48)=0,0,9.99),SUMIFS($AD$3:$AD$870,$AC$3:$AC$870,G$23,$AE$3:$AE$870,"&lt;="&amp;$B48,$AF$3:$AF$870,"&gt;="&amp;$B48)/INDEX('01_INPUTS'!$E$17:$E$31,MATCH(G$23,'01_INPUTS'!$B$17:$B$31,0)))</f>
        <v>0</v>
      </c>
      <c r="H48" s="61">
        <f>IF(INDEX('01_INPUTS'!$E$17:$E$31,MATCH(H$23,'01_INPUTS'!$B$17:$B$31,0))=0,IF(SUMIFS($AD$3:$AD$870,$AC$3:$AC$870,H$23,$AE$3:$AE$870,"&lt;="&amp;$B48,$AF$3:$AF$870,"&gt;="&amp;$B48)=0,0,9.99),SUMIFS($AD$3:$AD$870,$AC$3:$AC$870,H$23,$AE$3:$AE$870,"&lt;="&amp;$B48,$AF$3:$AF$870,"&gt;="&amp;$B48)/INDEX('01_INPUTS'!$E$17:$E$31,MATCH(H$23,'01_INPUTS'!$B$17:$B$31,0)))</f>
        <v>1.5</v>
      </c>
      <c r="I48" s="61">
        <f>IF(INDEX('01_INPUTS'!$E$17:$E$31,MATCH(I$23,'01_INPUTS'!$B$17:$B$31,0))=0,IF(SUMIFS($AD$3:$AD$870,$AC$3:$AC$870,I$23,$AE$3:$AE$870,"&lt;="&amp;$B48,$AF$3:$AF$870,"&gt;="&amp;$B48)=0,0,9.99),SUMIFS($AD$3:$AD$870,$AC$3:$AC$870,I$23,$AE$3:$AE$870,"&lt;="&amp;$B48,$AF$3:$AF$870,"&gt;="&amp;$B48)/INDEX('01_INPUTS'!$E$17:$E$31,MATCH(I$23,'01_INPUTS'!$B$17:$B$31,0)))</f>
        <v>0</v>
      </c>
      <c r="J48" s="61">
        <f>IF(INDEX('01_INPUTS'!$E$17:$E$31,MATCH(J$23,'01_INPUTS'!$B$17:$B$31,0))=0,IF(SUMIFS($AD$3:$AD$870,$AC$3:$AC$870,J$23,$AE$3:$AE$870,"&lt;="&amp;$B48,$AF$3:$AF$870,"&gt;="&amp;$B48)=0,0,9.99),SUMIFS($AD$3:$AD$870,$AC$3:$AC$870,J$23,$AE$3:$AE$870,"&lt;="&amp;$B48,$AF$3:$AF$870,"&gt;="&amp;$B48)/INDEX('01_INPUTS'!$E$17:$E$31,MATCH(J$23,'01_INPUTS'!$B$17:$B$31,0)))</f>
        <v>0.5</v>
      </c>
      <c r="K48" s="61">
        <f>IF(INDEX('01_INPUTS'!$E$17:$E$31,MATCH(K$23,'01_INPUTS'!$B$17:$B$31,0))=0,IF(SUMIFS($AD$3:$AD$870,$AC$3:$AC$870,K$23,$AE$3:$AE$870,"&lt;="&amp;$B48,$AF$3:$AF$870,"&gt;="&amp;$B48)=0,0,9.99),SUMIFS($AD$3:$AD$870,$AC$3:$AC$870,K$23,$AE$3:$AE$870,"&lt;="&amp;$B48,$AF$3:$AF$870,"&gt;="&amp;$B48)/INDEX('01_INPUTS'!$E$17:$E$31,MATCH(K$23,'01_INPUTS'!$B$17:$B$31,0)))</f>
        <v>0.5</v>
      </c>
      <c r="L48" s="61">
        <f>IF(INDEX('01_INPUTS'!$E$17:$E$31,MATCH(L$23,'01_INPUTS'!$B$17:$B$31,0))=0,IF(SUMIFS($AD$3:$AD$870,$AC$3:$AC$870,L$23,$AE$3:$AE$870,"&lt;="&amp;$B48,$AF$3:$AF$870,"&gt;="&amp;$B48)=0,0,9.99),SUMIFS($AD$3:$AD$870,$AC$3:$AC$870,L$23,$AE$3:$AE$870,"&lt;="&amp;$B48,$AF$3:$AF$870,"&gt;="&amp;$B48)/INDEX('01_INPUTS'!$E$17:$E$31,MATCH(L$23,'01_INPUTS'!$B$17:$B$31,0)))</f>
        <v>0.5</v>
      </c>
      <c r="M48" s="61">
        <f>IF(INDEX('01_INPUTS'!$E$17:$E$31,MATCH(M$23,'01_INPUTS'!$B$17:$B$31,0))=0,IF(SUMIFS($AD$3:$AD$870,$AC$3:$AC$870,M$23,$AE$3:$AE$870,"&lt;="&amp;$B48,$AF$3:$AF$870,"&gt;="&amp;$B48)=0,0,9.99),SUMIFS($AD$3:$AD$870,$AC$3:$AC$870,M$23,$AE$3:$AE$870,"&lt;="&amp;$B48,$AF$3:$AF$870,"&gt;="&amp;$B48)/INDEX('01_INPUTS'!$E$17:$E$31,MATCH(M$23,'01_INPUTS'!$B$17:$B$31,0)))</f>
        <v>0.5</v>
      </c>
      <c r="N48" s="61">
        <f>IF(INDEX('01_INPUTS'!$E$17:$E$31,MATCH(N$23,'01_INPUTS'!$B$17:$B$31,0))=0,IF(SUMIFS($AD$3:$AD$870,$AC$3:$AC$870,N$23,$AE$3:$AE$870,"&lt;="&amp;$B48,$AF$3:$AF$870,"&gt;="&amp;$B48)=0,0,9.99),SUMIFS($AD$3:$AD$870,$AC$3:$AC$870,N$23,$AE$3:$AE$870,"&lt;="&amp;$B48,$AF$3:$AF$870,"&gt;="&amp;$B48)/INDEX('01_INPUTS'!$E$17:$E$31,MATCH(N$23,'01_INPUTS'!$B$17:$B$31,0)))</f>
        <v>0.5</v>
      </c>
      <c r="O48" s="61">
        <f>IF(INDEX('01_INPUTS'!$E$17:$E$31,MATCH(O$23,'01_INPUTS'!$B$17:$B$31,0))=0,IF(SUMIFS($AD$3:$AD$870,$AC$3:$AC$870,O$23,$AE$3:$AE$870,"&lt;="&amp;$B48,$AF$3:$AF$870,"&gt;="&amp;$B48)=0,0,9.99),SUMIFS($AD$3:$AD$870,$AC$3:$AC$870,O$23,$AE$3:$AE$870,"&lt;="&amp;$B48,$AF$3:$AF$870,"&gt;="&amp;$B48)/INDEX('01_INPUTS'!$E$17:$E$31,MATCH(O$23,'01_INPUTS'!$B$17:$B$31,0)))</f>
        <v>0.5</v>
      </c>
      <c r="P48" s="61">
        <f>IF(INDEX('01_INPUTS'!$E$17:$E$31,MATCH(P$23,'01_INPUTS'!$B$17:$B$31,0))=0,IF(SUMIFS($AD$3:$AD$870,$AC$3:$AC$870,P$23,$AE$3:$AE$870,"&lt;="&amp;$B48,$AF$3:$AF$870,"&gt;="&amp;$B48)=0,0,9.99),SUMIFS($AD$3:$AD$870,$AC$3:$AC$870,P$23,$AE$3:$AE$870,"&lt;="&amp;$B48,$AF$3:$AF$870,"&gt;="&amp;$B48)/INDEX('01_INPUTS'!$E$17:$E$31,MATCH(P$23,'01_INPUTS'!$B$17:$B$31,0)))</f>
        <v>3</v>
      </c>
      <c r="Q48" s="61">
        <f>IF(INDEX('01_INPUTS'!$E$17:$E$31,MATCH(Q$23,'01_INPUTS'!$B$17:$B$31,0))=0,IF(SUMIFS($AD$3:$AD$870,$AC$3:$AC$870,Q$23,$AE$3:$AE$870,"&lt;="&amp;$B48,$AF$3:$AF$870,"&gt;="&amp;$B48)=0,0,9.99),SUMIFS($AD$3:$AD$870,$AC$3:$AC$870,Q$23,$AE$3:$AE$870,"&lt;="&amp;$B48,$AF$3:$AF$870,"&gt;="&amp;$B48)/INDEX('01_INPUTS'!$E$17:$E$31,MATCH(Q$23,'01_INPUTS'!$B$17:$B$31,0)))</f>
        <v>0</v>
      </c>
      <c r="R48" s="61">
        <f>IF(INDEX('01_INPUTS'!$E$17:$E$31,MATCH(R$23,'01_INPUTS'!$B$17:$B$31,0))=0,IF(SUMIFS($AD$3:$AD$870,$AC$3:$AC$870,R$23,$AE$3:$AE$870,"&lt;="&amp;$B48,$AF$3:$AF$870,"&gt;="&amp;$B48)=0,0,9.99),SUMIFS($AD$3:$AD$870,$AC$3:$AC$870,R$23,$AE$3:$AE$870,"&lt;="&amp;$B48,$AF$3:$AF$870,"&gt;="&amp;$B48)/INDEX('01_INPUTS'!$E$17:$E$31,MATCH(R$23,'01_INPUTS'!$B$17:$B$31,0)))</f>
        <v>0</v>
      </c>
      <c r="S48">
        <f t="shared" si="1"/>
        <v>10</v>
      </c>
      <c r="T48">
        <f>SUM('01_INPUTS'!$E$17:$E$31)</f>
        <v>20</v>
      </c>
      <c r="U48" s="61">
        <f t="shared" si="2"/>
        <v>0.5</v>
      </c>
      <c r="V48">
        <f t="shared" si="3"/>
        <v>2</v>
      </c>
      <c r="W48" t="str">
        <f t="shared" si="4"/>
        <v>ROJO</v>
      </c>
      <c r="AA48" s="51" t="str">
        <f>'Sites Master'!$B$2</f>
        <v>Site 01</v>
      </c>
      <c r="AB48" s="51" t="str">
        <f>'Phase-Resource Allocation'!$B$109</f>
        <v>Go Live</v>
      </c>
      <c r="AC48" s="51" t="str">
        <f>'Phase-Resource Allocation'!$C$109</f>
        <v>Functional Lead</v>
      </c>
      <c r="AD48" s="60">
        <f>'Phase-Resource Allocation'!$D$109</f>
        <v>1</v>
      </c>
      <c r="AE48" s="51">
        <f>IFERROR(INDEX('02_SCHEDULE'!$K$5:$K$124,MATCH(AA48&amp;"|"&amp;AB48,'02_SCHEDULE'!$M$5:$M$124,0)),0)</f>
        <v>12</v>
      </c>
      <c r="AF48" s="51">
        <f>IFERROR(INDEX('02_SCHEDULE'!$L$5:$L$124,MATCH(AA48&amp;"|"&amp;AB48,'02_SCHEDULE'!$M$5:$M$124,0)),0)</f>
        <v>12</v>
      </c>
      <c r="AG48" s="51">
        <f t="shared" si="0"/>
        <v>1</v>
      </c>
    </row>
    <row r="49" spans="2:33" x14ac:dyDescent="0.3">
      <c r="B49">
        <f>26</f>
        <v>26</v>
      </c>
      <c r="C49" s="55">
        <f>'01_INPUTS'!$C$7+(26-1)*7</f>
        <v>46426</v>
      </c>
      <c r="D49" s="61">
        <f>IF(INDEX('01_INPUTS'!$E$17:$E$31,MATCH(D$23,'01_INPUTS'!$B$17:$B$31,0))=0,IF(SUMIFS($AD$3:$AD$870,$AC$3:$AC$870,D$23,$AE$3:$AE$870,"&lt;="&amp;$B49,$AF$3:$AF$870,"&gt;="&amp;$B49)=0,0,9.99),SUMIFS($AD$3:$AD$870,$AC$3:$AC$870,D$23,$AE$3:$AE$870,"&lt;="&amp;$B49,$AF$3:$AF$870,"&gt;="&amp;$B49)/INDEX('01_INPUTS'!$E$17:$E$31,MATCH(D$23,'01_INPUTS'!$B$17:$B$31,0)))</f>
        <v>1</v>
      </c>
      <c r="E49" s="61">
        <f>IF(INDEX('01_INPUTS'!$E$17:$E$31,MATCH(E$23,'01_INPUTS'!$B$17:$B$31,0))=0,IF(SUMIFS($AD$3:$AD$870,$AC$3:$AC$870,E$23,$AE$3:$AE$870,"&lt;="&amp;$B49,$AF$3:$AF$870,"&gt;="&amp;$B49)=0,0,9.99),SUMIFS($AD$3:$AD$870,$AC$3:$AC$870,E$23,$AE$3:$AE$870,"&lt;="&amp;$B49,$AF$3:$AF$870,"&gt;="&amp;$B49)/INDEX('01_INPUTS'!$E$17:$E$31,MATCH(E$23,'01_INPUTS'!$B$17:$B$31,0)))</f>
        <v>0</v>
      </c>
      <c r="F49" s="61">
        <f>IF(INDEX('01_INPUTS'!$E$17:$E$31,MATCH(F$23,'01_INPUTS'!$B$17:$B$31,0))=0,IF(SUMIFS($AD$3:$AD$870,$AC$3:$AC$870,F$23,$AE$3:$AE$870,"&lt;="&amp;$B49,$AF$3:$AF$870,"&gt;="&amp;$B49)=0,0,9.99),SUMIFS($AD$3:$AD$870,$AC$3:$AC$870,F$23,$AE$3:$AE$870,"&lt;="&amp;$B49,$AF$3:$AF$870,"&gt;="&amp;$B49)/INDEX('01_INPUTS'!$E$17:$E$31,MATCH(F$23,'01_INPUTS'!$B$17:$B$31,0)))</f>
        <v>0</v>
      </c>
      <c r="G49" s="61">
        <f>IF(INDEX('01_INPUTS'!$E$17:$E$31,MATCH(G$23,'01_INPUTS'!$B$17:$B$31,0))=0,IF(SUMIFS($AD$3:$AD$870,$AC$3:$AC$870,G$23,$AE$3:$AE$870,"&lt;="&amp;$B49,$AF$3:$AF$870,"&gt;="&amp;$B49)=0,0,9.99),SUMIFS($AD$3:$AD$870,$AC$3:$AC$870,G$23,$AE$3:$AE$870,"&lt;="&amp;$B49,$AF$3:$AF$870,"&gt;="&amp;$B49)/INDEX('01_INPUTS'!$E$17:$E$31,MATCH(G$23,'01_INPUTS'!$B$17:$B$31,0)))</f>
        <v>0</v>
      </c>
      <c r="H49" s="61">
        <f>IF(INDEX('01_INPUTS'!$E$17:$E$31,MATCH(H$23,'01_INPUTS'!$B$17:$B$31,0))=0,IF(SUMIFS($AD$3:$AD$870,$AC$3:$AC$870,H$23,$AE$3:$AE$870,"&lt;="&amp;$B49,$AF$3:$AF$870,"&gt;="&amp;$B49)=0,0,9.99),SUMIFS($AD$3:$AD$870,$AC$3:$AC$870,H$23,$AE$3:$AE$870,"&lt;="&amp;$B49,$AF$3:$AF$870,"&gt;="&amp;$B49)/INDEX('01_INPUTS'!$E$17:$E$31,MATCH(H$23,'01_INPUTS'!$B$17:$B$31,0)))</f>
        <v>1.5</v>
      </c>
      <c r="I49" s="61">
        <f>IF(INDEX('01_INPUTS'!$E$17:$E$31,MATCH(I$23,'01_INPUTS'!$B$17:$B$31,0))=0,IF(SUMIFS($AD$3:$AD$870,$AC$3:$AC$870,I$23,$AE$3:$AE$870,"&lt;="&amp;$B49,$AF$3:$AF$870,"&gt;="&amp;$B49)=0,0,9.99),SUMIFS($AD$3:$AD$870,$AC$3:$AC$870,I$23,$AE$3:$AE$870,"&lt;="&amp;$B49,$AF$3:$AF$870,"&gt;="&amp;$B49)/INDEX('01_INPUTS'!$E$17:$E$31,MATCH(I$23,'01_INPUTS'!$B$17:$B$31,0)))</f>
        <v>0</v>
      </c>
      <c r="J49" s="61">
        <f>IF(INDEX('01_INPUTS'!$E$17:$E$31,MATCH(J$23,'01_INPUTS'!$B$17:$B$31,0))=0,IF(SUMIFS($AD$3:$AD$870,$AC$3:$AC$870,J$23,$AE$3:$AE$870,"&lt;="&amp;$B49,$AF$3:$AF$870,"&gt;="&amp;$B49)=0,0,9.99),SUMIFS($AD$3:$AD$870,$AC$3:$AC$870,J$23,$AE$3:$AE$870,"&lt;="&amp;$B49,$AF$3:$AF$870,"&gt;="&amp;$B49)/INDEX('01_INPUTS'!$E$17:$E$31,MATCH(J$23,'01_INPUTS'!$B$17:$B$31,0)))</f>
        <v>1</v>
      </c>
      <c r="K49" s="61">
        <f>IF(INDEX('01_INPUTS'!$E$17:$E$31,MATCH(K$23,'01_INPUTS'!$B$17:$B$31,0))=0,IF(SUMIFS($AD$3:$AD$870,$AC$3:$AC$870,K$23,$AE$3:$AE$870,"&lt;="&amp;$B49,$AF$3:$AF$870,"&gt;="&amp;$B49)=0,0,9.99),SUMIFS($AD$3:$AD$870,$AC$3:$AC$870,K$23,$AE$3:$AE$870,"&lt;="&amp;$B49,$AF$3:$AF$870,"&gt;="&amp;$B49)/INDEX('01_INPUTS'!$E$17:$E$31,MATCH(K$23,'01_INPUTS'!$B$17:$B$31,0)))</f>
        <v>0.5</v>
      </c>
      <c r="L49" s="61">
        <f>IF(INDEX('01_INPUTS'!$E$17:$E$31,MATCH(L$23,'01_INPUTS'!$B$17:$B$31,0))=0,IF(SUMIFS($AD$3:$AD$870,$AC$3:$AC$870,L$23,$AE$3:$AE$870,"&lt;="&amp;$B49,$AF$3:$AF$870,"&gt;="&amp;$B49)=0,0,9.99),SUMIFS($AD$3:$AD$870,$AC$3:$AC$870,L$23,$AE$3:$AE$870,"&lt;="&amp;$B49,$AF$3:$AF$870,"&gt;="&amp;$B49)/INDEX('01_INPUTS'!$E$17:$E$31,MATCH(L$23,'01_INPUTS'!$B$17:$B$31,0)))</f>
        <v>0.5</v>
      </c>
      <c r="M49" s="61">
        <f>IF(INDEX('01_INPUTS'!$E$17:$E$31,MATCH(M$23,'01_INPUTS'!$B$17:$B$31,0))=0,IF(SUMIFS($AD$3:$AD$870,$AC$3:$AC$870,M$23,$AE$3:$AE$870,"&lt;="&amp;$B49,$AF$3:$AF$870,"&gt;="&amp;$B49)=0,0,9.99),SUMIFS($AD$3:$AD$870,$AC$3:$AC$870,M$23,$AE$3:$AE$870,"&lt;="&amp;$B49,$AF$3:$AF$870,"&gt;="&amp;$B49)/INDEX('01_INPUTS'!$E$17:$E$31,MATCH(M$23,'01_INPUTS'!$B$17:$B$31,0)))</f>
        <v>1.25</v>
      </c>
      <c r="N49" s="61">
        <f>IF(INDEX('01_INPUTS'!$E$17:$E$31,MATCH(N$23,'01_INPUTS'!$B$17:$B$31,0))=0,IF(SUMIFS($AD$3:$AD$870,$AC$3:$AC$870,N$23,$AE$3:$AE$870,"&lt;="&amp;$B49,$AF$3:$AF$870,"&gt;="&amp;$B49)=0,0,9.99),SUMIFS($AD$3:$AD$870,$AC$3:$AC$870,N$23,$AE$3:$AE$870,"&lt;="&amp;$B49,$AF$3:$AF$870,"&gt;="&amp;$B49)/INDEX('01_INPUTS'!$E$17:$E$31,MATCH(N$23,'01_INPUTS'!$B$17:$B$31,0)))</f>
        <v>1.25</v>
      </c>
      <c r="O49" s="61">
        <f>IF(INDEX('01_INPUTS'!$E$17:$E$31,MATCH(O$23,'01_INPUTS'!$B$17:$B$31,0))=0,IF(SUMIFS($AD$3:$AD$870,$AC$3:$AC$870,O$23,$AE$3:$AE$870,"&lt;="&amp;$B49,$AF$3:$AF$870,"&gt;="&amp;$B49)=0,0,9.99),SUMIFS($AD$3:$AD$870,$AC$3:$AC$870,O$23,$AE$3:$AE$870,"&lt;="&amp;$B49,$AF$3:$AF$870,"&gt;="&amp;$B49)/INDEX('01_INPUTS'!$E$17:$E$31,MATCH(O$23,'01_INPUTS'!$B$17:$B$31,0)))</f>
        <v>0.5</v>
      </c>
      <c r="P49" s="61">
        <f>IF(INDEX('01_INPUTS'!$E$17:$E$31,MATCH(P$23,'01_INPUTS'!$B$17:$B$31,0))=0,IF(SUMIFS($AD$3:$AD$870,$AC$3:$AC$870,P$23,$AE$3:$AE$870,"&lt;="&amp;$B49,$AF$3:$AF$870,"&gt;="&amp;$B49)=0,0,9.99),SUMIFS($AD$3:$AD$870,$AC$3:$AC$870,P$23,$AE$3:$AE$870,"&lt;="&amp;$B49,$AF$3:$AF$870,"&gt;="&amp;$B49)/INDEX('01_INPUTS'!$E$17:$E$31,MATCH(P$23,'01_INPUTS'!$B$17:$B$31,0)))</f>
        <v>3</v>
      </c>
      <c r="Q49" s="61">
        <f>IF(INDEX('01_INPUTS'!$E$17:$E$31,MATCH(Q$23,'01_INPUTS'!$B$17:$B$31,0))=0,IF(SUMIFS($AD$3:$AD$870,$AC$3:$AC$870,Q$23,$AE$3:$AE$870,"&lt;="&amp;$B49,$AF$3:$AF$870,"&gt;="&amp;$B49)=0,0,9.99),SUMIFS($AD$3:$AD$870,$AC$3:$AC$870,Q$23,$AE$3:$AE$870,"&lt;="&amp;$B49,$AF$3:$AF$870,"&gt;="&amp;$B49)/INDEX('01_INPUTS'!$E$17:$E$31,MATCH(Q$23,'01_INPUTS'!$B$17:$B$31,0)))</f>
        <v>0.5</v>
      </c>
      <c r="R49" s="61">
        <f>IF(INDEX('01_INPUTS'!$E$17:$E$31,MATCH(R$23,'01_INPUTS'!$B$17:$B$31,0))=0,IF(SUMIFS($AD$3:$AD$870,$AC$3:$AC$870,R$23,$AE$3:$AE$870,"&lt;="&amp;$B49,$AF$3:$AF$870,"&gt;="&amp;$B49)=0,0,9.99),SUMIFS($AD$3:$AD$870,$AC$3:$AC$870,R$23,$AE$3:$AE$870,"&lt;="&amp;$B49,$AF$3:$AF$870,"&gt;="&amp;$B49)/INDEX('01_INPUTS'!$E$17:$E$31,MATCH(R$23,'01_INPUTS'!$B$17:$B$31,0)))</f>
        <v>0</v>
      </c>
      <c r="S49">
        <f t="shared" si="1"/>
        <v>14</v>
      </c>
      <c r="T49">
        <f>SUM('01_INPUTS'!$E$17:$E$31)</f>
        <v>20</v>
      </c>
      <c r="U49" s="61">
        <f t="shared" si="2"/>
        <v>0.7</v>
      </c>
      <c r="V49">
        <f t="shared" si="3"/>
        <v>4</v>
      </c>
      <c r="W49" t="str">
        <f t="shared" si="4"/>
        <v>ROJO</v>
      </c>
      <c r="AA49" s="51" t="str">
        <f>'Sites Master'!$B$2</f>
        <v>Site 01</v>
      </c>
      <c r="AB49" s="51" t="str">
        <f>'Phase-Resource Allocation'!$B$110</f>
        <v>Go Live</v>
      </c>
      <c r="AC49" s="51" t="str">
        <f>'Phase-Resource Allocation'!$C$110</f>
        <v>Trainers</v>
      </c>
      <c r="AD49" s="60">
        <f>'Phase-Resource Allocation'!$D$110</f>
        <v>1</v>
      </c>
      <c r="AE49" s="51">
        <f>IFERROR(INDEX('02_SCHEDULE'!$K$5:$K$124,MATCH(AA49&amp;"|"&amp;AB49,'02_SCHEDULE'!$M$5:$M$124,0)),0)</f>
        <v>12</v>
      </c>
      <c r="AF49" s="51">
        <f>IFERROR(INDEX('02_SCHEDULE'!$L$5:$L$124,MATCH(AA49&amp;"|"&amp;AB49,'02_SCHEDULE'!$M$5:$M$124,0)),0)</f>
        <v>12</v>
      </c>
      <c r="AG49" s="51">
        <f t="shared" si="0"/>
        <v>1</v>
      </c>
    </row>
    <row r="50" spans="2:33" x14ac:dyDescent="0.3">
      <c r="B50">
        <f>27</f>
        <v>27</v>
      </c>
      <c r="C50" s="55">
        <f>'01_INPUTS'!$C$7+(27-1)*7</f>
        <v>46433</v>
      </c>
      <c r="D50" s="61">
        <f>IF(INDEX('01_INPUTS'!$E$17:$E$31,MATCH(D$23,'01_INPUTS'!$B$17:$B$31,0))=0,IF(SUMIFS($AD$3:$AD$870,$AC$3:$AC$870,D$23,$AE$3:$AE$870,"&lt;="&amp;$B50,$AF$3:$AF$870,"&gt;="&amp;$B50)=0,0,9.99),SUMIFS($AD$3:$AD$870,$AC$3:$AC$870,D$23,$AE$3:$AE$870,"&lt;="&amp;$B50,$AF$3:$AF$870,"&gt;="&amp;$B50)/INDEX('01_INPUTS'!$E$17:$E$31,MATCH(D$23,'01_INPUTS'!$B$17:$B$31,0)))</f>
        <v>1.5</v>
      </c>
      <c r="E50" s="61">
        <f>IF(INDEX('01_INPUTS'!$E$17:$E$31,MATCH(E$23,'01_INPUTS'!$B$17:$B$31,0))=0,IF(SUMIFS($AD$3:$AD$870,$AC$3:$AC$870,E$23,$AE$3:$AE$870,"&lt;="&amp;$B50,$AF$3:$AF$870,"&gt;="&amp;$B50)=0,0,9.99),SUMIFS($AD$3:$AD$870,$AC$3:$AC$870,E$23,$AE$3:$AE$870,"&lt;="&amp;$B50,$AF$3:$AF$870,"&gt;="&amp;$B50)/INDEX('01_INPUTS'!$E$17:$E$31,MATCH(E$23,'01_INPUTS'!$B$17:$B$31,0)))</f>
        <v>0</v>
      </c>
      <c r="F50" s="61">
        <f>IF(INDEX('01_INPUTS'!$E$17:$E$31,MATCH(F$23,'01_INPUTS'!$B$17:$B$31,0))=0,IF(SUMIFS($AD$3:$AD$870,$AC$3:$AC$870,F$23,$AE$3:$AE$870,"&lt;="&amp;$B50,$AF$3:$AF$870,"&gt;="&amp;$B50)=0,0,9.99),SUMIFS($AD$3:$AD$870,$AC$3:$AC$870,F$23,$AE$3:$AE$870,"&lt;="&amp;$B50,$AF$3:$AF$870,"&gt;="&amp;$B50)/INDEX('01_INPUTS'!$E$17:$E$31,MATCH(F$23,'01_INPUTS'!$B$17:$B$31,0)))</f>
        <v>0</v>
      </c>
      <c r="G50" s="61">
        <f>IF(INDEX('01_INPUTS'!$E$17:$E$31,MATCH(G$23,'01_INPUTS'!$B$17:$B$31,0))=0,IF(SUMIFS($AD$3:$AD$870,$AC$3:$AC$870,G$23,$AE$3:$AE$870,"&lt;="&amp;$B50,$AF$3:$AF$870,"&gt;="&amp;$B50)=0,0,9.99),SUMIFS($AD$3:$AD$870,$AC$3:$AC$870,G$23,$AE$3:$AE$870,"&lt;="&amp;$B50,$AF$3:$AF$870,"&gt;="&amp;$B50)/INDEX('01_INPUTS'!$E$17:$E$31,MATCH(G$23,'01_INPUTS'!$B$17:$B$31,0)))</f>
        <v>0</v>
      </c>
      <c r="H50" s="61">
        <f>IF(INDEX('01_INPUTS'!$E$17:$E$31,MATCH(H$23,'01_INPUTS'!$B$17:$B$31,0))=0,IF(SUMIFS($AD$3:$AD$870,$AC$3:$AC$870,H$23,$AE$3:$AE$870,"&lt;="&amp;$B50,$AF$3:$AF$870,"&gt;="&amp;$B50)=0,0,9.99),SUMIFS($AD$3:$AD$870,$AC$3:$AC$870,H$23,$AE$3:$AE$870,"&lt;="&amp;$B50,$AF$3:$AF$870,"&gt;="&amp;$B50)/INDEX('01_INPUTS'!$E$17:$E$31,MATCH(H$23,'01_INPUTS'!$B$17:$B$31,0)))</f>
        <v>1.5</v>
      </c>
      <c r="I50" s="61">
        <f>IF(INDEX('01_INPUTS'!$E$17:$E$31,MATCH(I$23,'01_INPUTS'!$B$17:$B$31,0))=0,IF(SUMIFS($AD$3:$AD$870,$AC$3:$AC$870,I$23,$AE$3:$AE$870,"&lt;="&amp;$B50,$AF$3:$AF$870,"&gt;="&amp;$B50)=0,0,9.99),SUMIFS($AD$3:$AD$870,$AC$3:$AC$870,I$23,$AE$3:$AE$870,"&lt;="&amp;$B50,$AF$3:$AF$870,"&gt;="&amp;$B50)/INDEX('01_INPUTS'!$E$17:$E$31,MATCH(I$23,'01_INPUTS'!$B$17:$B$31,0)))</f>
        <v>0.5</v>
      </c>
      <c r="J50" s="61">
        <f>IF(INDEX('01_INPUTS'!$E$17:$E$31,MATCH(J$23,'01_INPUTS'!$B$17:$B$31,0))=0,IF(SUMIFS($AD$3:$AD$870,$AC$3:$AC$870,J$23,$AE$3:$AE$870,"&lt;="&amp;$B50,$AF$3:$AF$870,"&gt;="&amp;$B50)=0,0,9.99),SUMIFS($AD$3:$AD$870,$AC$3:$AC$870,J$23,$AE$3:$AE$870,"&lt;="&amp;$B50,$AF$3:$AF$870,"&gt;="&amp;$B50)/INDEX('01_INPUTS'!$E$17:$E$31,MATCH(J$23,'01_INPUTS'!$B$17:$B$31,0)))</f>
        <v>1</v>
      </c>
      <c r="K50" s="61">
        <f>IF(INDEX('01_INPUTS'!$E$17:$E$31,MATCH(K$23,'01_INPUTS'!$B$17:$B$31,0))=0,IF(SUMIFS($AD$3:$AD$870,$AC$3:$AC$870,K$23,$AE$3:$AE$870,"&lt;="&amp;$B50,$AF$3:$AF$870,"&gt;="&amp;$B50)=0,0,9.99),SUMIFS($AD$3:$AD$870,$AC$3:$AC$870,K$23,$AE$3:$AE$870,"&lt;="&amp;$B50,$AF$3:$AF$870,"&gt;="&amp;$B50)/INDEX('01_INPUTS'!$E$17:$E$31,MATCH(K$23,'01_INPUTS'!$B$17:$B$31,0)))</f>
        <v>1</v>
      </c>
      <c r="L50" s="61">
        <f>IF(INDEX('01_INPUTS'!$E$17:$E$31,MATCH(L$23,'01_INPUTS'!$B$17:$B$31,0))=0,IF(SUMIFS($AD$3:$AD$870,$AC$3:$AC$870,L$23,$AE$3:$AE$870,"&lt;="&amp;$B50,$AF$3:$AF$870,"&gt;="&amp;$B50)=0,0,9.99),SUMIFS($AD$3:$AD$870,$AC$3:$AC$870,L$23,$AE$3:$AE$870,"&lt;="&amp;$B50,$AF$3:$AF$870,"&gt;="&amp;$B50)/INDEX('01_INPUTS'!$E$17:$E$31,MATCH(L$23,'01_INPUTS'!$B$17:$B$31,0)))</f>
        <v>1</v>
      </c>
      <c r="M50" s="61">
        <f>IF(INDEX('01_INPUTS'!$E$17:$E$31,MATCH(M$23,'01_INPUTS'!$B$17:$B$31,0))=0,IF(SUMIFS($AD$3:$AD$870,$AC$3:$AC$870,M$23,$AE$3:$AE$870,"&lt;="&amp;$B50,$AF$3:$AF$870,"&gt;="&amp;$B50)=0,0,9.99),SUMIFS($AD$3:$AD$870,$AC$3:$AC$870,M$23,$AE$3:$AE$870,"&lt;="&amp;$B50,$AF$3:$AF$870,"&gt;="&amp;$B50)/INDEX('01_INPUTS'!$E$17:$E$31,MATCH(M$23,'01_INPUTS'!$B$17:$B$31,0)))</f>
        <v>1.75</v>
      </c>
      <c r="N50" s="61">
        <f>IF(INDEX('01_INPUTS'!$E$17:$E$31,MATCH(N$23,'01_INPUTS'!$B$17:$B$31,0))=0,IF(SUMIFS($AD$3:$AD$870,$AC$3:$AC$870,N$23,$AE$3:$AE$870,"&lt;="&amp;$B50,$AF$3:$AF$870,"&gt;="&amp;$B50)=0,0,9.99),SUMIFS($AD$3:$AD$870,$AC$3:$AC$870,N$23,$AE$3:$AE$870,"&lt;="&amp;$B50,$AF$3:$AF$870,"&gt;="&amp;$B50)/INDEX('01_INPUTS'!$E$17:$E$31,MATCH(N$23,'01_INPUTS'!$B$17:$B$31,0)))</f>
        <v>1.75</v>
      </c>
      <c r="O50" s="61">
        <f>IF(INDEX('01_INPUTS'!$E$17:$E$31,MATCH(O$23,'01_INPUTS'!$B$17:$B$31,0))=0,IF(SUMIFS($AD$3:$AD$870,$AC$3:$AC$870,O$23,$AE$3:$AE$870,"&lt;="&amp;$B50,$AF$3:$AF$870,"&gt;="&amp;$B50)=0,0,9.99),SUMIFS($AD$3:$AD$870,$AC$3:$AC$870,O$23,$AE$3:$AE$870,"&lt;="&amp;$B50,$AF$3:$AF$870,"&gt;="&amp;$B50)/INDEX('01_INPUTS'!$E$17:$E$31,MATCH(O$23,'01_INPUTS'!$B$17:$B$31,0)))</f>
        <v>0</v>
      </c>
      <c r="P50" s="61">
        <f>IF(INDEX('01_INPUTS'!$E$17:$E$31,MATCH(P$23,'01_INPUTS'!$B$17:$B$31,0))=0,IF(SUMIFS($AD$3:$AD$870,$AC$3:$AC$870,P$23,$AE$3:$AE$870,"&lt;="&amp;$B50,$AF$3:$AF$870,"&gt;="&amp;$B50)=0,0,9.99),SUMIFS($AD$3:$AD$870,$AC$3:$AC$870,P$23,$AE$3:$AE$870,"&lt;="&amp;$B50,$AF$3:$AF$870,"&gt;="&amp;$B50)/INDEX('01_INPUTS'!$E$17:$E$31,MATCH(P$23,'01_INPUTS'!$B$17:$B$31,0)))</f>
        <v>3</v>
      </c>
      <c r="Q50" s="61">
        <f>IF(INDEX('01_INPUTS'!$E$17:$E$31,MATCH(Q$23,'01_INPUTS'!$B$17:$B$31,0))=0,IF(SUMIFS($AD$3:$AD$870,$AC$3:$AC$870,Q$23,$AE$3:$AE$870,"&lt;="&amp;$B50,$AF$3:$AF$870,"&gt;="&amp;$B50)=0,0,9.99),SUMIFS($AD$3:$AD$870,$AC$3:$AC$870,Q$23,$AE$3:$AE$870,"&lt;="&amp;$B50,$AF$3:$AF$870,"&gt;="&amp;$B50)/INDEX('01_INPUTS'!$E$17:$E$31,MATCH(Q$23,'01_INPUTS'!$B$17:$B$31,0)))</f>
        <v>1</v>
      </c>
      <c r="R50" s="61">
        <f>IF(INDEX('01_INPUTS'!$E$17:$E$31,MATCH(R$23,'01_INPUTS'!$B$17:$B$31,0))=0,IF(SUMIFS($AD$3:$AD$870,$AC$3:$AC$870,R$23,$AE$3:$AE$870,"&lt;="&amp;$B50,$AF$3:$AF$870,"&gt;="&amp;$B50)=0,0,9.99),SUMIFS($AD$3:$AD$870,$AC$3:$AC$870,R$23,$AE$3:$AE$870,"&lt;="&amp;$B50,$AF$3:$AF$870,"&gt;="&amp;$B50)/INDEX('01_INPUTS'!$E$17:$E$31,MATCH(R$23,'01_INPUTS'!$B$17:$B$31,0)))</f>
        <v>0</v>
      </c>
      <c r="S50">
        <f t="shared" si="1"/>
        <v>18</v>
      </c>
      <c r="T50">
        <f>SUM('01_INPUTS'!$E$17:$E$31)</f>
        <v>20</v>
      </c>
      <c r="U50" s="61">
        <f t="shared" si="2"/>
        <v>0.9</v>
      </c>
      <c r="V50">
        <f t="shared" si="3"/>
        <v>5</v>
      </c>
      <c r="W50" t="str">
        <f t="shared" si="4"/>
        <v>ROJO</v>
      </c>
      <c r="AA50" s="51" t="str">
        <f>'Sites Master'!$B$2</f>
        <v>Site 01</v>
      </c>
      <c r="AB50" s="51" t="str">
        <f>'Phase-Resource Allocation'!$B$111</f>
        <v>Go Live</v>
      </c>
      <c r="AC50" s="51" t="str">
        <f>'Phase-Resource Allocation'!$C$111</f>
        <v>Infrastructure Lead</v>
      </c>
      <c r="AD50" s="60">
        <f>'Phase-Resource Allocation'!$D$111</f>
        <v>1</v>
      </c>
      <c r="AE50" s="51">
        <f>IFERROR(INDEX('02_SCHEDULE'!$K$5:$K$124,MATCH(AA50&amp;"|"&amp;AB50,'02_SCHEDULE'!$M$5:$M$124,0)),0)</f>
        <v>12</v>
      </c>
      <c r="AF50" s="51">
        <f>IFERROR(INDEX('02_SCHEDULE'!$L$5:$L$124,MATCH(AA50&amp;"|"&amp;AB50,'02_SCHEDULE'!$M$5:$M$124,0)),0)</f>
        <v>12</v>
      </c>
      <c r="AG50" s="51">
        <f t="shared" si="0"/>
        <v>1</v>
      </c>
    </row>
    <row r="51" spans="2:33" x14ac:dyDescent="0.3">
      <c r="B51">
        <f>28</f>
        <v>28</v>
      </c>
      <c r="C51" s="55">
        <f>'01_INPUTS'!$C$7+(28-1)*7</f>
        <v>46440</v>
      </c>
      <c r="D51" s="61">
        <f>IF(INDEX('01_INPUTS'!$E$17:$E$31,MATCH(D$23,'01_INPUTS'!$B$17:$B$31,0))=0,IF(SUMIFS($AD$3:$AD$870,$AC$3:$AC$870,D$23,$AE$3:$AE$870,"&lt;="&amp;$B51,$AF$3:$AF$870,"&gt;="&amp;$B51)=0,0,9.99),SUMIFS($AD$3:$AD$870,$AC$3:$AC$870,D$23,$AE$3:$AE$870,"&lt;="&amp;$B51,$AF$3:$AF$870,"&gt;="&amp;$B51)/INDEX('01_INPUTS'!$E$17:$E$31,MATCH(D$23,'01_INPUTS'!$B$17:$B$31,0)))</f>
        <v>1.5</v>
      </c>
      <c r="E51" s="61">
        <f>IF(INDEX('01_INPUTS'!$E$17:$E$31,MATCH(E$23,'01_INPUTS'!$B$17:$B$31,0))=0,IF(SUMIFS($AD$3:$AD$870,$AC$3:$AC$870,E$23,$AE$3:$AE$870,"&lt;="&amp;$B51,$AF$3:$AF$870,"&gt;="&amp;$B51)=0,0,9.99),SUMIFS($AD$3:$AD$870,$AC$3:$AC$870,E$23,$AE$3:$AE$870,"&lt;="&amp;$B51,$AF$3:$AF$870,"&gt;="&amp;$B51)/INDEX('01_INPUTS'!$E$17:$E$31,MATCH(E$23,'01_INPUTS'!$B$17:$B$31,0)))</f>
        <v>0</v>
      </c>
      <c r="F51" s="61">
        <f>IF(INDEX('01_INPUTS'!$E$17:$E$31,MATCH(F$23,'01_INPUTS'!$B$17:$B$31,0))=0,IF(SUMIFS($AD$3:$AD$870,$AC$3:$AC$870,F$23,$AE$3:$AE$870,"&lt;="&amp;$B51,$AF$3:$AF$870,"&gt;="&amp;$B51)=0,0,9.99),SUMIFS($AD$3:$AD$870,$AC$3:$AC$870,F$23,$AE$3:$AE$870,"&lt;="&amp;$B51,$AF$3:$AF$870,"&gt;="&amp;$B51)/INDEX('01_INPUTS'!$E$17:$E$31,MATCH(F$23,'01_INPUTS'!$B$17:$B$31,0)))</f>
        <v>0</v>
      </c>
      <c r="G51" s="61">
        <f>IF(INDEX('01_INPUTS'!$E$17:$E$31,MATCH(G$23,'01_INPUTS'!$B$17:$B$31,0))=0,IF(SUMIFS($AD$3:$AD$870,$AC$3:$AC$870,G$23,$AE$3:$AE$870,"&lt;="&amp;$B51,$AF$3:$AF$870,"&gt;="&amp;$B51)=0,0,9.99),SUMIFS($AD$3:$AD$870,$AC$3:$AC$870,G$23,$AE$3:$AE$870,"&lt;="&amp;$B51,$AF$3:$AF$870,"&gt;="&amp;$B51)/INDEX('01_INPUTS'!$E$17:$E$31,MATCH(G$23,'01_INPUTS'!$B$17:$B$31,0)))</f>
        <v>0</v>
      </c>
      <c r="H51" s="61">
        <f>IF(INDEX('01_INPUTS'!$E$17:$E$31,MATCH(H$23,'01_INPUTS'!$B$17:$B$31,0))=0,IF(SUMIFS($AD$3:$AD$870,$AC$3:$AC$870,H$23,$AE$3:$AE$870,"&lt;="&amp;$B51,$AF$3:$AF$870,"&gt;="&amp;$B51)=0,0,9.99),SUMIFS($AD$3:$AD$870,$AC$3:$AC$870,H$23,$AE$3:$AE$870,"&lt;="&amp;$B51,$AF$3:$AF$870,"&gt;="&amp;$B51)/INDEX('01_INPUTS'!$E$17:$E$31,MATCH(H$23,'01_INPUTS'!$B$17:$B$31,0)))</f>
        <v>1.5</v>
      </c>
      <c r="I51" s="61">
        <f>IF(INDEX('01_INPUTS'!$E$17:$E$31,MATCH(I$23,'01_INPUTS'!$B$17:$B$31,0))=0,IF(SUMIFS($AD$3:$AD$870,$AC$3:$AC$870,I$23,$AE$3:$AE$870,"&lt;="&amp;$B51,$AF$3:$AF$870,"&gt;="&amp;$B51)=0,0,9.99),SUMIFS($AD$3:$AD$870,$AC$3:$AC$870,I$23,$AE$3:$AE$870,"&lt;="&amp;$B51,$AF$3:$AF$870,"&gt;="&amp;$B51)/INDEX('01_INPUTS'!$E$17:$E$31,MATCH(I$23,'01_INPUTS'!$B$17:$B$31,0)))</f>
        <v>1</v>
      </c>
      <c r="J51" s="61">
        <f>IF(INDEX('01_INPUTS'!$E$17:$E$31,MATCH(J$23,'01_INPUTS'!$B$17:$B$31,0))=0,IF(SUMIFS($AD$3:$AD$870,$AC$3:$AC$870,J$23,$AE$3:$AE$870,"&lt;="&amp;$B51,$AF$3:$AF$870,"&gt;="&amp;$B51)=0,0,9.99),SUMIFS($AD$3:$AD$870,$AC$3:$AC$870,J$23,$AE$3:$AE$870,"&lt;="&amp;$B51,$AF$3:$AF$870,"&gt;="&amp;$B51)/INDEX('01_INPUTS'!$E$17:$E$31,MATCH(J$23,'01_INPUTS'!$B$17:$B$31,0)))</f>
        <v>1.5</v>
      </c>
      <c r="K51" s="61">
        <f>IF(INDEX('01_INPUTS'!$E$17:$E$31,MATCH(K$23,'01_INPUTS'!$B$17:$B$31,0))=0,IF(SUMIFS($AD$3:$AD$870,$AC$3:$AC$870,K$23,$AE$3:$AE$870,"&lt;="&amp;$B51,$AF$3:$AF$870,"&gt;="&amp;$B51)=0,0,9.99),SUMIFS($AD$3:$AD$870,$AC$3:$AC$870,K$23,$AE$3:$AE$870,"&lt;="&amp;$B51,$AF$3:$AF$870,"&gt;="&amp;$B51)/INDEX('01_INPUTS'!$E$17:$E$31,MATCH(K$23,'01_INPUTS'!$B$17:$B$31,0)))</f>
        <v>1.5</v>
      </c>
      <c r="L51" s="61">
        <f>IF(INDEX('01_INPUTS'!$E$17:$E$31,MATCH(L$23,'01_INPUTS'!$B$17:$B$31,0))=0,IF(SUMIFS($AD$3:$AD$870,$AC$3:$AC$870,L$23,$AE$3:$AE$870,"&lt;="&amp;$B51,$AF$3:$AF$870,"&gt;="&amp;$B51)=0,0,9.99),SUMIFS($AD$3:$AD$870,$AC$3:$AC$870,L$23,$AE$3:$AE$870,"&lt;="&amp;$B51,$AF$3:$AF$870,"&gt;="&amp;$B51)/INDEX('01_INPUTS'!$E$17:$E$31,MATCH(L$23,'01_INPUTS'!$B$17:$B$31,0)))</f>
        <v>1.5</v>
      </c>
      <c r="M51" s="61">
        <f>IF(INDEX('01_INPUTS'!$E$17:$E$31,MATCH(M$23,'01_INPUTS'!$B$17:$B$31,0))=0,IF(SUMIFS($AD$3:$AD$870,$AC$3:$AC$870,M$23,$AE$3:$AE$870,"&lt;="&amp;$B51,$AF$3:$AF$870,"&gt;="&amp;$B51)=0,0,9.99),SUMIFS($AD$3:$AD$870,$AC$3:$AC$870,M$23,$AE$3:$AE$870,"&lt;="&amp;$B51,$AF$3:$AF$870,"&gt;="&amp;$B51)/INDEX('01_INPUTS'!$E$17:$E$31,MATCH(M$23,'01_INPUTS'!$B$17:$B$31,0)))</f>
        <v>1.5</v>
      </c>
      <c r="N51" s="61">
        <f>IF(INDEX('01_INPUTS'!$E$17:$E$31,MATCH(N$23,'01_INPUTS'!$B$17:$B$31,0))=0,IF(SUMIFS($AD$3:$AD$870,$AC$3:$AC$870,N$23,$AE$3:$AE$870,"&lt;="&amp;$B51,$AF$3:$AF$870,"&gt;="&amp;$B51)=0,0,9.99),SUMIFS($AD$3:$AD$870,$AC$3:$AC$870,N$23,$AE$3:$AE$870,"&lt;="&amp;$B51,$AF$3:$AF$870,"&gt;="&amp;$B51)/INDEX('01_INPUTS'!$E$17:$E$31,MATCH(N$23,'01_INPUTS'!$B$17:$B$31,0)))</f>
        <v>1.5</v>
      </c>
      <c r="O51" s="61">
        <f>IF(INDEX('01_INPUTS'!$E$17:$E$31,MATCH(O$23,'01_INPUTS'!$B$17:$B$31,0))=0,IF(SUMIFS($AD$3:$AD$870,$AC$3:$AC$870,O$23,$AE$3:$AE$870,"&lt;="&amp;$B51,$AF$3:$AF$870,"&gt;="&amp;$B51)=0,0,9.99),SUMIFS($AD$3:$AD$870,$AC$3:$AC$870,O$23,$AE$3:$AE$870,"&lt;="&amp;$B51,$AF$3:$AF$870,"&gt;="&amp;$B51)/INDEX('01_INPUTS'!$E$17:$E$31,MATCH(O$23,'01_INPUTS'!$B$17:$B$31,0)))</f>
        <v>0</v>
      </c>
      <c r="P51" s="61">
        <f>IF(INDEX('01_INPUTS'!$E$17:$E$31,MATCH(P$23,'01_INPUTS'!$B$17:$B$31,0))=0,IF(SUMIFS($AD$3:$AD$870,$AC$3:$AC$870,P$23,$AE$3:$AE$870,"&lt;="&amp;$B51,$AF$3:$AF$870,"&gt;="&amp;$B51)=0,0,9.99),SUMIFS($AD$3:$AD$870,$AC$3:$AC$870,P$23,$AE$3:$AE$870,"&lt;="&amp;$B51,$AF$3:$AF$870,"&gt;="&amp;$B51)/INDEX('01_INPUTS'!$E$17:$E$31,MATCH(P$23,'01_INPUTS'!$B$17:$B$31,0)))</f>
        <v>5</v>
      </c>
      <c r="Q51" s="61">
        <f>IF(INDEX('01_INPUTS'!$E$17:$E$31,MATCH(Q$23,'01_INPUTS'!$B$17:$B$31,0))=0,IF(SUMIFS($AD$3:$AD$870,$AC$3:$AC$870,Q$23,$AE$3:$AE$870,"&lt;="&amp;$B51,$AF$3:$AF$870,"&gt;="&amp;$B51)=0,0,9.99),SUMIFS($AD$3:$AD$870,$AC$3:$AC$870,Q$23,$AE$3:$AE$870,"&lt;="&amp;$B51,$AF$3:$AF$870,"&gt;="&amp;$B51)/INDEX('01_INPUTS'!$E$17:$E$31,MATCH(Q$23,'01_INPUTS'!$B$17:$B$31,0)))</f>
        <v>0.75</v>
      </c>
      <c r="R51" s="61">
        <f>IF(INDEX('01_INPUTS'!$E$17:$E$31,MATCH(R$23,'01_INPUTS'!$B$17:$B$31,0))=0,IF(SUMIFS($AD$3:$AD$870,$AC$3:$AC$870,R$23,$AE$3:$AE$870,"&lt;="&amp;$B51,$AF$3:$AF$870,"&gt;="&amp;$B51)=0,0,9.99),SUMIFS($AD$3:$AD$870,$AC$3:$AC$870,R$23,$AE$3:$AE$870,"&lt;="&amp;$B51,$AF$3:$AF$870,"&gt;="&amp;$B51)/INDEX('01_INPUTS'!$E$17:$E$31,MATCH(R$23,'01_INPUTS'!$B$17:$B$31,0)))</f>
        <v>0</v>
      </c>
      <c r="S51">
        <f t="shared" si="1"/>
        <v>22</v>
      </c>
      <c r="T51">
        <f>SUM('01_INPUTS'!$E$17:$E$31)</f>
        <v>20</v>
      </c>
      <c r="U51" s="61">
        <f t="shared" si="2"/>
        <v>1.1000000000000001</v>
      </c>
      <c r="V51">
        <f t="shared" si="3"/>
        <v>8</v>
      </c>
      <c r="W51" t="str">
        <f t="shared" si="4"/>
        <v>ROJO</v>
      </c>
      <c r="AA51" s="51" t="str">
        <f>'Sites Master'!$B$2</f>
        <v>Site 01</v>
      </c>
      <c r="AB51" s="51" t="str">
        <f>'Phase-Resource Allocation'!$B$112</f>
        <v>Go Live</v>
      </c>
      <c r="AC51" s="51" t="str">
        <f>'Phase-Resource Allocation'!$C$112</f>
        <v>Functional Lead Vendor A</v>
      </c>
      <c r="AD51" s="60">
        <f>'Phase-Resource Allocation'!$D$112</f>
        <v>1</v>
      </c>
      <c r="AE51" s="51">
        <f>IFERROR(INDEX('02_SCHEDULE'!$K$5:$K$124,MATCH(AA51&amp;"|"&amp;AB51,'02_SCHEDULE'!$M$5:$M$124,0)),0)</f>
        <v>12</v>
      </c>
      <c r="AF51" s="51">
        <f>IFERROR(INDEX('02_SCHEDULE'!$L$5:$L$124,MATCH(AA51&amp;"|"&amp;AB51,'02_SCHEDULE'!$M$5:$M$124,0)),0)</f>
        <v>12</v>
      </c>
      <c r="AG51" s="51">
        <f t="shared" si="0"/>
        <v>1</v>
      </c>
    </row>
    <row r="52" spans="2:33" x14ac:dyDescent="0.3">
      <c r="B52">
        <f>29</f>
        <v>29</v>
      </c>
      <c r="C52" s="55">
        <f>'01_INPUTS'!$C$7+(29-1)*7</f>
        <v>46447</v>
      </c>
      <c r="D52" s="61">
        <f>IF(INDEX('01_INPUTS'!$E$17:$E$31,MATCH(D$23,'01_INPUTS'!$B$17:$B$31,0))=0,IF(SUMIFS($AD$3:$AD$870,$AC$3:$AC$870,D$23,$AE$3:$AE$870,"&lt;="&amp;$B52,$AF$3:$AF$870,"&gt;="&amp;$B52)=0,0,9.99),SUMIFS($AD$3:$AD$870,$AC$3:$AC$870,D$23,$AE$3:$AE$870,"&lt;="&amp;$B52,$AF$3:$AF$870,"&gt;="&amp;$B52)/INDEX('01_INPUTS'!$E$17:$E$31,MATCH(D$23,'01_INPUTS'!$B$17:$B$31,0)))</f>
        <v>1</v>
      </c>
      <c r="E52" s="61">
        <f>IF(INDEX('01_INPUTS'!$E$17:$E$31,MATCH(E$23,'01_INPUTS'!$B$17:$B$31,0))=0,IF(SUMIFS($AD$3:$AD$870,$AC$3:$AC$870,E$23,$AE$3:$AE$870,"&lt;="&amp;$B52,$AF$3:$AF$870,"&gt;="&amp;$B52)=0,0,9.99),SUMIFS($AD$3:$AD$870,$AC$3:$AC$870,E$23,$AE$3:$AE$870,"&lt;="&amp;$B52,$AF$3:$AF$870,"&gt;="&amp;$B52)/INDEX('01_INPUTS'!$E$17:$E$31,MATCH(E$23,'01_INPUTS'!$B$17:$B$31,0)))</f>
        <v>0</v>
      </c>
      <c r="F52" s="61">
        <f>IF(INDEX('01_INPUTS'!$E$17:$E$31,MATCH(F$23,'01_INPUTS'!$B$17:$B$31,0))=0,IF(SUMIFS($AD$3:$AD$870,$AC$3:$AC$870,F$23,$AE$3:$AE$870,"&lt;="&amp;$B52,$AF$3:$AF$870,"&gt;="&amp;$B52)=0,0,9.99),SUMIFS($AD$3:$AD$870,$AC$3:$AC$870,F$23,$AE$3:$AE$870,"&lt;="&amp;$B52,$AF$3:$AF$870,"&gt;="&amp;$B52)/INDEX('01_INPUTS'!$E$17:$E$31,MATCH(F$23,'01_INPUTS'!$B$17:$B$31,0)))</f>
        <v>0</v>
      </c>
      <c r="G52" s="61">
        <f>IF(INDEX('01_INPUTS'!$E$17:$E$31,MATCH(G$23,'01_INPUTS'!$B$17:$B$31,0))=0,IF(SUMIFS($AD$3:$AD$870,$AC$3:$AC$870,G$23,$AE$3:$AE$870,"&lt;="&amp;$B52,$AF$3:$AF$870,"&gt;="&amp;$B52)=0,0,9.99),SUMIFS($AD$3:$AD$870,$AC$3:$AC$870,G$23,$AE$3:$AE$870,"&lt;="&amp;$B52,$AF$3:$AF$870,"&gt;="&amp;$B52)/INDEX('01_INPUTS'!$E$17:$E$31,MATCH(G$23,'01_INPUTS'!$B$17:$B$31,0)))</f>
        <v>0</v>
      </c>
      <c r="H52" s="61">
        <f>IF(INDEX('01_INPUTS'!$E$17:$E$31,MATCH(H$23,'01_INPUTS'!$B$17:$B$31,0))=0,IF(SUMIFS($AD$3:$AD$870,$AC$3:$AC$870,H$23,$AE$3:$AE$870,"&lt;="&amp;$B52,$AF$3:$AF$870,"&gt;="&amp;$B52)=0,0,9.99),SUMIFS($AD$3:$AD$870,$AC$3:$AC$870,H$23,$AE$3:$AE$870,"&lt;="&amp;$B52,$AF$3:$AF$870,"&gt;="&amp;$B52)/INDEX('01_INPUTS'!$E$17:$E$31,MATCH(H$23,'01_INPUTS'!$B$17:$B$31,0)))</f>
        <v>1.5</v>
      </c>
      <c r="I52" s="61">
        <f>IF(INDEX('01_INPUTS'!$E$17:$E$31,MATCH(I$23,'01_INPUTS'!$B$17:$B$31,0))=0,IF(SUMIFS($AD$3:$AD$870,$AC$3:$AC$870,I$23,$AE$3:$AE$870,"&lt;="&amp;$B52,$AF$3:$AF$870,"&gt;="&amp;$B52)=0,0,9.99),SUMIFS($AD$3:$AD$870,$AC$3:$AC$870,I$23,$AE$3:$AE$870,"&lt;="&amp;$B52,$AF$3:$AF$870,"&gt;="&amp;$B52)/INDEX('01_INPUTS'!$E$17:$E$31,MATCH(I$23,'01_INPUTS'!$B$17:$B$31,0)))</f>
        <v>1</v>
      </c>
      <c r="J52" s="61">
        <f>IF(INDEX('01_INPUTS'!$E$17:$E$31,MATCH(J$23,'01_INPUTS'!$B$17:$B$31,0))=0,IF(SUMIFS($AD$3:$AD$870,$AC$3:$AC$870,J$23,$AE$3:$AE$870,"&lt;="&amp;$B52,$AF$3:$AF$870,"&gt;="&amp;$B52)=0,0,9.99),SUMIFS($AD$3:$AD$870,$AC$3:$AC$870,J$23,$AE$3:$AE$870,"&lt;="&amp;$B52,$AF$3:$AF$870,"&gt;="&amp;$B52)/INDEX('01_INPUTS'!$E$17:$E$31,MATCH(J$23,'01_INPUTS'!$B$17:$B$31,0)))</f>
        <v>2</v>
      </c>
      <c r="K52" s="61">
        <f>IF(INDEX('01_INPUTS'!$E$17:$E$31,MATCH(K$23,'01_INPUTS'!$B$17:$B$31,0))=0,IF(SUMIFS($AD$3:$AD$870,$AC$3:$AC$870,K$23,$AE$3:$AE$870,"&lt;="&amp;$B52,$AF$3:$AF$870,"&gt;="&amp;$B52)=0,0,9.99),SUMIFS($AD$3:$AD$870,$AC$3:$AC$870,K$23,$AE$3:$AE$870,"&lt;="&amp;$B52,$AF$3:$AF$870,"&gt;="&amp;$B52)/INDEX('01_INPUTS'!$E$17:$E$31,MATCH(K$23,'01_INPUTS'!$B$17:$B$31,0)))</f>
        <v>1</v>
      </c>
      <c r="L52" s="61">
        <f>IF(INDEX('01_INPUTS'!$E$17:$E$31,MATCH(L$23,'01_INPUTS'!$B$17:$B$31,0))=0,IF(SUMIFS($AD$3:$AD$870,$AC$3:$AC$870,L$23,$AE$3:$AE$870,"&lt;="&amp;$B52,$AF$3:$AF$870,"&gt;="&amp;$B52)=0,0,9.99),SUMIFS($AD$3:$AD$870,$AC$3:$AC$870,L$23,$AE$3:$AE$870,"&lt;="&amp;$B52,$AF$3:$AF$870,"&gt;="&amp;$B52)/INDEX('01_INPUTS'!$E$17:$E$31,MATCH(L$23,'01_INPUTS'!$B$17:$B$31,0)))</f>
        <v>1</v>
      </c>
      <c r="M52" s="61">
        <f>IF(INDEX('01_INPUTS'!$E$17:$E$31,MATCH(M$23,'01_INPUTS'!$B$17:$B$31,0))=0,IF(SUMIFS($AD$3:$AD$870,$AC$3:$AC$870,M$23,$AE$3:$AE$870,"&lt;="&amp;$B52,$AF$3:$AF$870,"&gt;="&amp;$B52)=0,0,9.99),SUMIFS($AD$3:$AD$870,$AC$3:$AC$870,M$23,$AE$3:$AE$870,"&lt;="&amp;$B52,$AF$3:$AF$870,"&gt;="&amp;$B52)/INDEX('01_INPUTS'!$E$17:$E$31,MATCH(M$23,'01_INPUTS'!$B$17:$B$31,0)))</f>
        <v>1</v>
      </c>
      <c r="N52" s="61">
        <f>IF(INDEX('01_INPUTS'!$E$17:$E$31,MATCH(N$23,'01_INPUTS'!$B$17:$B$31,0))=0,IF(SUMIFS($AD$3:$AD$870,$AC$3:$AC$870,N$23,$AE$3:$AE$870,"&lt;="&amp;$B52,$AF$3:$AF$870,"&gt;="&amp;$B52)=0,0,9.99),SUMIFS($AD$3:$AD$870,$AC$3:$AC$870,N$23,$AE$3:$AE$870,"&lt;="&amp;$B52,$AF$3:$AF$870,"&gt;="&amp;$B52)/INDEX('01_INPUTS'!$E$17:$E$31,MATCH(N$23,'01_INPUTS'!$B$17:$B$31,0)))</f>
        <v>1</v>
      </c>
      <c r="O52" s="61">
        <f>IF(INDEX('01_INPUTS'!$E$17:$E$31,MATCH(O$23,'01_INPUTS'!$B$17:$B$31,0))=0,IF(SUMIFS($AD$3:$AD$870,$AC$3:$AC$870,O$23,$AE$3:$AE$870,"&lt;="&amp;$B52,$AF$3:$AF$870,"&gt;="&amp;$B52)=0,0,9.99),SUMIFS($AD$3:$AD$870,$AC$3:$AC$870,O$23,$AE$3:$AE$870,"&lt;="&amp;$B52,$AF$3:$AF$870,"&gt;="&amp;$B52)/INDEX('01_INPUTS'!$E$17:$E$31,MATCH(O$23,'01_INPUTS'!$B$17:$B$31,0)))</f>
        <v>0</v>
      </c>
      <c r="P52" s="61">
        <f>IF(INDEX('01_INPUTS'!$E$17:$E$31,MATCH(P$23,'01_INPUTS'!$B$17:$B$31,0))=0,IF(SUMIFS($AD$3:$AD$870,$AC$3:$AC$870,P$23,$AE$3:$AE$870,"&lt;="&amp;$B52,$AF$3:$AF$870,"&gt;="&amp;$B52)=0,0,9.99),SUMIFS($AD$3:$AD$870,$AC$3:$AC$870,P$23,$AE$3:$AE$870,"&lt;="&amp;$B52,$AF$3:$AF$870,"&gt;="&amp;$B52)/INDEX('01_INPUTS'!$E$17:$E$31,MATCH(P$23,'01_INPUTS'!$B$17:$B$31,0)))</f>
        <v>7</v>
      </c>
      <c r="Q52" s="61">
        <f>IF(INDEX('01_INPUTS'!$E$17:$E$31,MATCH(Q$23,'01_INPUTS'!$B$17:$B$31,0))=0,IF(SUMIFS($AD$3:$AD$870,$AC$3:$AC$870,Q$23,$AE$3:$AE$870,"&lt;="&amp;$B52,$AF$3:$AF$870,"&gt;="&amp;$B52)=0,0,9.99),SUMIFS($AD$3:$AD$870,$AC$3:$AC$870,Q$23,$AE$3:$AE$870,"&lt;="&amp;$B52,$AF$3:$AF$870,"&gt;="&amp;$B52)/INDEX('01_INPUTS'!$E$17:$E$31,MATCH(Q$23,'01_INPUTS'!$B$17:$B$31,0)))</f>
        <v>0.5</v>
      </c>
      <c r="R52" s="61">
        <f>IF(INDEX('01_INPUTS'!$E$17:$E$31,MATCH(R$23,'01_INPUTS'!$B$17:$B$31,0))=0,IF(SUMIFS($AD$3:$AD$870,$AC$3:$AC$870,R$23,$AE$3:$AE$870,"&lt;="&amp;$B52,$AF$3:$AF$870,"&gt;="&amp;$B52)=0,0,9.99),SUMIFS($AD$3:$AD$870,$AC$3:$AC$870,R$23,$AE$3:$AE$870,"&lt;="&amp;$B52,$AF$3:$AF$870,"&gt;="&amp;$B52)/INDEX('01_INPUTS'!$E$17:$E$31,MATCH(R$23,'01_INPUTS'!$B$17:$B$31,0)))</f>
        <v>0</v>
      </c>
      <c r="S52">
        <f t="shared" si="1"/>
        <v>22</v>
      </c>
      <c r="T52">
        <f>SUM('01_INPUTS'!$E$17:$E$31)</f>
        <v>20</v>
      </c>
      <c r="U52" s="61">
        <f t="shared" si="2"/>
        <v>1.1000000000000001</v>
      </c>
      <c r="V52">
        <f t="shared" si="3"/>
        <v>3</v>
      </c>
      <c r="W52" t="str">
        <f t="shared" si="4"/>
        <v>ROJO</v>
      </c>
      <c r="AA52" s="51" t="str">
        <f>'Sites Master'!$B$2</f>
        <v>Site 01</v>
      </c>
      <c r="AB52" s="51" t="str">
        <f>'Phase-Resource Allocation'!$B$113</f>
        <v>Hypercare</v>
      </c>
      <c r="AC52" s="51" t="str">
        <f>'Phase-Resource Allocation'!$C$113</f>
        <v>Solution Architect</v>
      </c>
      <c r="AD52" s="60">
        <f>'Phase-Resource Allocation'!$D$113</f>
        <v>0.5</v>
      </c>
      <c r="AE52" s="51">
        <f>IFERROR(INDEX('02_SCHEDULE'!$K$5:$K$124,MATCH(AA52&amp;"|"&amp;AB52,'02_SCHEDULE'!$M$5:$M$124,0)),0)</f>
        <v>13</v>
      </c>
      <c r="AF52" s="51">
        <f>IFERROR(INDEX('02_SCHEDULE'!$L$5:$L$124,MATCH(AA52&amp;"|"&amp;AB52,'02_SCHEDULE'!$M$5:$M$124,0)),0)</f>
        <v>16</v>
      </c>
      <c r="AG52" s="51">
        <f t="shared" si="0"/>
        <v>2</v>
      </c>
    </row>
    <row r="53" spans="2:33" x14ac:dyDescent="0.3">
      <c r="B53">
        <f>30</f>
        <v>30</v>
      </c>
      <c r="C53" s="55">
        <f>'01_INPUTS'!$C$7+(30-1)*7</f>
        <v>46454</v>
      </c>
      <c r="D53" s="61">
        <f>IF(INDEX('01_INPUTS'!$E$17:$E$31,MATCH(D$23,'01_INPUTS'!$B$17:$B$31,0))=0,IF(SUMIFS($AD$3:$AD$870,$AC$3:$AC$870,D$23,$AE$3:$AE$870,"&lt;="&amp;$B53,$AF$3:$AF$870,"&gt;="&amp;$B53)=0,0,9.99),SUMIFS($AD$3:$AD$870,$AC$3:$AC$870,D$23,$AE$3:$AE$870,"&lt;="&amp;$B53,$AF$3:$AF$870,"&gt;="&amp;$B53)/INDEX('01_INPUTS'!$E$17:$E$31,MATCH(D$23,'01_INPUTS'!$B$17:$B$31,0)))</f>
        <v>1.5</v>
      </c>
      <c r="E53" s="61">
        <f>IF(INDEX('01_INPUTS'!$E$17:$E$31,MATCH(E$23,'01_INPUTS'!$B$17:$B$31,0))=0,IF(SUMIFS($AD$3:$AD$870,$AC$3:$AC$870,E$23,$AE$3:$AE$870,"&lt;="&amp;$B53,$AF$3:$AF$870,"&gt;="&amp;$B53)=0,0,9.99),SUMIFS($AD$3:$AD$870,$AC$3:$AC$870,E$23,$AE$3:$AE$870,"&lt;="&amp;$B53,$AF$3:$AF$870,"&gt;="&amp;$B53)/INDEX('01_INPUTS'!$E$17:$E$31,MATCH(E$23,'01_INPUTS'!$B$17:$B$31,0)))</f>
        <v>0</v>
      </c>
      <c r="F53" s="61">
        <f>IF(INDEX('01_INPUTS'!$E$17:$E$31,MATCH(F$23,'01_INPUTS'!$B$17:$B$31,0))=0,IF(SUMIFS($AD$3:$AD$870,$AC$3:$AC$870,F$23,$AE$3:$AE$870,"&lt;="&amp;$B53,$AF$3:$AF$870,"&gt;="&amp;$B53)=0,0,9.99),SUMIFS($AD$3:$AD$870,$AC$3:$AC$870,F$23,$AE$3:$AE$870,"&lt;="&amp;$B53,$AF$3:$AF$870,"&gt;="&amp;$B53)/INDEX('01_INPUTS'!$E$17:$E$31,MATCH(F$23,'01_INPUTS'!$B$17:$B$31,0)))</f>
        <v>0</v>
      </c>
      <c r="G53" s="61">
        <f>IF(INDEX('01_INPUTS'!$E$17:$E$31,MATCH(G$23,'01_INPUTS'!$B$17:$B$31,0))=0,IF(SUMIFS($AD$3:$AD$870,$AC$3:$AC$870,G$23,$AE$3:$AE$870,"&lt;="&amp;$B53,$AF$3:$AF$870,"&gt;="&amp;$B53)=0,0,9.99),SUMIFS($AD$3:$AD$870,$AC$3:$AC$870,G$23,$AE$3:$AE$870,"&lt;="&amp;$B53,$AF$3:$AF$870,"&gt;="&amp;$B53)/INDEX('01_INPUTS'!$E$17:$E$31,MATCH(G$23,'01_INPUTS'!$B$17:$B$31,0)))</f>
        <v>0</v>
      </c>
      <c r="H53" s="61">
        <f>IF(INDEX('01_INPUTS'!$E$17:$E$31,MATCH(H$23,'01_INPUTS'!$B$17:$B$31,0))=0,IF(SUMIFS($AD$3:$AD$870,$AC$3:$AC$870,H$23,$AE$3:$AE$870,"&lt;="&amp;$B53,$AF$3:$AF$870,"&gt;="&amp;$B53)=0,0,9.99),SUMIFS($AD$3:$AD$870,$AC$3:$AC$870,H$23,$AE$3:$AE$870,"&lt;="&amp;$B53,$AF$3:$AF$870,"&gt;="&amp;$B53)/INDEX('01_INPUTS'!$E$17:$E$31,MATCH(H$23,'01_INPUTS'!$B$17:$B$31,0)))</f>
        <v>1.5</v>
      </c>
      <c r="I53" s="61">
        <f>IF(INDEX('01_INPUTS'!$E$17:$E$31,MATCH(I$23,'01_INPUTS'!$B$17:$B$31,0))=0,IF(SUMIFS($AD$3:$AD$870,$AC$3:$AC$870,I$23,$AE$3:$AE$870,"&lt;="&amp;$B53,$AF$3:$AF$870,"&gt;="&amp;$B53)=0,0,9.99),SUMIFS($AD$3:$AD$870,$AC$3:$AC$870,I$23,$AE$3:$AE$870,"&lt;="&amp;$B53,$AF$3:$AF$870,"&gt;="&amp;$B53)/INDEX('01_INPUTS'!$E$17:$E$31,MATCH(I$23,'01_INPUTS'!$B$17:$B$31,0)))</f>
        <v>1</v>
      </c>
      <c r="J53" s="61">
        <f>IF(INDEX('01_INPUTS'!$E$17:$E$31,MATCH(J$23,'01_INPUTS'!$B$17:$B$31,0))=0,IF(SUMIFS($AD$3:$AD$870,$AC$3:$AC$870,J$23,$AE$3:$AE$870,"&lt;="&amp;$B53,$AF$3:$AF$870,"&gt;="&amp;$B53)=0,0,9.99),SUMIFS($AD$3:$AD$870,$AC$3:$AC$870,J$23,$AE$3:$AE$870,"&lt;="&amp;$B53,$AF$3:$AF$870,"&gt;="&amp;$B53)/INDEX('01_INPUTS'!$E$17:$E$31,MATCH(J$23,'01_INPUTS'!$B$17:$B$31,0)))</f>
        <v>2.5</v>
      </c>
      <c r="K53" s="61">
        <f>IF(INDEX('01_INPUTS'!$E$17:$E$31,MATCH(K$23,'01_INPUTS'!$B$17:$B$31,0))=0,IF(SUMIFS($AD$3:$AD$870,$AC$3:$AC$870,K$23,$AE$3:$AE$870,"&lt;="&amp;$B53,$AF$3:$AF$870,"&gt;="&amp;$B53)=0,0,9.99),SUMIFS($AD$3:$AD$870,$AC$3:$AC$870,K$23,$AE$3:$AE$870,"&lt;="&amp;$B53,$AF$3:$AF$870,"&gt;="&amp;$B53)/INDEX('01_INPUTS'!$E$17:$E$31,MATCH(K$23,'01_INPUTS'!$B$17:$B$31,0)))</f>
        <v>1</v>
      </c>
      <c r="L53" s="61">
        <f>IF(INDEX('01_INPUTS'!$E$17:$E$31,MATCH(L$23,'01_INPUTS'!$B$17:$B$31,0))=0,IF(SUMIFS($AD$3:$AD$870,$AC$3:$AC$870,L$23,$AE$3:$AE$870,"&lt;="&amp;$B53,$AF$3:$AF$870,"&gt;="&amp;$B53)=0,0,9.99),SUMIFS($AD$3:$AD$870,$AC$3:$AC$870,L$23,$AE$3:$AE$870,"&lt;="&amp;$B53,$AF$3:$AF$870,"&gt;="&amp;$B53)/INDEX('01_INPUTS'!$E$17:$E$31,MATCH(L$23,'01_INPUTS'!$B$17:$B$31,0)))</f>
        <v>1</v>
      </c>
      <c r="M53" s="61">
        <f>IF(INDEX('01_INPUTS'!$E$17:$E$31,MATCH(M$23,'01_INPUTS'!$B$17:$B$31,0))=0,IF(SUMIFS($AD$3:$AD$870,$AC$3:$AC$870,M$23,$AE$3:$AE$870,"&lt;="&amp;$B53,$AF$3:$AF$870,"&gt;="&amp;$B53)=0,0,9.99),SUMIFS($AD$3:$AD$870,$AC$3:$AC$870,M$23,$AE$3:$AE$870,"&lt;="&amp;$B53,$AF$3:$AF$870,"&gt;="&amp;$B53)/INDEX('01_INPUTS'!$E$17:$E$31,MATCH(M$23,'01_INPUTS'!$B$17:$B$31,0)))</f>
        <v>1.75</v>
      </c>
      <c r="N53" s="61">
        <f>IF(INDEX('01_INPUTS'!$E$17:$E$31,MATCH(N$23,'01_INPUTS'!$B$17:$B$31,0))=0,IF(SUMIFS($AD$3:$AD$870,$AC$3:$AC$870,N$23,$AE$3:$AE$870,"&lt;="&amp;$B53,$AF$3:$AF$870,"&gt;="&amp;$B53)=0,0,9.99),SUMIFS($AD$3:$AD$870,$AC$3:$AC$870,N$23,$AE$3:$AE$870,"&lt;="&amp;$B53,$AF$3:$AF$870,"&gt;="&amp;$B53)/INDEX('01_INPUTS'!$E$17:$E$31,MATCH(N$23,'01_INPUTS'!$B$17:$B$31,0)))</f>
        <v>1.75</v>
      </c>
      <c r="O53" s="61">
        <f>IF(INDEX('01_INPUTS'!$E$17:$E$31,MATCH(O$23,'01_INPUTS'!$B$17:$B$31,0))=0,IF(SUMIFS($AD$3:$AD$870,$AC$3:$AC$870,O$23,$AE$3:$AE$870,"&lt;="&amp;$B53,$AF$3:$AF$870,"&gt;="&amp;$B53)=0,0,9.99),SUMIFS($AD$3:$AD$870,$AC$3:$AC$870,O$23,$AE$3:$AE$870,"&lt;="&amp;$B53,$AF$3:$AF$870,"&gt;="&amp;$B53)/INDEX('01_INPUTS'!$E$17:$E$31,MATCH(O$23,'01_INPUTS'!$B$17:$B$31,0)))</f>
        <v>0</v>
      </c>
      <c r="P53" s="61">
        <f>IF(INDEX('01_INPUTS'!$E$17:$E$31,MATCH(P$23,'01_INPUTS'!$B$17:$B$31,0))=0,IF(SUMIFS($AD$3:$AD$870,$AC$3:$AC$870,P$23,$AE$3:$AE$870,"&lt;="&amp;$B53,$AF$3:$AF$870,"&gt;="&amp;$B53)=0,0,9.99),SUMIFS($AD$3:$AD$870,$AC$3:$AC$870,P$23,$AE$3:$AE$870,"&lt;="&amp;$B53,$AF$3:$AF$870,"&gt;="&amp;$B53)/INDEX('01_INPUTS'!$E$17:$E$31,MATCH(P$23,'01_INPUTS'!$B$17:$B$31,0)))</f>
        <v>7</v>
      </c>
      <c r="Q53" s="61">
        <f>IF(INDEX('01_INPUTS'!$E$17:$E$31,MATCH(Q$23,'01_INPUTS'!$B$17:$B$31,0))=0,IF(SUMIFS($AD$3:$AD$870,$AC$3:$AC$870,Q$23,$AE$3:$AE$870,"&lt;="&amp;$B53,$AF$3:$AF$870,"&gt;="&amp;$B53)=0,0,9.99),SUMIFS($AD$3:$AD$870,$AC$3:$AC$870,Q$23,$AE$3:$AE$870,"&lt;="&amp;$B53,$AF$3:$AF$870,"&gt;="&amp;$B53)/INDEX('01_INPUTS'!$E$17:$E$31,MATCH(Q$23,'01_INPUTS'!$B$17:$B$31,0)))</f>
        <v>1</v>
      </c>
      <c r="R53" s="61">
        <f>IF(INDEX('01_INPUTS'!$E$17:$E$31,MATCH(R$23,'01_INPUTS'!$B$17:$B$31,0))=0,IF(SUMIFS($AD$3:$AD$870,$AC$3:$AC$870,R$23,$AE$3:$AE$870,"&lt;="&amp;$B53,$AF$3:$AF$870,"&gt;="&amp;$B53)=0,0,9.99),SUMIFS($AD$3:$AD$870,$AC$3:$AC$870,R$23,$AE$3:$AE$870,"&lt;="&amp;$B53,$AF$3:$AF$870,"&gt;="&amp;$B53)/INDEX('01_INPUTS'!$E$17:$E$31,MATCH(R$23,'01_INPUTS'!$B$17:$B$31,0)))</f>
        <v>0</v>
      </c>
      <c r="S53">
        <f t="shared" si="1"/>
        <v>26</v>
      </c>
      <c r="T53">
        <f>SUM('01_INPUTS'!$E$17:$E$31)</f>
        <v>20</v>
      </c>
      <c r="U53" s="61">
        <f t="shared" si="2"/>
        <v>1.3</v>
      </c>
      <c r="V53">
        <f t="shared" si="3"/>
        <v>6</v>
      </c>
      <c r="W53" t="str">
        <f t="shared" si="4"/>
        <v>ROJO</v>
      </c>
      <c r="AA53" s="51" t="str">
        <f>'Sites Master'!$B$2</f>
        <v>Site 01</v>
      </c>
      <c r="AB53" s="51" t="str">
        <f>'Phase-Resource Allocation'!$B$114</f>
        <v>Hypercare</v>
      </c>
      <c r="AC53" s="51" t="str">
        <f>'Phase-Resource Allocation'!$C$114</f>
        <v>Change Management Lead</v>
      </c>
      <c r="AD53" s="60">
        <f>'Phase-Resource Allocation'!$D$114</f>
        <v>1</v>
      </c>
      <c r="AE53" s="51">
        <f>IFERROR(INDEX('02_SCHEDULE'!$K$5:$K$124,MATCH(AA53&amp;"|"&amp;AB53,'02_SCHEDULE'!$M$5:$M$124,0)),0)</f>
        <v>13</v>
      </c>
      <c r="AF53" s="51">
        <f>IFERROR(INDEX('02_SCHEDULE'!$L$5:$L$124,MATCH(AA53&amp;"|"&amp;AB53,'02_SCHEDULE'!$M$5:$M$124,0)),0)</f>
        <v>16</v>
      </c>
      <c r="AG53" s="51">
        <f t="shared" si="0"/>
        <v>4</v>
      </c>
    </row>
    <row r="54" spans="2:33" x14ac:dyDescent="0.3">
      <c r="B54">
        <f>31</f>
        <v>31</v>
      </c>
      <c r="C54" s="55">
        <f>'01_INPUTS'!$C$7+(31-1)*7</f>
        <v>46461</v>
      </c>
      <c r="D54" s="61">
        <f>IF(INDEX('01_INPUTS'!$E$17:$E$31,MATCH(D$23,'01_INPUTS'!$B$17:$B$31,0))=0,IF(SUMIFS($AD$3:$AD$870,$AC$3:$AC$870,D$23,$AE$3:$AE$870,"&lt;="&amp;$B54,$AF$3:$AF$870,"&gt;="&amp;$B54)=0,0,9.99),SUMIFS($AD$3:$AD$870,$AC$3:$AC$870,D$23,$AE$3:$AE$870,"&lt;="&amp;$B54,$AF$3:$AF$870,"&gt;="&amp;$B54)/INDEX('01_INPUTS'!$E$17:$E$31,MATCH(D$23,'01_INPUTS'!$B$17:$B$31,0)))</f>
        <v>2</v>
      </c>
      <c r="E54" s="61">
        <f>IF(INDEX('01_INPUTS'!$E$17:$E$31,MATCH(E$23,'01_INPUTS'!$B$17:$B$31,0))=0,IF(SUMIFS($AD$3:$AD$870,$AC$3:$AC$870,E$23,$AE$3:$AE$870,"&lt;="&amp;$B54,$AF$3:$AF$870,"&gt;="&amp;$B54)=0,0,9.99),SUMIFS($AD$3:$AD$870,$AC$3:$AC$870,E$23,$AE$3:$AE$870,"&lt;="&amp;$B54,$AF$3:$AF$870,"&gt;="&amp;$B54)/INDEX('01_INPUTS'!$E$17:$E$31,MATCH(E$23,'01_INPUTS'!$B$17:$B$31,0)))</f>
        <v>0</v>
      </c>
      <c r="F54" s="61">
        <f>IF(INDEX('01_INPUTS'!$E$17:$E$31,MATCH(F$23,'01_INPUTS'!$B$17:$B$31,0))=0,IF(SUMIFS($AD$3:$AD$870,$AC$3:$AC$870,F$23,$AE$3:$AE$870,"&lt;="&amp;$B54,$AF$3:$AF$870,"&gt;="&amp;$B54)=0,0,9.99),SUMIFS($AD$3:$AD$870,$AC$3:$AC$870,F$23,$AE$3:$AE$870,"&lt;="&amp;$B54,$AF$3:$AF$870,"&gt;="&amp;$B54)/INDEX('01_INPUTS'!$E$17:$E$31,MATCH(F$23,'01_INPUTS'!$B$17:$B$31,0)))</f>
        <v>0</v>
      </c>
      <c r="G54" s="61">
        <f>IF(INDEX('01_INPUTS'!$E$17:$E$31,MATCH(G$23,'01_INPUTS'!$B$17:$B$31,0))=0,IF(SUMIFS($AD$3:$AD$870,$AC$3:$AC$870,G$23,$AE$3:$AE$870,"&lt;="&amp;$B54,$AF$3:$AF$870,"&gt;="&amp;$B54)=0,0,9.99),SUMIFS($AD$3:$AD$870,$AC$3:$AC$870,G$23,$AE$3:$AE$870,"&lt;="&amp;$B54,$AF$3:$AF$870,"&gt;="&amp;$B54)/INDEX('01_INPUTS'!$E$17:$E$31,MATCH(G$23,'01_INPUTS'!$B$17:$B$31,0)))</f>
        <v>0</v>
      </c>
      <c r="H54" s="61">
        <f>IF(INDEX('01_INPUTS'!$E$17:$E$31,MATCH(H$23,'01_INPUTS'!$B$17:$B$31,0))=0,IF(SUMIFS($AD$3:$AD$870,$AC$3:$AC$870,H$23,$AE$3:$AE$870,"&lt;="&amp;$B54,$AF$3:$AF$870,"&gt;="&amp;$B54)=0,0,9.99),SUMIFS($AD$3:$AD$870,$AC$3:$AC$870,H$23,$AE$3:$AE$870,"&lt;="&amp;$B54,$AF$3:$AF$870,"&gt;="&amp;$B54)/INDEX('01_INPUTS'!$E$17:$E$31,MATCH(H$23,'01_INPUTS'!$B$17:$B$31,0)))</f>
        <v>1.5</v>
      </c>
      <c r="I54" s="61">
        <f>IF(INDEX('01_INPUTS'!$E$17:$E$31,MATCH(I$23,'01_INPUTS'!$B$17:$B$31,0))=0,IF(SUMIFS($AD$3:$AD$870,$AC$3:$AC$870,I$23,$AE$3:$AE$870,"&lt;="&amp;$B54,$AF$3:$AF$870,"&gt;="&amp;$B54)=0,0,9.99),SUMIFS($AD$3:$AD$870,$AC$3:$AC$870,I$23,$AE$3:$AE$870,"&lt;="&amp;$B54,$AF$3:$AF$870,"&gt;="&amp;$B54)/INDEX('01_INPUTS'!$E$17:$E$31,MATCH(I$23,'01_INPUTS'!$B$17:$B$31,0)))</f>
        <v>1.5</v>
      </c>
      <c r="J54" s="61">
        <f>IF(INDEX('01_INPUTS'!$E$17:$E$31,MATCH(J$23,'01_INPUTS'!$B$17:$B$31,0))=0,IF(SUMIFS($AD$3:$AD$870,$AC$3:$AC$870,J$23,$AE$3:$AE$870,"&lt;="&amp;$B54,$AF$3:$AF$870,"&gt;="&amp;$B54)=0,0,9.99),SUMIFS($AD$3:$AD$870,$AC$3:$AC$870,J$23,$AE$3:$AE$870,"&lt;="&amp;$B54,$AF$3:$AF$870,"&gt;="&amp;$B54)/INDEX('01_INPUTS'!$E$17:$E$31,MATCH(J$23,'01_INPUTS'!$B$17:$B$31,0)))</f>
        <v>2.5</v>
      </c>
      <c r="K54" s="61">
        <f>IF(INDEX('01_INPUTS'!$E$17:$E$31,MATCH(K$23,'01_INPUTS'!$B$17:$B$31,0))=0,IF(SUMIFS($AD$3:$AD$870,$AC$3:$AC$870,K$23,$AE$3:$AE$870,"&lt;="&amp;$B54,$AF$3:$AF$870,"&gt;="&amp;$B54)=0,0,9.99),SUMIFS($AD$3:$AD$870,$AC$3:$AC$870,K$23,$AE$3:$AE$870,"&lt;="&amp;$B54,$AF$3:$AF$870,"&gt;="&amp;$B54)/INDEX('01_INPUTS'!$E$17:$E$31,MATCH(K$23,'01_INPUTS'!$B$17:$B$31,0)))</f>
        <v>2</v>
      </c>
      <c r="L54" s="61">
        <f>IF(INDEX('01_INPUTS'!$E$17:$E$31,MATCH(L$23,'01_INPUTS'!$B$17:$B$31,0))=0,IF(SUMIFS($AD$3:$AD$870,$AC$3:$AC$870,L$23,$AE$3:$AE$870,"&lt;="&amp;$B54,$AF$3:$AF$870,"&gt;="&amp;$B54)=0,0,9.99),SUMIFS($AD$3:$AD$870,$AC$3:$AC$870,L$23,$AE$3:$AE$870,"&lt;="&amp;$B54,$AF$3:$AF$870,"&gt;="&amp;$B54)/INDEX('01_INPUTS'!$E$17:$E$31,MATCH(L$23,'01_INPUTS'!$B$17:$B$31,0)))</f>
        <v>2</v>
      </c>
      <c r="M54" s="61">
        <f>IF(INDEX('01_INPUTS'!$E$17:$E$31,MATCH(M$23,'01_INPUTS'!$B$17:$B$31,0))=0,IF(SUMIFS($AD$3:$AD$870,$AC$3:$AC$870,M$23,$AE$3:$AE$870,"&lt;="&amp;$B54,$AF$3:$AF$870,"&gt;="&amp;$B54)=0,0,9.99),SUMIFS($AD$3:$AD$870,$AC$3:$AC$870,M$23,$AE$3:$AE$870,"&lt;="&amp;$B54,$AF$3:$AF$870,"&gt;="&amp;$B54)/INDEX('01_INPUTS'!$E$17:$E$31,MATCH(M$23,'01_INPUTS'!$B$17:$B$31,0)))</f>
        <v>2</v>
      </c>
      <c r="N54" s="61">
        <f>IF(INDEX('01_INPUTS'!$E$17:$E$31,MATCH(N$23,'01_INPUTS'!$B$17:$B$31,0))=0,IF(SUMIFS($AD$3:$AD$870,$AC$3:$AC$870,N$23,$AE$3:$AE$870,"&lt;="&amp;$B54,$AF$3:$AF$870,"&gt;="&amp;$B54)=0,0,9.99),SUMIFS($AD$3:$AD$870,$AC$3:$AC$870,N$23,$AE$3:$AE$870,"&lt;="&amp;$B54,$AF$3:$AF$870,"&gt;="&amp;$B54)/INDEX('01_INPUTS'!$E$17:$E$31,MATCH(N$23,'01_INPUTS'!$B$17:$B$31,0)))</f>
        <v>2</v>
      </c>
      <c r="O54" s="61">
        <f>IF(INDEX('01_INPUTS'!$E$17:$E$31,MATCH(O$23,'01_INPUTS'!$B$17:$B$31,0))=0,IF(SUMIFS($AD$3:$AD$870,$AC$3:$AC$870,O$23,$AE$3:$AE$870,"&lt;="&amp;$B54,$AF$3:$AF$870,"&gt;="&amp;$B54)=0,0,9.99),SUMIFS($AD$3:$AD$870,$AC$3:$AC$870,O$23,$AE$3:$AE$870,"&lt;="&amp;$B54,$AF$3:$AF$870,"&gt;="&amp;$B54)/INDEX('01_INPUTS'!$E$17:$E$31,MATCH(O$23,'01_INPUTS'!$B$17:$B$31,0)))</f>
        <v>0</v>
      </c>
      <c r="P54" s="61">
        <f>IF(INDEX('01_INPUTS'!$E$17:$E$31,MATCH(P$23,'01_INPUTS'!$B$17:$B$31,0))=0,IF(SUMIFS($AD$3:$AD$870,$AC$3:$AC$870,P$23,$AE$3:$AE$870,"&lt;="&amp;$B54,$AF$3:$AF$870,"&gt;="&amp;$B54)=0,0,9.99),SUMIFS($AD$3:$AD$870,$AC$3:$AC$870,P$23,$AE$3:$AE$870,"&lt;="&amp;$B54,$AF$3:$AF$870,"&gt;="&amp;$B54)/INDEX('01_INPUTS'!$E$17:$E$31,MATCH(P$23,'01_INPUTS'!$B$17:$B$31,0)))</f>
        <v>7</v>
      </c>
      <c r="Q54" s="61">
        <f>IF(INDEX('01_INPUTS'!$E$17:$E$31,MATCH(Q$23,'01_INPUTS'!$B$17:$B$31,0))=0,IF(SUMIFS($AD$3:$AD$870,$AC$3:$AC$870,Q$23,$AE$3:$AE$870,"&lt;="&amp;$B54,$AF$3:$AF$870,"&gt;="&amp;$B54)=0,0,9.99),SUMIFS($AD$3:$AD$870,$AC$3:$AC$870,Q$23,$AE$3:$AE$870,"&lt;="&amp;$B54,$AF$3:$AF$870,"&gt;="&amp;$B54)/INDEX('01_INPUTS'!$E$17:$E$31,MATCH(Q$23,'01_INPUTS'!$B$17:$B$31,0)))</f>
        <v>1</v>
      </c>
      <c r="R54" s="61">
        <f>IF(INDEX('01_INPUTS'!$E$17:$E$31,MATCH(R$23,'01_INPUTS'!$B$17:$B$31,0))=0,IF(SUMIFS($AD$3:$AD$870,$AC$3:$AC$870,R$23,$AE$3:$AE$870,"&lt;="&amp;$B54,$AF$3:$AF$870,"&gt;="&amp;$B54)=0,0,9.99),SUMIFS($AD$3:$AD$870,$AC$3:$AC$870,R$23,$AE$3:$AE$870,"&lt;="&amp;$B54,$AF$3:$AF$870,"&gt;="&amp;$B54)/INDEX('01_INPUTS'!$E$17:$E$31,MATCH(R$23,'01_INPUTS'!$B$17:$B$31,0)))</f>
        <v>0</v>
      </c>
      <c r="S54">
        <f t="shared" si="1"/>
        <v>30</v>
      </c>
      <c r="T54">
        <f>SUM('01_INPUTS'!$E$17:$E$31)</f>
        <v>20</v>
      </c>
      <c r="U54" s="61">
        <f t="shared" si="2"/>
        <v>1.5</v>
      </c>
      <c r="V54">
        <f t="shared" si="3"/>
        <v>9</v>
      </c>
      <c r="W54" t="str">
        <f t="shared" si="4"/>
        <v>ROJO</v>
      </c>
      <c r="AA54" s="51" t="str">
        <f>'Sites Master'!$B$2</f>
        <v>Site 01</v>
      </c>
      <c r="AB54" s="51" t="str">
        <f>'Phase-Resource Allocation'!$B$115</f>
        <v>Hypercare</v>
      </c>
      <c r="AC54" s="51" t="str">
        <f>'Phase-Resource Allocation'!$C$115</f>
        <v>SAP Integrations Lead</v>
      </c>
      <c r="AD54" s="60">
        <f>'Phase-Resource Allocation'!$D$115</f>
        <v>0.5</v>
      </c>
      <c r="AE54" s="51">
        <f>IFERROR(INDEX('02_SCHEDULE'!$K$5:$K$124,MATCH(AA54&amp;"|"&amp;AB54,'02_SCHEDULE'!$M$5:$M$124,0)),0)</f>
        <v>13</v>
      </c>
      <c r="AF54" s="51">
        <f>IFERROR(INDEX('02_SCHEDULE'!$L$5:$L$124,MATCH(AA54&amp;"|"&amp;AB54,'02_SCHEDULE'!$M$5:$M$124,0)),0)</f>
        <v>16</v>
      </c>
      <c r="AG54" s="51">
        <f t="shared" si="0"/>
        <v>2</v>
      </c>
    </row>
    <row r="55" spans="2:33" x14ac:dyDescent="0.3">
      <c r="B55">
        <f>32</f>
        <v>32</v>
      </c>
      <c r="C55" s="55">
        <f>'01_INPUTS'!$C$7+(32-1)*7</f>
        <v>46468</v>
      </c>
      <c r="D55" s="61">
        <f>IF(INDEX('01_INPUTS'!$E$17:$E$31,MATCH(D$23,'01_INPUTS'!$B$17:$B$31,0))=0,IF(SUMIFS($AD$3:$AD$870,$AC$3:$AC$870,D$23,$AE$3:$AE$870,"&lt;="&amp;$B55,$AF$3:$AF$870,"&gt;="&amp;$B55)=0,0,9.99),SUMIFS($AD$3:$AD$870,$AC$3:$AC$870,D$23,$AE$3:$AE$870,"&lt;="&amp;$B55,$AF$3:$AF$870,"&gt;="&amp;$B55)/INDEX('01_INPUTS'!$E$17:$E$31,MATCH(D$23,'01_INPUTS'!$B$17:$B$31,0)))</f>
        <v>1</v>
      </c>
      <c r="E55" s="61">
        <f>IF(INDEX('01_INPUTS'!$E$17:$E$31,MATCH(E$23,'01_INPUTS'!$B$17:$B$31,0))=0,IF(SUMIFS($AD$3:$AD$870,$AC$3:$AC$870,E$23,$AE$3:$AE$870,"&lt;="&amp;$B55,$AF$3:$AF$870,"&gt;="&amp;$B55)=0,0,9.99),SUMIFS($AD$3:$AD$870,$AC$3:$AC$870,E$23,$AE$3:$AE$870,"&lt;="&amp;$B55,$AF$3:$AF$870,"&gt;="&amp;$B55)/INDEX('01_INPUTS'!$E$17:$E$31,MATCH(E$23,'01_INPUTS'!$B$17:$B$31,0)))</f>
        <v>0</v>
      </c>
      <c r="F55" s="61">
        <f>IF(INDEX('01_INPUTS'!$E$17:$E$31,MATCH(F$23,'01_INPUTS'!$B$17:$B$31,0))=0,IF(SUMIFS($AD$3:$AD$870,$AC$3:$AC$870,F$23,$AE$3:$AE$870,"&lt;="&amp;$B55,$AF$3:$AF$870,"&gt;="&amp;$B55)=0,0,9.99),SUMIFS($AD$3:$AD$870,$AC$3:$AC$870,F$23,$AE$3:$AE$870,"&lt;="&amp;$B55,$AF$3:$AF$870,"&gt;="&amp;$B55)/INDEX('01_INPUTS'!$E$17:$E$31,MATCH(F$23,'01_INPUTS'!$B$17:$B$31,0)))</f>
        <v>0</v>
      </c>
      <c r="G55" s="61">
        <f>IF(INDEX('01_INPUTS'!$E$17:$E$31,MATCH(G$23,'01_INPUTS'!$B$17:$B$31,0))=0,IF(SUMIFS($AD$3:$AD$870,$AC$3:$AC$870,G$23,$AE$3:$AE$870,"&lt;="&amp;$B55,$AF$3:$AF$870,"&gt;="&amp;$B55)=0,0,9.99),SUMIFS($AD$3:$AD$870,$AC$3:$AC$870,G$23,$AE$3:$AE$870,"&lt;="&amp;$B55,$AF$3:$AF$870,"&gt;="&amp;$B55)/INDEX('01_INPUTS'!$E$17:$E$31,MATCH(G$23,'01_INPUTS'!$B$17:$B$31,0)))</f>
        <v>0</v>
      </c>
      <c r="H55" s="61">
        <f>IF(INDEX('01_INPUTS'!$E$17:$E$31,MATCH(H$23,'01_INPUTS'!$B$17:$B$31,0))=0,IF(SUMIFS($AD$3:$AD$870,$AC$3:$AC$870,H$23,$AE$3:$AE$870,"&lt;="&amp;$B55,$AF$3:$AF$870,"&gt;="&amp;$B55)=0,0,9.99),SUMIFS($AD$3:$AD$870,$AC$3:$AC$870,H$23,$AE$3:$AE$870,"&lt;="&amp;$B55,$AF$3:$AF$870,"&gt;="&amp;$B55)/INDEX('01_INPUTS'!$E$17:$E$31,MATCH(H$23,'01_INPUTS'!$B$17:$B$31,0)))</f>
        <v>1</v>
      </c>
      <c r="I55" s="61">
        <f>IF(INDEX('01_INPUTS'!$E$17:$E$31,MATCH(I$23,'01_INPUTS'!$B$17:$B$31,0))=0,IF(SUMIFS($AD$3:$AD$870,$AC$3:$AC$870,I$23,$AE$3:$AE$870,"&lt;="&amp;$B55,$AF$3:$AF$870,"&gt;="&amp;$B55)=0,0,9.99),SUMIFS($AD$3:$AD$870,$AC$3:$AC$870,I$23,$AE$3:$AE$870,"&lt;="&amp;$B55,$AF$3:$AF$870,"&gt;="&amp;$B55)/INDEX('01_INPUTS'!$E$17:$E$31,MATCH(I$23,'01_INPUTS'!$B$17:$B$31,0)))</f>
        <v>1.5</v>
      </c>
      <c r="J55" s="61">
        <f>IF(INDEX('01_INPUTS'!$E$17:$E$31,MATCH(J$23,'01_INPUTS'!$B$17:$B$31,0))=0,IF(SUMIFS($AD$3:$AD$870,$AC$3:$AC$870,J$23,$AE$3:$AE$870,"&lt;="&amp;$B55,$AF$3:$AF$870,"&gt;="&amp;$B55)=0,0,9.99),SUMIFS($AD$3:$AD$870,$AC$3:$AC$870,J$23,$AE$3:$AE$870,"&lt;="&amp;$B55,$AF$3:$AF$870,"&gt;="&amp;$B55)/INDEX('01_INPUTS'!$E$17:$E$31,MATCH(J$23,'01_INPUTS'!$B$17:$B$31,0)))</f>
        <v>2</v>
      </c>
      <c r="K55" s="61">
        <f>IF(INDEX('01_INPUTS'!$E$17:$E$31,MATCH(K$23,'01_INPUTS'!$B$17:$B$31,0))=0,IF(SUMIFS($AD$3:$AD$870,$AC$3:$AC$870,K$23,$AE$3:$AE$870,"&lt;="&amp;$B55,$AF$3:$AF$870,"&gt;="&amp;$B55)=0,0,9.99),SUMIFS($AD$3:$AD$870,$AC$3:$AC$870,K$23,$AE$3:$AE$870,"&lt;="&amp;$B55,$AF$3:$AF$870,"&gt;="&amp;$B55)/INDEX('01_INPUTS'!$E$17:$E$31,MATCH(K$23,'01_INPUTS'!$B$17:$B$31,0)))</f>
        <v>1.5</v>
      </c>
      <c r="L55" s="61">
        <f>IF(INDEX('01_INPUTS'!$E$17:$E$31,MATCH(L$23,'01_INPUTS'!$B$17:$B$31,0))=0,IF(SUMIFS($AD$3:$AD$870,$AC$3:$AC$870,L$23,$AE$3:$AE$870,"&lt;="&amp;$B55,$AF$3:$AF$870,"&gt;="&amp;$B55)=0,0,9.99),SUMIFS($AD$3:$AD$870,$AC$3:$AC$870,L$23,$AE$3:$AE$870,"&lt;="&amp;$B55,$AF$3:$AF$870,"&gt;="&amp;$B55)/INDEX('01_INPUTS'!$E$17:$E$31,MATCH(L$23,'01_INPUTS'!$B$17:$B$31,0)))</f>
        <v>1</v>
      </c>
      <c r="M55" s="61">
        <f>IF(INDEX('01_INPUTS'!$E$17:$E$31,MATCH(M$23,'01_INPUTS'!$B$17:$B$31,0))=0,IF(SUMIFS($AD$3:$AD$870,$AC$3:$AC$870,M$23,$AE$3:$AE$870,"&lt;="&amp;$B55,$AF$3:$AF$870,"&gt;="&amp;$B55)=0,0,9.99),SUMIFS($AD$3:$AD$870,$AC$3:$AC$870,M$23,$AE$3:$AE$870,"&lt;="&amp;$B55,$AF$3:$AF$870,"&gt;="&amp;$B55)/INDEX('01_INPUTS'!$E$17:$E$31,MATCH(M$23,'01_INPUTS'!$B$17:$B$31,0)))</f>
        <v>1</v>
      </c>
      <c r="N55" s="61">
        <f>IF(INDEX('01_INPUTS'!$E$17:$E$31,MATCH(N$23,'01_INPUTS'!$B$17:$B$31,0))=0,IF(SUMIFS($AD$3:$AD$870,$AC$3:$AC$870,N$23,$AE$3:$AE$870,"&lt;="&amp;$B55,$AF$3:$AF$870,"&gt;="&amp;$B55)=0,0,9.99),SUMIFS($AD$3:$AD$870,$AC$3:$AC$870,N$23,$AE$3:$AE$870,"&lt;="&amp;$B55,$AF$3:$AF$870,"&gt;="&amp;$B55)/INDEX('01_INPUTS'!$E$17:$E$31,MATCH(N$23,'01_INPUTS'!$B$17:$B$31,0)))</f>
        <v>1</v>
      </c>
      <c r="O55" s="61">
        <f>IF(INDEX('01_INPUTS'!$E$17:$E$31,MATCH(O$23,'01_INPUTS'!$B$17:$B$31,0))=0,IF(SUMIFS($AD$3:$AD$870,$AC$3:$AC$870,O$23,$AE$3:$AE$870,"&lt;="&amp;$B55,$AF$3:$AF$870,"&gt;="&amp;$B55)=0,0,9.99),SUMIFS($AD$3:$AD$870,$AC$3:$AC$870,O$23,$AE$3:$AE$870,"&lt;="&amp;$B55,$AF$3:$AF$870,"&gt;="&amp;$B55)/INDEX('01_INPUTS'!$E$17:$E$31,MATCH(O$23,'01_INPUTS'!$B$17:$B$31,0)))</f>
        <v>0</v>
      </c>
      <c r="P55" s="61">
        <f>IF(INDEX('01_INPUTS'!$E$17:$E$31,MATCH(P$23,'01_INPUTS'!$B$17:$B$31,0))=0,IF(SUMIFS($AD$3:$AD$870,$AC$3:$AC$870,P$23,$AE$3:$AE$870,"&lt;="&amp;$B55,$AF$3:$AF$870,"&gt;="&amp;$B55)=0,0,9.99),SUMIFS($AD$3:$AD$870,$AC$3:$AC$870,P$23,$AE$3:$AE$870,"&lt;="&amp;$B55,$AF$3:$AF$870,"&gt;="&amp;$B55)/INDEX('01_INPUTS'!$E$17:$E$31,MATCH(P$23,'01_INPUTS'!$B$17:$B$31,0)))</f>
        <v>6</v>
      </c>
      <c r="Q55" s="61">
        <f>IF(INDEX('01_INPUTS'!$E$17:$E$31,MATCH(Q$23,'01_INPUTS'!$B$17:$B$31,0))=0,IF(SUMIFS($AD$3:$AD$870,$AC$3:$AC$870,Q$23,$AE$3:$AE$870,"&lt;="&amp;$B55,$AF$3:$AF$870,"&gt;="&amp;$B55)=0,0,9.99),SUMIFS($AD$3:$AD$870,$AC$3:$AC$870,Q$23,$AE$3:$AE$870,"&lt;="&amp;$B55,$AF$3:$AF$870,"&gt;="&amp;$B55)/INDEX('01_INPUTS'!$E$17:$E$31,MATCH(Q$23,'01_INPUTS'!$B$17:$B$31,0)))</f>
        <v>0.5</v>
      </c>
      <c r="R55" s="61">
        <f>IF(INDEX('01_INPUTS'!$E$17:$E$31,MATCH(R$23,'01_INPUTS'!$B$17:$B$31,0))=0,IF(SUMIFS($AD$3:$AD$870,$AC$3:$AC$870,R$23,$AE$3:$AE$870,"&lt;="&amp;$B55,$AF$3:$AF$870,"&gt;="&amp;$B55)=0,0,9.99),SUMIFS($AD$3:$AD$870,$AC$3:$AC$870,R$23,$AE$3:$AE$870,"&lt;="&amp;$B55,$AF$3:$AF$870,"&gt;="&amp;$B55)/INDEX('01_INPUTS'!$E$17:$E$31,MATCH(R$23,'01_INPUTS'!$B$17:$B$31,0)))</f>
        <v>0</v>
      </c>
      <c r="S55">
        <f t="shared" si="1"/>
        <v>21.5</v>
      </c>
      <c r="T55">
        <f>SUM('01_INPUTS'!$E$17:$E$31)</f>
        <v>20</v>
      </c>
      <c r="U55" s="61">
        <f t="shared" si="2"/>
        <v>1.075</v>
      </c>
      <c r="V55">
        <f t="shared" si="3"/>
        <v>4</v>
      </c>
      <c r="W55" t="str">
        <f t="shared" si="4"/>
        <v>ROJO</v>
      </c>
      <c r="AA55" s="51" t="str">
        <f>'Sites Master'!$B$2</f>
        <v>Site 01</v>
      </c>
      <c r="AB55" s="51" t="str">
        <f>'Phase-Resource Allocation'!$B$116</f>
        <v>Hypercare</v>
      </c>
      <c r="AC55" s="51" t="str">
        <f>'Phase-Resource Allocation'!$C$116</f>
        <v>SAP Integrations Specialist</v>
      </c>
      <c r="AD55" s="60">
        <f>'Phase-Resource Allocation'!$D$116</f>
        <v>0.5</v>
      </c>
      <c r="AE55" s="51">
        <f>IFERROR(INDEX('02_SCHEDULE'!$K$5:$K$124,MATCH(AA55&amp;"|"&amp;AB55,'02_SCHEDULE'!$M$5:$M$124,0)),0)</f>
        <v>13</v>
      </c>
      <c r="AF55" s="51">
        <f>IFERROR(INDEX('02_SCHEDULE'!$L$5:$L$124,MATCH(AA55&amp;"|"&amp;AB55,'02_SCHEDULE'!$M$5:$M$124,0)),0)</f>
        <v>16</v>
      </c>
      <c r="AG55" s="51">
        <f t="shared" si="0"/>
        <v>2</v>
      </c>
    </row>
    <row r="56" spans="2:33" x14ac:dyDescent="0.3">
      <c r="B56">
        <f>33</f>
        <v>33</v>
      </c>
      <c r="C56" s="55">
        <f>'01_INPUTS'!$C$7+(33-1)*7</f>
        <v>46475</v>
      </c>
      <c r="D56" s="61">
        <f>IF(INDEX('01_INPUTS'!$E$17:$E$31,MATCH(D$23,'01_INPUTS'!$B$17:$B$31,0))=0,IF(SUMIFS($AD$3:$AD$870,$AC$3:$AC$870,D$23,$AE$3:$AE$870,"&lt;="&amp;$B56,$AF$3:$AF$870,"&gt;="&amp;$B56)=0,0,9.99),SUMIFS($AD$3:$AD$870,$AC$3:$AC$870,D$23,$AE$3:$AE$870,"&lt;="&amp;$B56,$AF$3:$AF$870,"&gt;="&amp;$B56)/INDEX('01_INPUTS'!$E$17:$E$31,MATCH(D$23,'01_INPUTS'!$B$17:$B$31,0)))</f>
        <v>0.5</v>
      </c>
      <c r="E56" s="61">
        <f>IF(INDEX('01_INPUTS'!$E$17:$E$31,MATCH(E$23,'01_INPUTS'!$B$17:$B$31,0))=0,IF(SUMIFS($AD$3:$AD$870,$AC$3:$AC$870,E$23,$AE$3:$AE$870,"&lt;="&amp;$B56,$AF$3:$AF$870,"&gt;="&amp;$B56)=0,0,9.99),SUMIFS($AD$3:$AD$870,$AC$3:$AC$870,E$23,$AE$3:$AE$870,"&lt;="&amp;$B56,$AF$3:$AF$870,"&gt;="&amp;$B56)/INDEX('01_INPUTS'!$E$17:$E$31,MATCH(E$23,'01_INPUTS'!$B$17:$B$31,0)))</f>
        <v>0</v>
      </c>
      <c r="F56" s="61">
        <f>IF(INDEX('01_INPUTS'!$E$17:$E$31,MATCH(F$23,'01_INPUTS'!$B$17:$B$31,0))=0,IF(SUMIFS($AD$3:$AD$870,$AC$3:$AC$870,F$23,$AE$3:$AE$870,"&lt;="&amp;$B56,$AF$3:$AF$870,"&gt;="&amp;$B56)=0,0,9.99),SUMIFS($AD$3:$AD$870,$AC$3:$AC$870,F$23,$AE$3:$AE$870,"&lt;="&amp;$B56,$AF$3:$AF$870,"&gt;="&amp;$B56)/INDEX('01_INPUTS'!$E$17:$E$31,MATCH(F$23,'01_INPUTS'!$B$17:$B$31,0)))</f>
        <v>0</v>
      </c>
      <c r="G56" s="61">
        <f>IF(INDEX('01_INPUTS'!$E$17:$E$31,MATCH(G$23,'01_INPUTS'!$B$17:$B$31,0))=0,IF(SUMIFS($AD$3:$AD$870,$AC$3:$AC$870,G$23,$AE$3:$AE$870,"&lt;="&amp;$B56,$AF$3:$AF$870,"&gt;="&amp;$B56)=0,0,9.99),SUMIFS($AD$3:$AD$870,$AC$3:$AC$870,G$23,$AE$3:$AE$870,"&lt;="&amp;$B56,$AF$3:$AF$870,"&gt;="&amp;$B56)/INDEX('01_INPUTS'!$E$17:$E$31,MATCH(G$23,'01_INPUTS'!$B$17:$B$31,0)))</f>
        <v>0</v>
      </c>
      <c r="H56" s="61">
        <f>IF(INDEX('01_INPUTS'!$E$17:$E$31,MATCH(H$23,'01_INPUTS'!$B$17:$B$31,0))=0,IF(SUMIFS($AD$3:$AD$870,$AC$3:$AC$870,H$23,$AE$3:$AE$870,"&lt;="&amp;$B56,$AF$3:$AF$870,"&gt;="&amp;$B56)=0,0,9.99),SUMIFS($AD$3:$AD$870,$AC$3:$AC$870,H$23,$AE$3:$AE$870,"&lt;="&amp;$B56,$AF$3:$AF$870,"&gt;="&amp;$B56)/INDEX('01_INPUTS'!$E$17:$E$31,MATCH(H$23,'01_INPUTS'!$B$17:$B$31,0)))</f>
        <v>0.5</v>
      </c>
      <c r="I56" s="61">
        <f>IF(INDEX('01_INPUTS'!$E$17:$E$31,MATCH(I$23,'01_INPUTS'!$B$17:$B$31,0))=0,IF(SUMIFS($AD$3:$AD$870,$AC$3:$AC$870,I$23,$AE$3:$AE$870,"&lt;="&amp;$B56,$AF$3:$AF$870,"&gt;="&amp;$B56)=0,0,9.99),SUMIFS($AD$3:$AD$870,$AC$3:$AC$870,I$23,$AE$3:$AE$870,"&lt;="&amp;$B56,$AF$3:$AF$870,"&gt;="&amp;$B56)/INDEX('01_INPUTS'!$E$17:$E$31,MATCH(I$23,'01_INPUTS'!$B$17:$B$31,0)))</f>
        <v>1.5</v>
      </c>
      <c r="J56" s="61">
        <f>IF(INDEX('01_INPUTS'!$E$17:$E$31,MATCH(J$23,'01_INPUTS'!$B$17:$B$31,0))=0,IF(SUMIFS($AD$3:$AD$870,$AC$3:$AC$870,J$23,$AE$3:$AE$870,"&lt;="&amp;$B56,$AF$3:$AF$870,"&gt;="&amp;$B56)=0,0,9.99),SUMIFS($AD$3:$AD$870,$AC$3:$AC$870,J$23,$AE$3:$AE$870,"&lt;="&amp;$B56,$AF$3:$AF$870,"&gt;="&amp;$B56)/INDEX('01_INPUTS'!$E$17:$E$31,MATCH(J$23,'01_INPUTS'!$B$17:$B$31,0)))</f>
        <v>1</v>
      </c>
      <c r="K56" s="61">
        <f>IF(INDEX('01_INPUTS'!$E$17:$E$31,MATCH(K$23,'01_INPUTS'!$B$17:$B$31,0))=0,IF(SUMIFS($AD$3:$AD$870,$AC$3:$AC$870,K$23,$AE$3:$AE$870,"&lt;="&amp;$B56,$AF$3:$AF$870,"&gt;="&amp;$B56)=0,0,9.99),SUMIFS($AD$3:$AD$870,$AC$3:$AC$870,K$23,$AE$3:$AE$870,"&lt;="&amp;$B56,$AF$3:$AF$870,"&gt;="&amp;$B56)/INDEX('01_INPUTS'!$E$17:$E$31,MATCH(K$23,'01_INPUTS'!$B$17:$B$31,0)))</f>
        <v>1.5</v>
      </c>
      <c r="L56" s="61">
        <f>IF(INDEX('01_INPUTS'!$E$17:$E$31,MATCH(L$23,'01_INPUTS'!$B$17:$B$31,0))=0,IF(SUMIFS($AD$3:$AD$870,$AC$3:$AC$870,L$23,$AE$3:$AE$870,"&lt;="&amp;$B56,$AF$3:$AF$870,"&gt;="&amp;$B56)=0,0,9.99),SUMIFS($AD$3:$AD$870,$AC$3:$AC$870,L$23,$AE$3:$AE$870,"&lt;="&amp;$B56,$AF$3:$AF$870,"&gt;="&amp;$B56)/INDEX('01_INPUTS'!$E$17:$E$31,MATCH(L$23,'01_INPUTS'!$B$17:$B$31,0)))</f>
        <v>0.5</v>
      </c>
      <c r="M56" s="61">
        <f>IF(INDEX('01_INPUTS'!$E$17:$E$31,MATCH(M$23,'01_INPUTS'!$B$17:$B$31,0))=0,IF(SUMIFS($AD$3:$AD$870,$AC$3:$AC$870,M$23,$AE$3:$AE$870,"&lt;="&amp;$B56,$AF$3:$AF$870,"&gt;="&amp;$B56)=0,0,9.99),SUMIFS($AD$3:$AD$870,$AC$3:$AC$870,M$23,$AE$3:$AE$870,"&lt;="&amp;$B56,$AF$3:$AF$870,"&gt;="&amp;$B56)/INDEX('01_INPUTS'!$E$17:$E$31,MATCH(M$23,'01_INPUTS'!$B$17:$B$31,0)))</f>
        <v>0.5</v>
      </c>
      <c r="N56" s="61">
        <f>IF(INDEX('01_INPUTS'!$E$17:$E$31,MATCH(N$23,'01_INPUTS'!$B$17:$B$31,0))=0,IF(SUMIFS($AD$3:$AD$870,$AC$3:$AC$870,N$23,$AE$3:$AE$870,"&lt;="&amp;$B56,$AF$3:$AF$870,"&gt;="&amp;$B56)=0,0,9.99),SUMIFS($AD$3:$AD$870,$AC$3:$AC$870,N$23,$AE$3:$AE$870,"&lt;="&amp;$B56,$AF$3:$AF$870,"&gt;="&amp;$B56)/INDEX('01_INPUTS'!$E$17:$E$31,MATCH(N$23,'01_INPUTS'!$B$17:$B$31,0)))</f>
        <v>0.5</v>
      </c>
      <c r="O56" s="61">
        <f>IF(INDEX('01_INPUTS'!$E$17:$E$31,MATCH(O$23,'01_INPUTS'!$B$17:$B$31,0))=0,IF(SUMIFS($AD$3:$AD$870,$AC$3:$AC$870,O$23,$AE$3:$AE$870,"&lt;="&amp;$B56,$AF$3:$AF$870,"&gt;="&amp;$B56)=0,0,9.99),SUMIFS($AD$3:$AD$870,$AC$3:$AC$870,O$23,$AE$3:$AE$870,"&lt;="&amp;$B56,$AF$3:$AF$870,"&gt;="&amp;$B56)/INDEX('01_INPUTS'!$E$17:$E$31,MATCH(O$23,'01_INPUTS'!$B$17:$B$31,0)))</f>
        <v>0</v>
      </c>
      <c r="P56" s="61">
        <f>IF(INDEX('01_INPUTS'!$E$17:$E$31,MATCH(P$23,'01_INPUTS'!$B$17:$B$31,0))=0,IF(SUMIFS($AD$3:$AD$870,$AC$3:$AC$870,P$23,$AE$3:$AE$870,"&lt;="&amp;$B56,$AF$3:$AF$870,"&gt;="&amp;$B56)=0,0,9.99),SUMIFS($AD$3:$AD$870,$AC$3:$AC$870,P$23,$AE$3:$AE$870,"&lt;="&amp;$B56,$AF$3:$AF$870,"&gt;="&amp;$B56)/INDEX('01_INPUTS'!$E$17:$E$31,MATCH(P$23,'01_INPUTS'!$B$17:$B$31,0)))</f>
        <v>3</v>
      </c>
      <c r="Q56" s="61">
        <f>IF(INDEX('01_INPUTS'!$E$17:$E$31,MATCH(Q$23,'01_INPUTS'!$B$17:$B$31,0))=0,IF(SUMIFS($AD$3:$AD$870,$AC$3:$AC$870,Q$23,$AE$3:$AE$870,"&lt;="&amp;$B56,$AF$3:$AF$870,"&gt;="&amp;$B56)=0,0,9.99),SUMIFS($AD$3:$AD$870,$AC$3:$AC$870,Q$23,$AE$3:$AE$870,"&lt;="&amp;$B56,$AF$3:$AF$870,"&gt;="&amp;$B56)/INDEX('01_INPUTS'!$E$17:$E$31,MATCH(Q$23,'01_INPUTS'!$B$17:$B$31,0)))</f>
        <v>0.25</v>
      </c>
      <c r="R56" s="61">
        <f>IF(INDEX('01_INPUTS'!$E$17:$E$31,MATCH(R$23,'01_INPUTS'!$B$17:$B$31,0))=0,IF(SUMIFS($AD$3:$AD$870,$AC$3:$AC$870,R$23,$AE$3:$AE$870,"&lt;="&amp;$B56,$AF$3:$AF$870,"&gt;="&amp;$B56)=0,0,9.99),SUMIFS($AD$3:$AD$870,$AC$3:$AC$870,R$23,$AE$3:$AE$870,"&lt;="&amp;$B56,$AF$3:$AF$870,"&gt;="&amp;$B56)/INDEX('01_INPUTS'!$E$17:$E$31,MATCH(R$23,'01_INPUTS'!$B$17:$B$31,0)))</f>
        <v>0</v>
      </c>
      <c r="S56">
        <f t="shared" ref="S56:S87" si="5">SUMIFS($AD$3:$AD$870,$AE$3:$AE$870,"&lt;="&amp;B56,$AF$3:$AF$870,"&gt;="&amp;B56)</f>
        <v>13</v>
      </c>
      <c r="T56">
        <f>SUM('01_INPUTS'!$E$17:$E$31)</f>
        <v>20</v>
      </c>
      <c r="U56" s="61">
        <f t="shared" ref="U56:U87" si="6">IFERROR(S56/T56,0)</f>
        <v>0.65</v>
      </c>
      <c r="V56">
        <f t="shared" ref="V56:V87" si="7">COUNTIF(D56:R56,"&gt;1")</f>
        <v>3</v>
      </c>
      <c r="W56" t="str">
        <f t="shared" ref="W56:W87" si="8">IF(MAX(D56:R56)&gt;1,"ROJO",IF(MAX(D56:R56)&gt;0.8,"AMARILLO","VERDE"))</f>
        <v>ROJO</v>
      </c>
      <c r="AA56" s="51" t="str">
        <f>'Sites Master'!$B$2</f>
        <v>Site 01</v>
      </c>
      <c r="AB56" s="51" t="str">
        <f>'Phase-Resource Allocation'!$B$117</f>
        <v>Hypercare</v>
      </c>
      <c r="AC56" s="51" t="str">
        <f>'Phase-Resource Allocation'!$C$117</f>
        <v>Azure Lead</v>
      </c>
      <c r="AD56" s="60">
        <f>'Phase-Resource Allocation'!$D$117</f>
        <v>0.5</v>
      </c>
      <c r="AE56" s="51">
        <f>IFERROR(INDEX('02_SCHEDULE'!$K$5:$K$124,MATCH(AA56&amp;"|"&amp;AB56,'02_SCHEDULE'!$M$5:$M$124,0)),0)</f>
        <v>13</v>
      </c>
      <c r="AF56" s="51">
        <f>IFERROR(INDEX('02_SCHEDULE'!$L$5:$L$124,MATCH(AA56&amp;"|"&amp;AB56,'02_SCHEDULE'!$M$5:$M$124,0)),0)</f>
        <v>16</v>
      </c>
      <c r="AG56" s="51">
        <f t="shared" si="0"/>
        <v>2</v>
      </c>
    </row>
    <row r="57" spans="2:33" x14ac:dyDescent="0.3">
      <c r="B57">
        <f>34</f>
        <v>34</v>
      </c>
      <c r="C57" s="55">
        <f>'01_INPUTS'!$C$7+(34-1)*7</f>
        <v>46482</v>
      </c>
      <c r="D57" s="61">
        <f>IF(INDEX('01_INPUTS'!$E$17:$E$31,MATCH(D$23,'01_INPUTS'!$B$17:$B$31,0))=0,IF(SUMIFS($AD$3:$AD$870,$AC$3:$AC$870,D$23,$AE$3:$AE$870,"&lt;="&amp;$B57,$AF$3:$AF$870,"&gt;="&amp;$B57)=0,0,9.99),SUMIFS($AD$3:$AD$870,$AC$3:$AC$870,D$23,$AE$3:$AE$870,"&lt;="&amp;$B57,$AF$3:$AF$870,"&gt;="&amp;$B57)/INDEX('01_INPUTS'!$E$17:$E$31,MATCH(D$23,'01_INPUTS'!$B$17:$B$31,0)))</f>
        <v>0.5</v>
      </c>
      <c r="E57" s="61">
        <f>IF(INDEX('01_INPUTS'!$E$17:$E$31,MATCH(E$23,'01_INPUTS'!$B$17:$B$31,0))=0,IF(SUMIFS($AD$3:$AD$870,$AC$3:$AC$870,E$23,$AE$3:$AE$870,"&lt;="&amp;$B57,$AF$3:$AF$870,"&gt;="&amp;$B57)=0,0,9.99),SUMIFS($AD$3:$AD$870,$AC$3:$AC$870,E$23,$AE$3:$AE$870,"&lt;="&amp;$B57,$AF$3:$AF$870,"&gt;="&amp;$B57)/INDEX('01_INPUTS'!$E$17:$E$31,MATCH(E$23,'01_INPUTS'!$B$17:$B$31,0)))</f>
        <v>0</v>
      </c>
      <c r="F57" s="61">
        <f>IF(INDEX('01_INPUTS'!$E$17:$E$31,MATCH(F$23,'01_INPUTS'!$B$17:$B$31,0))=0,IF(SUMIFS($AD$3:$AD$870,$AC$3:$AC$870,F$23,$AE$3:$AE$870,"&lt;="&amp;$B57,$AF$3:$AF$870,"&gt;="&amp;$B57)=0,0,9.99),SUMIFS($AD$3:$AD$870,$AC$3:$AC$870,F$23,$AE$3:$AE$870,"&lt;="&amp;$B57,$AF$3:$AF$870,"&gt;="&amp;$B57)/INDEX('01_INPUTS'!$E$17:$E$31,MATCH(F$23,'01_INPUTS'!$B$17:$B$31,0)))</f>
        <v>0</v>
      </c>
      <c r="G57" s="61">
        <f>IF(INDEX('01_INPUTS'!$E$17:$E$31,MATCH(G$23,'01_INPUTS'!$B$17:$B$31,0))=0,IF(SUMIFS($AD$3:$AD$870,$AC$3:$AC$870,G$23,$AE$3:$AE$870,"&lt;="&amp;$B57,$AF$3:$AF$870,"&gt;="&amp;$B57)=0,0,9.99),SUMIFS($AD$3:$AD$870,$AC$3:$AC$870,G$23,$AE$3:$AE$870,"&lt;="&amp;$B57,$AF$3:$AF$870,"&gt;="&amp;$B57)/INDEX('01_INPUTS'!$E$17:$E$31,MATCH(G$23,'01_INPUTS'!$B$17:$B$31,0)))</f>
        <v>0</v>
      </c>
      <c r="H57" s="61">
        <f>IF(INDEX('01_INPUTS'!$E$17:$E$31,MATCH(H$23,'01_INPUTS'!$B$17:$B$31,0))=0,IF(SUMIFS($AD$3:$AD$870,$AC$3:$AC$870,H$23,$AE$3:$AE$870,"&lt;="&amp;$B57,$AF$3:$AF$870,"&gt;="&amp;$B57)=0,0,9.99),SUMIFS($AD$3:$AD$870,$AC$3:$AC$870,H$23,$AE$3:$AE$870,"&lt;="&amp;$B57,$AF$3:$AF$870,"&gt;="&amp;$B57)/INDEX('01_INPUTS'!$E$17:$E$31,MATCH(H$23,'01_INPUTS'!$B$17:$B$31,0)))</f>
        <v>0.5</v>
      </c>
      <c r="I57" s="61">
        <f>IF(INDEX('01_INPUTS'!$E$17:$E$31,MATCH(I$23,'01_INPUTS'!$B$17:$B$31,0))=0,IF(SUMIFS($AD$3:$AD$870,$AC$3:$AC$870,I$23,$AE$3:$AE$870,"&lt;="&amp;$B57,$AF$3:$AF$870,"&gt;="&amp;$B57)=0,0,9.99),SUMIFS($AD$3:$AD$870,$AC$3:$AC$870,I$23,$AE$3:$AE$870,"&lt;="&amp;$B57,$AF$3:$AF$870,"&gt;="&amp;$B57)/INDEX('01_INPUTS'!$E$17:$E$31,MATCH(I$23,'01_INPUTS'!$B$17:$B$31,0)))</f>
        <v>1.5</v>
      </c>
      <c r="J57" s="61">
        <f>IF(INDEX('01_INPUTS'!$E$17:$E$31,MATCH(J$23,'01_INPUTS'!$B$17:$B$31,0))=0,IF(SUMIFS($AD$3:$AD$870,$AC$3:$AC$870,J$23,$AE$3:$AE$870,"&lt;="&amp;$B57,$AF$3:$AF$870,"&gt;="&amp;$B57)=0,0,9.99),SUMIFS($AD$3:$AD$870,$AC$3:$AC$870,J$23,$AE$3:$AE$870,"&lt;="&amp;$B57,$AF$3:$AF$870,"&gt;="&amp;$B57)/INDEX('01_INPUTS'!$E$17:$E$31,MATCH(J$23,'01_INPUTS'!$B$17:$B$31,0)))</f>
        <v>1</v>
      </c>
      <c r="K57" s="61">
        <f>IF(INDEX('01_INPUTS'!$E$17:$E$31,MATCH(K$23,'01_INPUTS'!$B$17:$B$31,0))=0,IF(SUMIFS($AD$3:$AD$870,$AC$3:$AC$870,K$23,$AE$3:$AE$870,"&lt;="&amp;$B57,$AF$3:$AF$870,"&gt;="&amp;$B57)=0,0,9.99),SUMIFS($AD$3:$AD$870,$AC$3:$AC$870,K$23,$AE$3:$AE$870,"&lt;="&amp;$B57,$AF$3:$AF$870,"&gt;="&amp;$B57)/INDEX('01_INPUTS'!$E$17:$E$31,MATCH(K$23,'01_INPUTS'!$B$17:$B$31,0)))</f>
        <v>1.5</v>
      </c>
      <c r="L57" s="61">
        <f>IF(INDEX('01_INPUTS'!$E$17:$E$31,MATCH(L$23,'01_INPUTS'!$B$17:$B$31,0))=0,IF(SUMIFS($AD$3:$AD$870,$AC$3:$AC$870,L$23,$AE$3:$AE$870,"&lt;="&amp;$B57,$AF$3:$AF$870,"&gt;="&amp;$B57)=0,0,9.99),SUMIFS($AD$3:$AD$870,$AC$3:$AC$870,L$23,$AE$3:$AE$870,"&lt;="&amp;$B57,$AF$3:$AF$870,"&gt;="&amp;$B57)/INDEX('01_INPUTS'!$E$17:$E$31,MATCH(L$23,'01_INPUTS'!$B$17:$B$31,0)))</f>
        <v>0.5</v>
      </c>
      <c r="M57" s="61">
        <f>IF(INDEX('01_INPUTS'!$E$17:$E$31,MATCH(M$23,'01_INPUTS'!$B$17:$B$31,0))=0,IF(SUMIFS($AD$3:$AD$870,$AC$3:$AC$870,M$23,$AE$3:$AE$870,"&lt;="&amp;$B57,$AF$3:$AF$870,"&gt;="&amp;$B57)=0,0,9.99),SUMIFS($AD$3:$AD$870,$AC$3:$AC$870,M$23,$AE$3:$AE$870,"&lt;="&amp;$B57,$AF$3:$AF$870,"&gt;="&amp;$B57)/INDEX('01_INPUTS'!$E$17:$E$31,MATCH(M$23,'01_INPUTS'!$B$17:$B$31,0)))</f>
        <v>0.5</v>
      </c>
      <c r="N57" s="61">
        <f>IF(INDEX('01_INPUTS'!$E$17:$E$31,MATCH(N$23,'01_INPUTS'!$B$17:$B$31,0))=0,IF(SUMIFS($AD$3:$AD$870,$AC$3:$AC$870,N$23,$AE$3:$AE$870,"&lt;="&amp;$B57,$AF$3:$AF$870,"&gt;="&amp;$B57)=0,0,9.99),SUMIFS($AD$3:$AD$870,$AC$3:$AC$870,N$23,$AE$3:$AE$870,"&lt;="&amp;$B57,$AF$3:$AF$870,"&gt;="&amp;$B57)/INDEX('01_INPUTS'!$E$17:$E$31,MATCH(N$23,'01_INPUTS'!$B$17:$B$31,0)))</f>
        <v>0.5</v>
      </c>
      <c r="O57" s="61">
        <f>IF(INDEX('01_INPUTS'!$E$17:$E$31,MATCH(O$23,'01_INPUTS'!$B$17:$B$31,0))=0,IF(SUMIFS($AD$3:$AD$870,$AC$3:$AC$870,O$23,$AE$3:$AE$870,"&lt;="&amp;$B57,$AF$3:$AF$870,"&gt;="&amp;$B57)=0,0,9.99),SUMIFS($AD$3:$AD$870,$AC$3:$AC$870,O$23,$AE$3:$AE$870,"&lt;="&amp;$B57,$AF$3:$AF$870,"&gt;="&amp;$B57)/INDEX('01_INPUTS'!$E$17:$E$31,MATCH(O$23,'01_INPUTS'!$B$17:$B$31,0)))</f>
        <v>0</v>
      </c>
      <c r="P57" s="61">
        <f>IF(INDEX('01_INPUTS'!$E$17:$E$31,MATCH(P$23,'01_INPUTS'!$B$17:$B$31,0))=0,IF(SUMIFS($AD$3:$AD$870,$AC$3:$AC$870,P$23,$AE$3:$AE$870,"&lt;="&amp;$B57,$AF$3:$AF$870,"&gt;="&amp;$B57)=0,0,9.99),SUMIFS($AD$3:$AD$870,$AC$3:$AC$870,P$23,$AE$3:$AE$870,"&lt;="&amp;$B57,$AF$3:$AF$870,"&gt;="&amp;$B57)/INDEX('01_INPUTS'!$E$17:$E$31,MATCH(P$23,'01_INPUTS'!$B$17:$B$31,0)))</f>
        <v>3</v>
      </c>
      <c r="Q57" s="61">
        <f>IF(INDEX('01_INPUTS'!$E$17:$E$31,MATCH(Q$23,'01_INPUTS'!$B$17:$B$31,0))=0,IF(SUMIFS($AD$3:$AD$870,$AC$3:$AC$870,Q$23,$AE$3:$AE$870,"&lt;="&amp;$B57,$AF$3:$AF$870,"&gt;="&amp;$B57)=0,0,9.99),SUMIFS($AD$3:$AD$870,$AC$3:$AC$870,Q$23,$AE$3:$AE$870,"&lt;="&amp;$B57,$AF$3:$AF$870,"&gt;="&amp;$B57)/INDEX('01_INPUTS'!$E$17:$E$31,MATCH(Q$23,'01_INPUTS'!$B$17:$B$31,0)))</f>
        <v>0.25</v>
      </c>
      <c r="R57" s="61">
        <f>IF(INDEX('01_INPUTS'!$E$17:$E$31,MATCH(R$23,'01_INPUTS'!$B$17:$B$31,0))=0,IF(SUMIFS($AD$3:$AD$870,$AC$3:$AC$870,R$23,$AE$3:$AE$870,"&lt;="&amp;$B57,$AF$3:$AF$870,"&gt;="&amp;$B57)=0,0,9.99),SUMIFS($AD$3:$AD$870,$AC$3:$AC$870,R$23,$AE$3:$AE$870,"&lt;="&amp;$B57,$AF$3:$AF$870,"&gt;="&amp;$B57)/INDEX('01_INPUTS'!$E$17:$E$31,MATCH(R$23,'01_INPUTS'!$B$17:$B$31,0)))</f>
        <v>0</v>
      </c>
      <c r="S57">
        <f t="shared" si="5"/>
        <v>13</v>
      </c>
      <c r="T57">
        <f>SUM('01_INPUTS'!$E$17:$E$31)</f>
        <v>20</v>
      </c>
      <c r="U57" s="61">
        <f t="shared" si="6"/>
        <v>0.65</v>
      </c>
      <c r="V57">
        <f t="shared" si="7"/>
        <v>3</v>
      </c>
      <c r="W57" t="str">
        <f t="shared" si="8"/>
        <v>ROJO</v>
      </c>
      <c r="AA57" s="51" t="str">
        <f>'Sites Master'!$B$2</f>
        <v>Site 01</v>
      </c>
      <c r="AB57" s="51" t="str">
        <f>'Phase-Resource Allocation'!$B$118</f>
        <v>Hypercare</v>
      </c>
      <c r="AC57" s="51" t="str">
        <f>'Phase-Resource Allocation'!$C$118</f>
        <v>Azure Specialist</v>
      </c>
      <c r="AD57" s="60">
        <f>'Phase-Resource Allocation'!$D$118</f>
        <v>0.5</v>
      </c>
      <c r="AE57" s="51">
        <f>IFERROR(INDEX('02_SCHEDULE'!$K$5:$K$124,MATCH(AA57&amp;"|"&amp;AB57,'02_SCHEDULE'!$M$5:$M$124,0)),0)</f>
        <v>13</v>
      </c>
      <c r="AF57" s="51">
        <f>IFERROR(INDEX('02_SCHEDULE'!$L$5:$L$124,MATCH(AA57&amp;"|"&amp;AB57,'02_SCHEDULE'!$M$5:$M$124,0)),0)</f>
        <v>16</v>
      </c>
      <c r="AG57" s="51">
        <f t="shared" si="0"/>
        <v>2</v>
      </c>
    </row>
    <row r="58" spans="2:33" x14ac:dyDescent="0.3">
      <c r="B58">
        <f>35</f>
        <v>35</v>
      </c>
      <c r="C58" s="55">
        <f>'01_INPUTS'!$C$7+(35-1)*7</f>
        <v>46489</v>
      </c>
      <c r="D58" s="61">
        <f>IF(INDEX('01_INPUTS'!$E$17:$E$31,MATCH(D$23,'01_INPUTS'!$B$17:$B$31,0))=0,IF(SUMIFS($AD$3:$AD$870,$AC$3:$AC$870,D$23,$AE$3:$AE$870,"&lt;="&amp;$B58,$AF$3:$AF$870,"&gt;="&amp;$B58)=0,0,9.99),SUMIFS($AD$3:$AD$870,$AC$3:$AC$870,D$23,$AE$3:$AE$870,"&lt;="&amp;$B58,$AF$3:$AF$870,"&gt;="&amp;$B58)/INDEX('01_INPUTS'!$E$17:$E$31,MATCH(D$23,'01_INPUTS'!$B$17:$B$31,0)))</f>
        <v>0.5</v>
      </c>
      <c r="E58" s="61">
        <f>IF(INDEX('01_INPUTS'!$E$17:$E$31,MATCH(E$23,'01_INPUTS'!$B$17:$B$31,0))=0,IF(SUMIFS($AD$3:$AD$870,$AC$3:$AC$870,E$23,$AE$3:$AE$870,"&lt;="&amp;$B58,$AF$3:$AF$870,"&gt;="&amp;$B58)=0,0,9.99),SUMIFS($AD$3:$AD$870,$AC$3:$AC$870,E$23,$AE$3:$AE$870,"&lt;="&amp;$B58,$AF$3:$AF$870,"&gt;="&amp;$B58)/INDEX('01_INPUTS'!$E$17:$E$31,MATCH(E$23,'01_INPUTS'!$B$17:$B$31,0)))</f>
        <v>0</v>
      </c>
      <c r="F58" s="61">
        <f>IF(INDEX('01_INPUTS'!$E$17:$E$31,MATCH(F$23,'01_INPUTS'!$B$17:$B$31,0))=0,IF(SUMIFS($AD$3:$AD$870,$AC$3:$AC$870,F$23,$AE$3:$AE$870,"&lt;="&amp;$B58,$AF$3:$AF$870,"&gt;="&amp;$B58)=0,0,9.99),SUMIFS($AD$3:$AD$870,$AC$3:$AC$870,F$23,$AE$3:$AE$870,"&lt;="&amp;$B58,$AF$3:$AF$870,"&gt;="&amp;$B58)/INDEX('01_INPUTS'!$E$17:$E$31,MATCH(F$23,'01_INPUTS'!$B$17:$B$31,0)))</f>
        <v>0</v>
      </c>
      <c r="G58" s="61">
        <f>IF(INDEX('01_INPUTS'!$E$17:$E$31,MATCH(G$23,'01_INPUTS'!$B$17:$B$31,0))=0,IF(SUMIFS($AD$3:$AD$870,$AC$3:$AC$870,G$23,$AE$3:$AE$870,"&lt;="&amp;$B58,$AF$3:$AF$870,"&gt;="&amp;$B58)=0,0,9.99),SUMIFS($AD$3:$AD$870,$AC$3:$AC$870,G$23,$AE$3:$AE$870,"&lt;="&amp;$B58,$AF$3:$AF$870,"&gt;="&amp;$B58)/INDEX('01_INPUTS'!$E$17:$E$31,MATCH(G$23,'01_INPUTS'!$B$17:$B$31,0)))</f>
        <v>0</v>
      </c>
      <c r="H58" s="61">
        <f>IF(INDEX('01_INPUTS'!$E$17:$E$31,MATCH(H$23,'01_INPUTS'!$B$17:$B$31,0))=0,IF(SUMIFS($AD$3:$AD$870,$AC$3:$AC$870,H$23,$AE$3:$AE$870,"&lt;="&amp;$B58,$AF$3:$AF$870,"&gt;="&amp;$B58)=0,0,9.99),SUMIFS($AD$3:$AD$870,$AC$3:$AC$870,H$23,$AE$3:$AE$870,"&lt;="&amp;$B58,$AF$3:$AF$870,"&gt;="&amp;$B58)/INDEX('01_INPUTS'!$E$17:$E$31,MATCH(H$23,'01_INPUTS'!$B$17:$B$31,0)))</f>
        <v>0.5</v>
      </c>
      <c r="I58" s="61">
        <f>IF(INDEX('01_INPUTS'!$E$17:$E$31,MATCH(I$23,'01_INPUTS'!$B$17:$B$31,0))=0,IF(SUMIFS($AD$3:$AD$870,$AC$3:$AC$870,I$23,$AE$3:$AE$870,"&lt;="&amp;$B58,$AF$3:$AF$870,"&gt;="&amp;$B58)=0,0,9.99),SUMIFS($AD$3:$AD$870,$AC$3:$AC$870,I$23,$AE$3:$AE$870,"&lt;="&amp;$B58,$AF$3:$AF$870,"&gt;="&amp;$B58)/INDEX('01_INPUTS'!$E$17:$E$31,MATCH(I$23,'01_INPUTS'!$B$17:$B$31,0)))</f>
        <v>1.5</v>
      </c>
      <c r="J58" s="61">
        <f>IF(INDEX('01_INPUTS'!$E$17:$E$31,MATCH(J$23,'01_INPUTS'!$B$17:$B$31,0))=0,IF(SUMIFS($AD$3:$AD$870,$AC$3:$AC$870,J$23,$AE$3:$AE$870,"&lt;="&amp;$B58,$AF$3:$AF$870,"&gt;="&amp;$B58)=0,0,9.99),SUMIFS($AD$3:$AD$870,$AC$3:$AC$870,J$23,$AE$3:$AE$870,"&lt;="&amp;$B58,$AF$3:$AF$870,"&gt;="&amp;$B58)/INDEX('01_INPUTS'!$E$17:$E$31,MATCH(J$23,'01_INPUTS'!$B$17:$B$31,0)))</f>
        <v>1</v>
      </c>
      <c r="K58" s="61">
        <f>IF(INDEX('01_INPUTS'!$E$17:$E$31,MATCH(K$23,'01_INPUTS'!$B$17:$B$31,0))=0,IF(SUMIFS($AD$3:$AD$870,$AC$3:$AC$870,K$23,$AE$3:$AE$870,"&lt;="&amp;$B58,$AF$3:$AF$870,"&gt;="&amp;$B58)=0,0,9.99),SUMIFS($AD$3:$AD$870,$AC$3:$AC$870,K$23,$AE$3:$AE$870,"&lt;="&amp;$B58,$AF$3:$AF$870,"&gt;="&amp;$B58)/INDEX('01_INPUTS'!$E$17:$E$31,MATCH(K$23,'01_INPUTS'!$B$17:$B$31,0)))</f>
        <v>1.5</v>
      </c>
      <c r="L58" s="61">
        <f>IF(INDEX('01_INPUTS'!$E$17:$E$31,MATCH(L$23,'01_INPUTS'!$B$17:$B$31,0))=0,IF(SUMIFS($AD$3:$AD$870,$AC$3:$AC$870,L$23,$AE$3:$AE$870,"&lt;="&amp;$B58,$AF$3:$AF$870,"&gt;="&amp;$B58)=0,0,9.99),SUMIFS($AD$3:$AD$870,$AC$3:$AC$870,L$23,$AE$3:$AE$870,"&lt;="&amp;$B58,$AF$3:$AF$870,"&gt;="&amp;$B58)/INDEX('01_INPUTS'!$E$17:$E$31,MATCH(L$23,'01_INPUTS'!$B$17:$B$31,0)))</f>
        <v>0.5</v>
      </c>
      <c r="M58" s="61">
        <f>IF(INDEX('01_INPUTS'!$E$17:$E$31,MATCH(M$23,'01_INPUTS'!$B$17:$B$31,0))=0,IF(SUMIFS($AD$3:$AD$870,$AC$3:$AC$870,M$23,$AE$3:$AE$870,"&lt;="&amp;$B58,$AF$3:$AF$870,"&gt;="&amp;$B58)=0,0,9.99),SUMIFS($AD$3:$AD$870,$AC$3:$AC$870,M$23,$AE$3:$AE$870,"&lt;="&amp;$B58,$AF$3:$AF$870,"&gt;="&amp;$B58)/INDEX('01_INPUTS'!$E$17:$E$31,MATCH(M$23,'01_INPUTS'!$B$17:$B$31,0)))</f>
        <v>0.5</v>
      </c>
      <c r="N58" s="61">
        <f>IF(INDEX('01_INPUTS'!$E$17:$E$31,MATCH(N$23,'01_INPUTS'!$B$17:$B$31,0))=0,IF(SUMIFS($AD$3:$AD$870,$AC$3:$AC$870,N$23,$AE$3:$AE$870,"&lt;="&amp;$B58,$AF$3:$AF$870,"&gt;="&amp;$B58)=0,0,9.99),SUMIFS($AD$3:$AD$870,$AC$3:$AC$870,N$23,$AE$3:$AE$870,"&lt;="&amp;$B58,$AF$3:$AF$870,"&gt;="&amp;$B58)/INDEX('01_INPUTS'!$E$17:$E$31,MATCH(N$23,'01_INPUTS'!$B$17:$B$31,0)))</f>
        <v>0.5</v>
      </c>
      <c r="O58" s="61">
        <f>IF(INDEX('01_INPUTS'!$E$17:$E$31,MATCH(O$23,'01_INPUTS'!$B$17:$B$31,0))=0,IF(SUMIFS($AD$3:$AD$870,$AC$3:$AC$870,O$23,$AE$3:$AE$870,"&lt;="&amp;$B58,$AF$3:$AF$870,"&gt;="&amp;$B58)=0,0,9.99),SUMIFS($AD$3:$AD$870,$AC$3:$AC$870,O$23,$AE$3:$AE$870,"&lt;="&amp;$B58,$AF$3:$AF$870,"&gt;="&amp;$B58)/INDEX('01_INPUTS'!$E$17:$E$31,MATCH(O$23,'01_INPUTS'!$B$17:$B$31,0)))</f>
        <v>0</v>
      </c>
      <c r="P58" s="61">
        <f>IF(INDEX('01_INPUTS'!$E$17:$E$31,MATCH(P$23,'01_INPUTS'!$B$17:$B$31,0))=0,IF(SUMIFS($AD$3:$AD$870,$AC$3:$AC$870,P$23,$AE$3:$AE$870,"&lt;="&amp;$B58,$AF$3:$AF$870,"&gt;="&amp;$B58)=0,0,9.99),SUMIFS($AD$3:$AD$870,$AC$3:$AC$870,P$23,$AE$3:$AE$870,"&lt;="&amp;$B58,$AF$3:$AF$870,"&gt;="&amp;$B58)/INDEX('01_INPUTS'!$E$17:$E$31,MATCH(P$23,'01_INPUTS'!$B$17:$B$31,0)))</f>
        <v>3</v>
      </c>
      <c r="Q58" s="61">
        <f>IF(INDEX('01_INPUTS'!$E$17:$E$31,MATCH(Q$23,'01_INPUTS'!$B$17:$B$31,0))=0,IF(SUMIFS($AD$3:$AD$870,$AC$3:$AC$870,Q$23,$AE$3:$AE$870,"&lt;="&amp;$B58,$AF$3:$AF$870,"&gt;="&amp;$B58)=0,0,9.99),SUMIFS($AD$3:$AD$870,$AC$3:$AC$870,Q$23,$AE$3:$AE$870,"&lt;="&amp;$B58,$AF$3:$AF$870,"&gt;="&amp;$B58)/INDEX('01_INPUTS'!$E$17:$E$31,MATCH(Q$23,'01_INPUTS'!$B$17:$B$31,0)))</f>
        <v>0.25</v>
      </c>
      <c r="R58" s="61">
        <f>IF(INDEX('01_INPUTS'!$E$17:$E$31,MATCH(R$23,'01_INPUTS'!$B$17:$B$31,0))=0,IF(SUMIFS($AD$3:$AD$870,$AC$3:$AC$870,R$23,$AE$3:$AE$870,"&lt;="&amp;$B58,$AF$3:$AF$870,"&gt;="&amp;$B58)=0,0,9.99),SUMIFS($AD$3:$AD$870,$AC$3:$AC$870,R$23,$AE$3:$AE$870,"&lt;="&amp;$B58,$AF$3:$AF$870,"&gt;="&amp;$B58)/INDEX('01_INPUTS'!$E$17:$E$31,MATCH(R$23,'01_INPUTS'!$B$17:$B$31,0)))</f>
        <v>0</v>
      </c>
      <c r="S58">
        <f t="shared" si="5"/>
        <v>13</v>
      </c>
      <c r="T58">
        <f>SUM('01_INPUTS'!$E$17:$E$31)</f>
        <v>20</v>
      </c>
      <c r="U58" s="61">
        <f t="shared" si="6"/>
        <v>0.65</v>
      </c>
      <c r="V58">
        <f t="shared" si="7"/>
        <v>3</v>
      </c>
      <c r="W58" t="str">
        <f t="shared" si="8"/>
        <v>ROJO</v>
      </c>
      <c r="AA58" s="51" t="str">
        <f>'Sites Master'!$B$2</f>
        <v>Site 01</v>
      </c>
      <c r="AB58" s="51" t="str">
        <f>'Phase-Resource Allocation'!$B$119</f>
        <v>Hypercare</v>
      </c>
      <c r="AC58" s="51" t="str">
        <f>'Phase-Resource Allocation'!$C$119</f>
        <v>Functional Lead</v>
      </c>
      <c r="AD58" s="60">
        <f>'Phase-Resource Allocation'!$D$119</f>
        <v>1</v>
      </c>
      <c r="AE58" s="51">
        <f>IFERROR(INDEX('02_SCHEDULE'!$K$5:$K$124,MATCH(AA58&amp;"|"&amp;AB58,'02_SCHEDULE'!$M$5:$M$124,0)),0)</f>
        <v>13</v>
      </c>
      <c r="AF58" s="51">
        <f>IFERROR(INDEX('02_SCHEDULE'!$L$5:$L$124,MATCH(AA58&amp;"|"&amp;AB58,'02_SCHEDULE'!$M$5:$M$124,0)),0)</f>
        <v>16</v>
      </c>
      <c r="AG58" s="51">
        <f t="shared" si="0"/>
        <v>4</v>
      </c>
    </row>
    <row r="59" spans="2:33" x14ac:dyDescent="0.3">
      <c r="B59">
        <f>36</f>
        <v>36</v>
      </c>
      <c r="C59" s="55">
        <f>'01_INPUTS'!$C$7+(36-1)*7</f>
        <v>46496</v>
      </c>
      <c r="D59" s="61">
        <f>IF(INDEX('01_INPUTS'!$E$17:$E$31,MATCH(D$23,'01_INPUTS'!$B$17:$B$31,0))=0,IF(SUMIFS($AD$3:$AD$870,$AC$3:$AC$870,D$23,$AE$3:$AE$870,"&lt;="&amp;$B59,$AF$3:$AF$870,"&gt;="&amp;$B59)=0,0,9.99),SUMIFS($AD$3:$AD$870,$AC$3:$AC$870,D$23,$AE$3:$AE$870,"&lt;="&amp;$B59,$AF$3:$AF$870,"&gt;="&amp;$B59)/INDEX('01_INPUTS'!$E$17:$E$31,MATCH(D$23,'01_INPUTS'!$B$17:$B$31,0)))</f>
        <v>0</v>
      </c>
      <c r="E59" s="61">
        <f>IF(INDEX('01_INPUTS'!$E$17:$E$31,MATCH(E$23,'01_INPUTS'!$B$17:$B$31,0))=0,IF(SUMIFS($AD$3:$AD$870,$AC$3:$AC$870,E$23,$AE$3:$AE$870,"&lt;="&amp;$B59,$AF$3:$AF$870,"&gt;="&amp;$B59)=0,0,9.99),SUMIFS($AD$3:$AD$870,$AC$3:$AC$870,E$23,$AE$3:$AE$870,"&lt;="&amp;$B59,$AF$3:$AF$870,"&gt;="&amp;$B59)/INDEX('01_INPUTS'!$E$17:$E$31,MATCH(E$23,'01_INPUTS'!$B$17:$B$31,0)))</f>
        <v>0</v>
      </c>
      <c r="F59" s="61">
        <f>IF(INDEX('01_INPUTS'!$E$17:$E$31,MATCH(F$23,'01_INPUTS'!$B$17:$B$31,0))=0,IF(SUMIFS($AD$3:$AD$870,$AC$3:$AC$870,F$23,$AE$3:$AE$870,"&lt;="&amp;$B59,$AF$3:$AF$870,"&gt;="&amp;$B59)=0,0,9.99),SUMIFS($AD$3:$AD$870,$AC$3:$AC$870,F$23,$AE$3:$AE$870,"&lt;="&amp;$B59,$AF$3:$AF$870,"&gt;="&amp;$B59)/INDEX('01_INPUTS'!$E$17:$E$31,MATCH(F$23,'01_INPUTS'!$B$17:$B$31,0)))</f>
        <v>0</v>
      </c>
      <c r="G59" s="61">
        <f>IF(INDEX('01_INPUTS'!$E$17:$E$31,MATCH(G$23,'01_INPUTS'!$B$17:$B$31,0))=0,IF(SUMIFS($AD$3:$AD$870,$AC$3:$AC$870,G$23,$AE$3:$AE$870,"&lt;="&amp;$B59,$AF$3:$AF$870,"&gt;="&amp;$B59)=0,0,9.99),SUMIFS($AD$3:$AD$870,$AC$3:$AC$870,G$23,$AE$3:$AE$870,"&lt;="&amp;$B59,$AF$3:$AF$870,"&gt;="&amp;$B59)/INDEX('01_INPUTS'!$E$17:$E$31,MATCH(G$23,'01_INPUTS'!$B$17:$B$31,0)))</f>
        <v>0</v>
      </c>
      <c r="H59" s="61">
        <f>IF(INDEX('01_INPUTS'!$E$17:$E$31,MATCH(H$23,'01_INPUTS'!$B$17:$B$31,0))=0,IF(SUMIFS($AD$3:$AD$870,$AC$3:$AC$870,H$23,$AE$3:$AE$870,"&lt;="&amp;$B59,$AF$3:$AF$870,"&gt;="&amp;$B59)=0,0,9.99),SUMIFS($AD$3:$AD$870,$AC$3:$AC$870,H$23,$AE$3:$AE$870,"&lt;="&amp;$B59,$AF$3:$AF$870,"&gt;="&amp;$B59)/INDEX('01_INPUTS'!$E$17:$E$31,MATCH(H$23,'01_INPUTS'!$B$17:$B$31,0)))</f>
        <v>0</v>
      </c>
      <c r="I59" s="61">
        <f>IF(INDEX('01_INPUTS'!$E$17:$E$31,MATCH(I$23,'01_INPUTS'!$B$17:$B$31,0))=0,IF(SUMIFS($AD$3:$AD$870,$AC$3:$AC$870,I$23,$AE$3:$AE$870,"&lt;="&amp;$B59,$AF$3:$AF$870,"&gt;="&amp;$B59)=0,0,9.99),SUMIFS($AD$3:$AD$870,$AC$3:$AC$870,I$23,$AE$3:$AE$870,"&lt;="&amp;$B59,$AF$3:$AF$870,"&gt;="&amp;$B59)/INDEX('01_INPUTS'!$E$17:$E$31,MATCH(I$23,'01_INPUTS'!$B$17:$B$31,0)))</f>
        <v>1.5</v>
      </c>
      <c r="J59" s="61">
        <f>IF(INDEX('01_INPUTS'!$E$17:$E$31,MATCH(J$23,'01_INPUTS'!$B$17:$B$31,0))=0,IF(SUMIFS($AD$3:$AD$870,$AC$3:$AC$870,J$23,$AE$3:$AE$870,"&lt;="&amp;$B59,$AF$3:$AF$870,"&gt;="&amp;$B59)=0,0,9.99),SUMIFS($AD$3:$AD$870,$AC$3:$AC$870,J$23,$AE$3:$AE$870,"&lt;="&amp;$B59,$AF$3:$AF$870,"&gt;="&amp;$B59)/INDEX('01_INPUTS'!$E$17:$E$31,MATCH(J$23,'01_INPUTS'!$B$17:$B$31,0)))</f>
        <v>0</v>
      </c>
      <c r="K59" s="61">
        <f>IF(INDEX('01_INPUTS'!$E$17:$E$31,MATCH(K$23,'01_INPUTS'!$B$17:$B$31,0))=0,IF(SUMIFS($AD$3:$AD$870,$AC$3:$AC$870,K$23,$AE$3:$AE$870,"&lt;="&amp;$B59,$AF$3:$AF$870,"&gt;="&amp;$B59)=0,0,9.99),SUMIFS($AD$3:$AD$870,$AC$3:$AC$870,K$23,$AE$3:$AE$870,"&lt;="&amp;$B59,$AF$3:$AF$870,"&gt;="&amp;$B59)/INDEX('01_INPUTS'!$E$17:$E$31,MATCH(K$23,'01_INPUTS'!$B$17:$B$31,0)))</f>
        <v>1.5</v>
      </c>
      <c r="L59" s="61">
        <f>IF(INDEX('01_INPUTS'!$E$17:$E$31,MATCH(L$23,'01_INPUTS'!$B$17:$B$31,0))=0,IF(SUMIFS($AD$3:$AD$870,$AC$3:$AC$870,L$23,$AE$3:$AE$870,"&lt;="&amp;$B59,$AF$3:$AF$870,"&gt;="&amp;$B59)=0,0,9.99),SUMIFS($AD$3:$AD$870,$AC$3:$AC$870,L$23,$AE$3:$AE$870,"&lt;="&amp;$B59,$AF$3:$AF$870,"&gt;="&amp;$B59)/INDEX('01_INPUTS'!$E$17:$E$31,MATCH(L$23,'01_INPUTS'!$B$17:$B$31,0)))</f>
        <v>0</v>
      </c>
      <c r="M59" s="61">
        <f>IF(INDEX('01_INPUTS'!$E$17:$E$31,MATCH(M$23,'01_INPUTS'!$B$17:$B$31,0))=0,IF(SUMIFS($AD$3:$AD$870,$AC$3:$AC$870,M$23,$AE$3:$AE$870,"&lt;="&amp;$B59,$AF$3:$AF$870,"&gt;="&amp;$B59)=0,0,9.99),SUMIFS($AD$3:$AD$870,$AC$3:$AC$870,M$23,$AE$3:$AE$870,"&lt;="&amp;$B59,$AF$3:$AF$870,"&gt;="&amp;$B59)/INDEX('01_INPUTS'!$E$17:$E$31,MATCH(M$23,'01_INPUTS'!$B$17:$B$31,0)))</f>
        <v>0</v>
      </c>
      <c r="N59" s="61">
        <f>IF(INDEX('01_INPUTS'!$E$17:$E$31,MATCH(N$23,'01_INPUTS'!$B$17:$B$31,0))=0,IF(SUMIFS($AD$3:$AD$870,$AC$3:$AC$870,N$23,$AE$3:$AE$870,"&lt;="&amp;$B59,$AF$3:$AF$870,"&gt;="&amp;$B59)=0,0,9.99),SUMIFS($AD$3:$AD$870,$AC$3:$AC$870,N$23,$AE$3:$AE$870,"&lt;="&amp;$B59,$AF$3:$AF$870,"&gt;="&amp;$B59)/INDEX('01_INPUTS'!$E$17:$E$31,MATCH(N$23,'01_INPUTS'!$B$17:$B$31,0)))</f>
        <v>0</v>
      </c>
      <c r="O59" s="61">
        <f>IF(INDEX('01_INPUTS'!$E$17:$E$31,MATCH(O$23,'01_INPUTS'!$B$17:$B$31,0))=0,IF(SUMIFS($AD$3:$AD$870,$AC$3:$AC$870,O$23,$AE$3:$AE$870,"&lt;="&amp;$B59,$AF$3:$AF$870,"&gt;="&amp;$B59)=0,0,9.99),SUMIFS($AD$3:$AD$870,$AC$3:$AC$870,O$23,$AE$3:$AE$870,"&lt;="&amp;$B59,$AF$3:$AF$870,"&gt;="&amp;$B59)/INDEX('01_INPUTS'!$E$17:$E$31,MATCH(O$23,'01_INPUTS'!$B$17:$B$31,0)))</f>
        <v>0</v>
      </c>
      <c r="P59" s="61">
        <f>IF(INDEX('01_INPUTS'!$E$17:$E$31,MATCH(P$23,'01_INPUTS'!$B$17:$B$31,0))=0,IF(SUMIFS($AD$3:$AD$870,$AC$3:$AC$870,P$23,$AE$3:$AE$870,"&lt;="&amp;$B59,$AF$3:$AF$870,"&gt;="&amp;$B59)=0,0,9.99),SUMIFS($AD$3:$AD$870,$AC$3:$AC$870,P$23,$AE$3:$AE$870,"&lt;="&amp;$B59,$AF$3:$AF$870,"&gt;="&amp;$B59)/INDEX('01_INPUTS'!$E$17:$E$31,MATCH(P$23,'01_INPUTS'!$B$17:$B$31,0)))</f>
        <v>0</v>
      </c>
      <c r="Q59" s="61">
        <f>IF(INDEX('01_INPUTS'!$E$17:$E$31,MATCH(Q$23,'01_INPUTS'!$B$17:$B$31,0))=0,IF(SUMIFS($AD$3:$AD$870,$AC$3:$AC$870,Q$23,$AE$3:$AE$870,"&lt;="&amp;$B59,$AF$3:$AF$870,"&gt;="&amp;$B59)=0,0,9.99),SUMIFS($AD$3:$AD$870,$AC$3:$AC$870,Q$23,$AE$3:$AE$870,"&lt;="&amp;$B59,$AF$3:$AF$870,"&gt;="&amp;$B59)/INDEX('01_INPUTS'!$E$17:$E$31,MATCH(Q$23,'01_INPUTS'!$B$17:$B$31,0)))</f>
        <v>0</v>
      </c>
      <c r="R59" s="61">
        <f>IF(INDEX('01_INPUTS'!$E$17:$E$31,MATCH(R$23,'01_INPUTS'!$B$17:$B$31,0))=0,IF(SUMIFS($AD$3:$AD$870,$AC$3:$AC$870,R$23,$AE$3:$AE$870,"&lt;="&amp;$B59,$AF$3:$AF$870,"&gt;="&amp;$B59)=0,0,9.99),SUMIFS($AD$3:$AD$870,$AC$3:$AC$870,R$23,$AE$3:$AE$870,"&lt;="&amp;$B59,$AF$3:$AF$870,"&gt;="&amp;$B59)/INDEX('01_INPUTS'!$E$17:$E$31,MATCH(R$23,'01_INPUTS'!$B$17:$B$31,0)))</f>
        <v>0</v>
      </c>
      <c r="S59">
        <f t="shared" si="5"/>
        <v>4.5</v>
      </c>
      <c r="T59">
        <f>SUM('01_INPUTS'!$E$17:$E$31)</f>
        <v>20</v>
      </c>
      <c r="U59" s="61">
        <f t="shared" si="6"/>
        <v>0.22500000000000001</v>
      </c>
      <c r="V59">
        <f t="shared" si="7"/>
        <v>2</v>
      </c>
      <c r="W59" t="str">
        <f t="shared" si="8"/>
        <v>ROJO</v>
      </c>
      <c r="AA59" s="51" t="str">
        <f>'Sites Master'!$B$2</f>
        <v>Site 01</v>
      </c>
      <c r="AB59" s="51" t="str">
        <f>'Phase-Resource Allocation'!$B$120</f>
        <v>Hypercare</v>
      </c>
      <c r="AC59" s="51" t="str">
        <f>'Phase-Resource Allocation'!$C$120</f>
        <v>Functional Lead</v>
      </c>
      <c r="AD59" s="60">
        <f>'Phase-Resource Allocation'!$D$120</f>
        <v>1</v>
      </c>
      <c r="AE59" s="51">
        <f>IFERROR(INDEX('02_SCHEDULE'!$K$5:$K$124,MATCH(AA59&amp;"|"&amp;AB59,'02_SCHEDULE'!$M$5:$M$124,0)),0)</f>
        <v>13</v>
      </c>
      <c r="AF59" s="51">
        <f>IFERROR(INDEX('02_SCHEDULE'!$L$5:$L$124,MATCH(AA59&amp;"|"&amp;AB59,'02_SCHEDULE'!$M$5:$M$124,0)),0)</f>
        <v>16</v>
      </c>
      <c r="AG59" s="51">
        <f t="shared" si="0"/>
        <v>4</v>
      </c>
    </row>
    <row r="60" spans="2:33" x14ac:dyDescent="0.3">
      <c r="B60">
        <f>37</f>
        <v>37</v>
      </c>
      <c r="C60" s="55">
        <f>'01_INPUTS'!$C$7+(37-1)*7</f>
        <v>46503</v>
      </c>
      <c r="D60" s="61">
        <f>IF(INDEX('01_INPUTS'!$E$17:$E$31,MATCH(D$23,'01_INPUTS'!$B$17:$B$31,0))=0,IF(SUMIFS($AD$3:$AD$870,$AC$3:$AC$870,D$23,$AE$3:$AE$870,"&lt;="&amp;$B60,$AF$3:$AF$870,"&gt;="&amp;$B60)=0,0,9.99),SUMIFS($AD$3:$AD$870,$AC$3:$AC$870,D$23,$AE$3:$AE$870,"&lt;="&amp;$B60,$AF$3:$AF$870,"&gt;="&amp;$B60)/INDEX('01_INPUTS'!$E$17:$E$31,MATCH(D$23,'01_INPUTS'!$B$17:$B$31,0)))</f>
        <v>2</v>
      </c>
      <c r="E60" s="61">
        <f>IF(INDEX('01_INPUTS'!$E$17:$E$31,MATCH(E$23,'01_INPUTS'!$B$17:$B$31,0))=0,IF(SUMIFS($AD$3:$AD$870,$AC$3:$AC$870,E$23,$AE$3:$AE$870,"&lt;="&amp;$B60,$AF$3:$AF$870,"&gt;="&amp;$B60)=0,0,9.99),SUMIFS($AD$3:$AD$870,$AC$3:$AC$870,E$23,$AE$3:$AE$870,"&lt;="&amp;$B60,$AF$3:$AF$870,"&gt;="&amp;$B60)/INDEX('01_INPUTS'!$E$17:$E$31,MATCH(E$23,'01_INPUTS'!$B$17:$B$31,0)))</f>
        <v>0</v>
      </c>
      <c r="F60" s="61">
        <f>IF(INDEX('01_INPUTS'!$E$17:$E$31,MATCH(F$23,'01_INPUTS'!$B$17:$B$31,0))=0,IF(SUMIFS($AD$3:$AD$870,$AC$3:$AC$870,F$23,$AE$3:$AE$870,"&lt;="&amp;$B60,$AF$3:$AF$870,"&gt;="&amp;$B60)=0,0,9.99),SUMIFS($AD$3:$AD$870,$AC$3:$AC$870,F$23,$AE$3:$AE$870,"&lt;="&amp;$B60,$AF$3:$AF$870,"&gt;="&amp;$B60)/INDEX('01_INPUTS'!$E$17:$E$31,MATCH(F$23,'01_INPUTS'!$B$17:$B$31,0)))</f>
        <v>0</v>
      </c>
      <c r="G60" s="61">
        <f>IF(INDEX('01_INPUTS'!$E$17:$E$31,MATCH(G$23,'01_INPUTS'!$B$17:$B$31,0))=0,IF(SUMIFS($AD$3:$AD$870,$AC$3:$AC$870,G$23,$AE$3:$AE$870,"&lt;="&amp;$B60,$AF$3:$AF$870,"&gt;="&amp;$B60)=0,0,9.99),SUMIFS($AD$3:$AD$870,$AC$3:$AC$870,G$23,$AE$3:$AE$870,"&lt;="&amp;$B60,$AF$3:$AF$870,"&gt;="&amp;$B60)/INDEX('01_INPUTS'!$E$17:$E$31,MATCH(G$23,'01_INPUTS'!$B$17:$B$31,0)))</f>
        <v>0</v>
      </c>
      <c r="H60" s="61">
        <f>IF(INDEX('01_INPUTS'!$E$17:$E$31,MATCH(H$23,'01_INPUTS'!$B$17:$B$31,0))=0,IF(SUMIFS($AD$3:$AD$870,$AC$3:$AC$870,H$23,$AE$3:$AE$870,"&lt;="&amp;$B60,$AF$3:$AF$870,"&gt;="&amp;$B60)=0,0,9.99),SUMIFS($AD$3:$AD$870,$AC$3:$AC$870,H$23,$AE$3:$AE$870,"&lt;="&amp;$B60,$AF$3:$AF$870,"&gt;="&amp;$B60)/INDEX('01_INPUTS'!$E$17:$E$31,MATCH(H$23,'01_INPUTS'!$B$17:$B$31,0)))</f>
        <v>0</v>
      </c>
      <c r="I60" s="61">
        <f>IF(INDEX('01_INPUTS'!$E$17:$E$31,MATCH(I$23,'01_INPUTS'!$B$17:$B$31,0))=0,IF(SUMIFS($AD$3:$AD$870,$AC$3:$AC$870,I$23,$AE$3:$AE$870,"&lt;="&amp;$B60,$AF$3:$AF$870,"&gt;="&amp;$B60)=0,0,9.99),SUMIFS($AD$3:$AD$870,$AC$3:$AC$870,I$23,$AE$3:$AE$870,"&lt;="&amp;$B60,$AF$3:$AF$870,"&gt;="&amp;$B60)/INDEX('01_INPUTS'!$E$17:$E$31,MATCH(I$23,'01_INPUTS'!$B$17:$B$31,0)))</f>
        <v>1.5</v>
      </c>
      <c r="J60" s="61">
        <f>IF(INDEX('01_INPUTS'!$E$17:$E$31,MATCH(J$23,'01_INPUTS'!$B$17:$B$31,0))=0,IF(SUMIFS($AD$3:$AD$870,$AC$3:$AC$870,J$23,$AE$3:$AE$870,"&lt;="&amp;$B60,$AF$3:$AF$870,"&gt;="&amp;$B60)=0,0,9.99),SUMIFS($AD$3:$AD$870,$AC$3:$AC$870,J$23,$AE$3:$AE$870,"&lt;="&amp;$B60,$AF$3:$AF$870,"&gt;="&amp;$B60)/INDEX('01_INPUTS'!$E$17:$E$31,MATCH(J$23,'01_INPUTS'!$B$17:$B$31,0)))</f>
        <v>1</v>
      </c>
      <c r="K60" s="61">
        <f>IF(INDEX('01_INPUTS'!$E$17:$E$31,MATCH(K$23,'01_INPUTS'!$B$17:$B$31,0))=0,IF(SUMIFS($AD$3:$AD$870,$AC$3:$AC$870,K$23,$AE$3:$AE$870,"&lt;="&amp;$B60,$AF$3:$AF$870,"&gt;="&amp;$B60)=0,0,9.99),SUMIFS($AD$3:$AD$870,$AC$3:$AC$870,K$23,$AE$3:$AE$870,"&lt;="&amp;$B60,$AF$3:$AF$870,"&gt;="&amp;$B60)/INDEX('01_INPUTS'!$E$17:$E$31,MATCH(K$23,'01_INPUTS'!$B$17:$B$31,0)))</f>
        <v>1.5</v>
      </c>
      <c r="L60" s="61">
        <f>IF(INDEX('01_INPUTS'!$E$17:$E$31,MATCH(L$23,'01_INPUTS'!$B$17:$B$31,0))=0,IF(SUMIFS($AD$3:$AD$870,$AC$3:$AC$870,L$23,$AE$3:$AE$870,"&lt;="&amp;$B60,$AF$3:$AF$870,"&gt;="&amp;$B60)=0,0,9.99),SUMIFS($AD$3:$AD$870,$AC$3:$AC$870,L$23,$AE$3:$AE$870,"&lt;="&amp;$B60,$AF$3:$AF$870,"&gt;="&amp;$B60)/INDEX('01_INPUTS'!$E$17:$E$31,MATCH(L$23,'01_INPUTS'!$B$17:$B$31,0)))</f>
        <v>1</v>
      </c>
      <c r="M60" s="61">
        <f>IF(INDEX('01_INPUTS'!$E$17:$E$31,MATCH(M$23,'01_INPUTS'!$B$17:$B$31,0))=0,IF(SUMIFS($AD$3:$AD$870,$AC$3:$AC$870,M$23,$AE$3:$AE$870,"&lt;="&amp;$B60,$AF$3:$AF$870,"&gt;="&amp;$B60)=0,0,9.99),SUMIFS($AD$3:$AD$870,$AC$3:$AC$870,M$23,$AE$3:$AE$870,"&lt;="&amp;$B60,$AF$3:$AF$870,"&gt;="&amp;$B60)/INDEX('01_INPUTS'!$E$17:$E$31,MATCH(M$23,'01_INPUTS'!$B$17:$B$31,0)))</f>
        <v>1</v>
      </c>
      <c r="N60" s="61">
        <f>IF(INDEX('01_INPUTS'!$E$17:$E$31,MATCH(N$23,'01_INPUTS'!$B$17:$B$31,0))=0,IF(SUMIFS($AD$3:$AD$870,$AC$3:$AC$870,N$23,$AE$3:$AE$870,"&lt;="&amp;$B60,$AF$3:$AF$870,"&gt;="&amp;$B60)=0,0,9.99),SUMIFS($AD$3:$AD$870,$AC$3:$AC$870,N$23,$AE$3:$AE$870,"&lt;="&amp;$B60,$AF$3:$AF$870,"&gt;="&amp;$B60)/INDEX('01_INPUTS'!$E$17:$E$31,MATCH(N$23,'01_INPUTS'!$B$17:$B$31,0)))</f>
        <v>1</v>
      </c>
      <c r="O60" s="61">
        <f>IF(INDEX('01_INPUTS'!$E$17:$E$31,MATCH(O$23,'01_INPUTS'!$B$17:$B$31,0))=0,IF(SUMIFS($AD$3:$AD$870,$AC$3:$AC$870,O$23,$AE$3:$AE$870,"&lt;="&amp;$B60,$AF$3:$AF$870,"&gt;="&amp;$B60)=0,0,9.99),SUMIFS($AD$3:$AD$870,$AC$3:$AC$870,O$23,$AE$3:$AE$870,"&lt;="&amp;$B60,$AF$3:$AF$870,"&gt;="&amp;$B60)/INDEX('01_INPUTS'!$E$17:$E$31,MATCH(O$23,'01_INPUTS'!$B$17:$B$31,0)))</f>
        <v>2</v>
      </c>
      <c r="P60" s="61">
        <f>IF(INDEX('01_INPUTS'!$E$17:$E$31,MATCH(P$23,'01_INPUTS'!$B$17:$B$31,0))=0,IF(SUMIFS($AD$3:$AD$870,$AC$3:$AC$870,P$23,$AE$3:$AE$870,"&lt;="&amp;$B60,$AF$3:$AF$870,"&gt;="&amp;$B60)=0,0,9.99),SUMIFS($AD$3:$AD$870,$AC$3:$AC$870,P$23,$AE$3:$AE$870,"&lt;="&amp;$B60,$AF$3:$AF$870,"&gt;="&amp;$B60)/INDEX('01_INPUTS'!$E$17:$E$31,MATCH(P$23,'01_INPUTS'!$B$17:$B$31,0)))</f>
        <v>2</v>
      </c>
      <c r="Q60" s="61">
        <f>IF(INDEX('01_INPUTS'!$E$17:$E$31,MATCH(Q$23,'01_INPUTS'!$B$17:$B$31,0))=0,IF(SUMIFS($AD$3:$AD$870,$AC$3:$AC$870,Q$23,$AE$3:$AE$870,"&lt;="&amp;$B60,$AF$3:$AF$870,"&gt;="&amp;$B60)=0,0,9.99),SUMIFS($AD$3:$AD$870,$AC$3:$AC$870,Q$23,$AE$3:$AE$870,"&lt;="&amp;$B60,$AF$3:$AF$870,"&gt;="&amp;$B60)/INDEX('01_INPUTS'!$E$17:$E$31,MATCH(Q$23,'01_INPUTS'!$B$17:$B$31,0)))</f>
        <v>1</v>
      </c>
      <c r="R60" s="61">
        <f>IF(INDEX('01_INPUTS'!$E$17:$E$31,MATCH(R$23,'01_INPUTS'!$B$17:$B$31,0))=0,IF(SUMIFS($AD$3:$AD$870,$AC$3:$AC$870,R$23,$AE$3:$AE$870,"&lt;="&amp;$B60,$AF$3:$AF$870,"&gt;="&amp;$B60)=0,0,9.99),SUMIFS($AD$3:$AD$870,$AC$3:$AC$870,R$23,$AE$3:$AE$870,"&lt;="&amp;$B60,$AF$3:$AF$870,"&gt;="&amp;$B60)/INDEX('01_INPUTS'!$E$17:$E$31,MATCH(R$23,'01_INPUTS'!$B$17:$B$31,0)))</f>
        <v>0</v>
      </c>
      <c r="S60">
        <f t="shared" si="5"/>
        <v>17.5</v>
      </c>
      <c r="T60">
        <f>SUM('01_INPUTS'!$E$17:$E$31)</f>
        <v>20</v>
      </c>
      <c r="U60" s="61">
        <f t="shared" si="6"/>
        <v>0.875</v>
      </c>
      <c r="V60">
        <f t="shared" si="7"/>
        <v>5</v>
      </c>
      <c r="W60" t="str">
        <f t="shared" si="8"/>
        <v>ROJO</v>
      </c>
      <c r="AA60" s="51" t="str">
        <f>'Sites Master'!$B$2</f>
        <v>Site 01</v>
      </c>
      <c r="AB60" s="51" t="str">
        <f>'Phase-Resource Allocation'!$B$121</f>
        <v>Hypercare</v>
      </c>
      <c r="AC60" s="51" t="str">
        <f>'Phase-Resource Allocation'!$C$121</f>
        <v>Trainers</v>
      </c>
      <c r="AD60" s="60">
        <f>'Phase-Resource Allocation'!$D$121</f>
        <v>1</v>
      </c>
      <c r="AE60" s="51">
        <f>IFERROR(INDEX('02_SCHEDULE'!$K$5:$K$124,MATCH(AA60&amp;"|"&amp;AB60,'02_SCHEDULE'!$M$5:$M$124,0)),0)</f>
        <v>13</v>
      </c>
      <c r="AF60" s="51">
        <f>IFERROR(INDEX('02_SCHEDULE'!$L$5:$L$124,MATCH(AA60&amp;"|"&amp;AB60,'02_SCHEDULE'!$M$5:$M$124,0)),0)</f>
        <v>16</v>
      </c>
      <c r="AG60" s="51">
        <f t="shared" si="0"/>
        <v>4</v>
      </c>
    </row>
    <row r="61" spans="2:33" x14ac:dyDescent="0.3">
      <c r="B61">
        <f>38</f>
        <v>38</v>
      </c>
      <c r="C61" s="55">
        <f>'01_INPUTS'!$C$7+(38-1)*7</f>
        <v>46510</v>
      </c>
      <c r="D61" s="61">
        <f>IF(INDEX('01_INPUTS'!$E$17:$E$31,MATCH(D$23,'01_INPUTS'!$B$17:$B$31,0))=0,IF(SUMIFS($AD$3:$AD$870,$AC$3:$AC$870,D$23,$AE$3:$AE$870,"&lt;="&amp;$B61,$AF$3:$AF$870,"&gt;="&amp;$B61)=0,0,9.99),SUMIFS($AD$3:$AD$870,$AC$3:$AC$870,D$23,$AE$3:$AE$870,"&lt;="&amp;$B61,$AF$3:$AF$870,"&gt;="&amp;$B61)/INDEX('01_INPUTS'!$E$17:$E$31,MATCH(D$23,'01_INPUTS'!$B$17:$B$31,0)))</f>
        <v>1.5</v>
      </c>
      <c r="E61" s="61">
        <f>IF(INDEX('01_INPUTS'!$E$17:$E$31,MATCH(E$23,'01_INPUTS'!$B$17:$B$31,0))=0,IF(SUMIFS($AD$3:$AD$870,$AC$3:$AC$870,E$23,$AE$3:$AE$870,"&lt;="&amp;$B61,$AF$3:$AF$870,"&gt;="&amp;$B61)=0,0,9.99),SUMIFS($AD$3:$AD$870,$AC$3:$AC$870,E$23,$AE$3:$AE$870,"&lt;="&amp;$B61,$AF$3:$AF$870,"&gt;="&amp;$B61)/INDEX('01_INPUTS'!$E$17:$E$31,MATCH(E$23,'01_INPUTS'!$B$17:$B$31,0)))</f>
        <v>0</v>
      </c>
      <c r="F61" s="61">
        <f>IF(INDEX('01_INPUTS'!$E$17:$E$31,MATCH(F$23,'01_INPUTS'!$B$17:$B$31,0))=0,IF(SUMIFS($AD$3:$AD$870,$AC$3:$AC$870,F$23,$AE$3:$AE$870,"&lt;="&amp;$B61,$AF$3:$AF$870,"&gt;="&amp;$B61)=0,0,9.99),SUMIFS($AD$3:$AD$870,$AC$3:$AC$870,F$23,$AE$3:$AE$870,"&lt;="&amp;$B61,$AF$3:$AF$870,"&gt;="&amp;$B61)/INDEX('01_INPUTS'!$E$17:$E$31,MATCH(F$23,'01_INPUTS'!$B$17:$B$31,0)))</f>
        <v>0</v>
      </c>
      <c r="G61" s="61">
        <f>IF(INDEX('01_INPUTS'!$E$17:$E$31,MATCH(G$23,'01_INPUTS'!$B$17:$B$31,0))=0,IF(SUMIFS($AD$3:$AD$870,$AC$3:$AC$870,G$23,$AE$3:$AE$870,"&lt;="&amp;$B61,$AF$3:$AF$870,"&gt;="&amp;$B61)=0,0,9.99),SUMIFS($AD$3:$AD$870,$AC$3:$AC$870,G$23,$AE$3:$AE$870,"&lt;="&amp;$B61,$AF$3:$AF$870,"&gt;="&amp;$B61)/INDEX('01_INPUTS'!$E$17:$E$31,MATCH(G$23,'01_INPUTS'!$B$17:$B$31,0)))</f>
        <v>0</v>
      </c>
      <c r="H61" s="61">
        <f>IF(INDEX('01_INPUTS'!$E$17:$E$31,MATCH(H$23,'01_INPUTS'!$B$17:$B$31,0))=0,IF(SUMIFS($AD$3:$AD$870,$AC$3:$AC$870,H$23,$AE$3:$AE$870,"&lt;="&amp;$B61,$AF$3:$AF$870,"&gt;="&amp;$B61)=0,0,9.99),SUMIFS($AD$3:$AD$870,$AC$3:$AC$870,H$23,$AE$3:$AE$870,"&lt;="&amp;$B61,$AF$3:$AF$870,"&gt;="&amp;$B61)/INDEX('01_INPUTS'!$E$17:$E$31,MATCH(H$23,'01_INPUTS'!$B$17:$B$31,0)))</f>
        <v>0.5</v>
      </c>
      <c r="I61" s="61">
        <f>IF(INDEX('01_INPUTS'!$E$17:$E$31,MATCH(I$23,'01_INPUTS'!$B$17:$B$31,0))=0,IF(SUMIFS($AD$3:$AD$870,$AC$3:$AC$870,I$23,$AE$3:$AE$870,"&lt;="&amp;$B61,$AF$3:$AF$870,"&gt;="&amp;$B61)=0,0,9.99),SUMIFS($AD$3:$AD$870,$AC$3:$AC$870,I$23,$AE$3:$AE$870,"&lt;="&amp;$B61,$AF$3:$AF$870,"&gt;="&amp;$B61)/INDEX('01_INPUTS'!$E$17:$E$31,MATCH(I$23,'01_INPUTS'!$B$17:$B$31,0)))</f>
        <v>1</v>
      </c>
      <c r="J61" s="61">
        <f>IF(INDEX('01_INPUTS'!$E$17:$E$31,MATCH(J$23,'01_INPUTS'!$B$17:$B$31,0))=0,IF(SUMIFS($AD$3:$AD$870,$AC$3:$AC$870,J$23,$AE$3:$AE$870,"&lt;="&amp;$B61,$AF$3:$AF$870,"&gt;="&amp;$B61)=0,0,9.99),SUMIFS($AD$3:$AD$870,$AC$3:$AC$870,J$23,$AE$3:$AE$870,"&lt;="&amp;$B61,$AF$3:$AF$870,"&gt;="&amp;$B61)/INDEX('01_INPUTS'!$E$17:$E$31,MATCH(J$23,'01_INPUTS'!$B$17:$B$31,0)))</f>
        <v>1</v>
      </c>
      <c r="K61" s="61">
        <f>IF(INDEX('01_INPUTS'!$E$17:$E$31,MATCH(K$23,'01_INPUTS'!$B$17:$B$31,0))=0,IF(SUMIFS($AD$3:$AD$870,$AC$3:$AC$870,K$23,$AE$3:$AE$870,"&lt;="&amp;$B61,$AF$3:$AF$870,"&gt;="&amp;$B61)=0,0,9.99),SUMIFS($AD$3:$AD$870,$AC$3:$AC$870,K$23,$AE$3:$AE$870,"&lt;="&amp;$B61,$AF$3:$AF$870,"&gt;="&amp;$B61)/INDEX('01_INPUTS'!$E$17:$E$31,MATCH(K$23,'01_INPUTS'!$B$17:$B$31,0)))</f>
        <v>1.5</v>
      </c>
      <c r="L61" s="61">
        <f>IF(INDEX('01_INPUTS'!$E$17:$E$31,MATCH(L$23,'01_INPUTS'!$B$17:$B$31,0))=0,IF(SUMIFS($AD$3:$AD$870,$AC$3:$AC$870,L$23,$AE$3:$AE$870,"&lt;="&amp;$B61,$AF$3:$AF$870,"&gt;="&amp;$B61)=0,0,9.99),SUMIFS($AD$3:$AD$870,$AC$3:$AC$870,L$23,$AE$3:$AE$870,"&lt;="&amp;$B61,$AF$3:$AF$870,"&gt;="&amp;$B61)/INDEX('01_INPUTS'!$E$17:$E$31,MATCH(L$23,'01_INPUTS'!$B$17:$B$31,0)))</f>
        <v>1</v>
      </c>
      <c r="M61" s="61">
        <f>IF(INDEX('01_INPUTS'!$E$17:$E$31,MATCH(M$23,'01_INPUTS'!$B$17:$B$31,0))=0,IF(SUMIFS($AD$3:$AD$870,$AC$3:$AC$870,M$23,$AE$3:$AE$870,"&lt;="&amp;$B61,$AF$3:$AF$870,"&gt;="&amp;$B61)=0,0,9.99),SUMIFS($AD$3:$AD$870,$AC$3:$AC$870,M$23,$AE$3:$AE$870,"&lt;="&amp;$B61,$AF$3:$AF$870,"&gt;="&amp;$B61)/INDEX('01_INPUTS'!$E$17:$E$31,MATCH(M$23,'01_INPUTS'!$B$17:$B$31,0)))</f>
        <v>1</v>
      </c>
      <c r="N61" s="61">
        <f>IF(INDEX('01_INPUTS'!$E$17:$E$31,MATCH(N$23,'01_INPUTS'!$B$17:$B$31,0))=0,IF(SUMIFS($AD$3:$AD$870,$AC$3:$AC$870,N$23,$AE$3:$AE$870,"&lt;="&amp;$B61,$AF$3:$AF$870,"&gt;="&amp;$B61)=0,0,9.99),SUMIFS($AD$3:$AD$870,$AC$3:$AC$870,N$23,$AE$3:$AE$870,"&lt;="&amp;$B61,$AF$3:$AF$870,"&gt;="&amp;$B61)/INDEX('01_INPUTS'!$E$17:$E$31,MATCH(N$23,'01_INPUTS'!$B$17:$B$31,0)))</f>
        <v>1</v>
      </c>
      <c r="O61" s="61">
        <f>IF(INDEX('01_INPUTS'!$E$17:$E$31,MATCH(O$23,'01_INPUTS'!$B$17:$B$31,0))=0,IF(SUMIFS($AD$3:$AD$870,$AC$3:$AC$870,O$23,$AE$3:$AE$870,"&lt;="&amp;$B61,$AF$3:$AF$870,"&gt;="&amp;$B61)=0,0,9.99),SUMIFS($AD$3:$AD$870,$AC$3:$AC$870,O$23,$AE$3:$AE$870,"&lt;="&amp;$B61,$AF$3:$AF$870,"&gt;="&amp;$B61)/INDEX('01_INPUTS'!$E$17:$E$31,MATCH(O$23,'01_INPUTS'!$B$17:$B$31,0)))</f>
        <v>1.5</v>
      </c>
      <c r="P61" s="61">
        <f>IF(INDEX('01_INPUTS'!$E$17:$E$31,MATCH(P$23,'01_INPUTS'!$B$17:$B$31,0))=0,IF(SUMIFS($AD$3:$AD$870,$AC$3:$AC$870,P$23,$AE$3:$AE$870,"&lt;="&amp;$B61,$AF$3:$AF$870,"&gt;="&amp;$B61)=0,0,9.99),SUMIFS($AD$3:$AD$870,$AC$3:$AC$870,P$23,$AE$3:$AE$870,"&lt;="&amp;$B61,$AF$3:$AF$870,"&gt;="&amp;$B61)/INDEX('01_INPUTS'!$E$17:$E$31,MATCH(P$23,'01_INPUTS'!$B$17:$B$31,0)))</f>
        <v>2</v>
      </c>
      <c r="Q61" s="61">
        <f>IF(INDEX('01_INPUTS'!$E$17:$E$31,MATCH(Q$23,'01_INPUTS'!$B$17:$B$31,0))=0,IF(SUMIFS($AD$3:$AD$870,$AC$3:$AC$870,Q$23,$AE$3:$AE$870,"&lt;="&amp;$B61,$AF$3:$AF$870,"&gt;="&amp;$B61)=0,0,9.99),SUMIFS($AD$3:$AD$870,$AC$3:$AC$870,Q$23,$AE$3:$AE$870,"&lt;="&amp;$B61,$AF$3:$AF$870,"&gt;="&amp;$B61)/INDEX('01_INPUTS'!$E$17:$E$31,MATCH(Q$23,'01_INPUTS'!$B$17:$B$31,0)))</f>
        <v>0.5</v>
      </c>
      <c r="R61" s="61">
        <f>IF(INDEX('01_INPUTS'!$E$17:$E$31,MATCH(R$23,'01_INPUTS'!$B$17:$B$31,0))=0,IF(SUMIFS($AD$3:$AD$870,$AC$3:$AC$870,R$23,$AE$3:$AE$870,"&lt;="&amp;$B61,$AF$3:$AF$870,"&gt;="&amp;$B61)=0,0,9.99),SUMIFS($AD$3:$AD$870,$AC$3:$AC$870,R$23,$AE$3:$AE$870,"&lt;="&amp;$B61,$AF$3:$AF$870,"&gt;="&amp;$B61)/INDEX('01_INPUTS'!$E$17:$E$31,MATCH(R$23,'01_INPUTS'!$B$17:$B$31,0)))</f>
        <v>0</v>
      </c>
      <c r="S61">
        <f t="shared" si="5"/>
        <v>15.5</v>
      </c>
      <c r="T61">
        <f>SUM('01_INPUTS'!$E$17:$E$31)</f>
        <v>20</v>
      </c>
      <c r="U61" s="61">
        <f t="shared" si="6"/>
        <v>0.77500000000000002</v>
      </c>
      <c r="V61">
        <f t="shared" si="7"/>
        <v>4</v>
      </c>
      <c r="W61" t="str">
        <f t="shared" si="8"/>
        <v>ROJO</v>
      </c>
      <c r="AA61" s="51" t="str">
        <f>'Sites Master'!$B$2</f>
        <v>Site 01</v>
      </c>
      <c r="AB61" s="51" t="str">
        <f>'Phase-Resource Allocation'!$B$122</f>
        <v>Hypercare</v>
      </c>
      <c r="AC61" s="51" t="str">
        <f>'Phase-Resource Allocation'!$C$122</f>
        <v>Trainers</v>
      </c>
      <c r="AD61" s="60">
        <f>'Phase-Resource Allocation'!$D$122</f>
        <v>1</v>
      </c>
      <c r="AE61" s="51">
        <f>IFERROR(INDEX('02_SCHEDULE'!$K$5:$K$124,MATCH(AA61&amp;"|"&amp;AB61,'02_SCHEDULE'!$M$5:$M$124,0)),0)</f>
        <v>13</v>
      </c>
      <c r="AF61" s="51">
        <f>IFERROR(INDEX('02_SCHEDULE'!$L$5:$L$124,MATCH(AA61&amp;"|"&amp;AB61,'02_SCHEDULE'!$M$5:$M$124,0)),0)</f>
        <v>16</v>
      </c>
      <c r="AG61" s="51">
        <f t="shared" si="0"/>
        <v>4</v>
      </c>
    </row>
    <row r="62" spans="2:33" x14ac:dyDescent="0.3">
      <c r="B62">
        <f>39</f>
        <v>39</v>
      </c>
      <c r="C62" s="55">
        <f>'01_INPUTS'!$C$7+(39-1)*7</f>
        <v>46517</v>
      </c>
      <c r="D62" s="61">
        <f>IF(INDEX('01_INPUTS'!$E$17:$E$31,MATCH(D$23,'01_INPUTS'!$B$17:$B$31,0))=0,IF(SUMIFS($AD$3:$AD$870,$AC$3:$AC$870,D$23,$AE$3:$AE$870,"&lt;="&amp;$B62,$AF$3:$AF$870,"&gt;="&amp;$B62)=0,0,9.99),SUMIFS($AD$3:$AD$870,$AC$3:$AC$870,D$23,$AE$3:$AE$870,"&lt;="&amp;$B62,$AF$3:$AF$870,"&gt;="&amp;$B62)/INDEX('01_INPUTS'!$E$17:$E$31,MATCH(D$23,'01_INPUTS'!$B$17:$B$31,0)))</f>
        <v>1</v>
      </c>
      <c r="E62" s="61">
        <f>IF(INDEX('01_INPUTS'!$E$17:$E$31,MATCH(E$23,'01_INPUTS'!$B$17:$B$31,0))=0,IF(SUMIFS($AD$3:$AD$870,$AC$3:$AC$870,E$23,$AE$3:$AE$870,"&lt;="&amp;$B62,$AF$3:$AF$870,"&gt;="&amp;$B62)=0,0,9.99),SUMIFS($AD$3:$AD$870,$AC$3:$AC$870,E$23,$AE$3:$AE$870,"&lt;="&amp;$B62,$AF$3:$AF$870,"&gt;="&amp;$B62)/INDEX('01_INPUTS'!$E$17:$E$31,MATCH(E$23,'01_INPUTS'!$B$17:$B$31,0)))</f>
        <v>0</v>
      </c>
      <c r="F62" s="61">
        <f>IF(INDEX('01_INPUTS'!$E$17:$E$31,MATCH(F$23,'01_INPUTS'!$B$17:$B$31,0))=0,IF(SUMIFS($AD$3:$AD$870,$AC$3:$AC$870,F$23,$AE$3:$AE$870,"&lt;="&amp;$B62,$AF$3:$AF$870,"&gt;="&amp;$B62)=0,0,9.99),SUMIFS($AD$3:$AD$870,$AC$3:$AC$870,F$23,$AE$3:$AE$870,"&lt;="&amp;$B62,$AF$3:$AF$870,"&gt;="&amp;$B62)/INDEX('01_INPUTS'!$E$17:$E$31,MATCH(F$23,'01_INPUTS'!$B$17:$B$31,0)))</f>
        <v>0</v>
      </c>
      <c r="G62" s="61">
        <f>IF(INDEX('01_INPUTS'!$E$17:$E$31,MATCH(G$23,'01_INPUTS'!$B$17:$B$31,0))=0,IF(SUMIFS($AD$3:$AD$870,$AC$3:$AC$870,G$23,$AE$3:$AE$870,"&lt;="&amp;$B62,$AF$3:$AF$870,"&gt;="&amp;$B62)=0,0,9.99),SUMIFS($AD$3:$AD$870,$AC$3:$AC$870,G$23,$AE$3:$AE$870,"&lt;="&amp;$B62,$AF$3:$AF$870,"&gt;="&amp;$B62)/INDEX('01_INPUTS'!$E$17:$E$31,MATCH(G$23,'01_INPUTS'!$B$17:$B$31,0)))</f>
        <v>0</v>
      </c>
      <c r="H62" s="61">
        <f>IF(INDEX('01_INPUTS'!$E$17:$E$31,MATCH(H$23,'01_INPUTS'!$B$17:$B$31,0))=0,IF(SUMIFS($AD$3:$AD$870,$AC$3:$AC$870,H$23,$AE$3:$AE$870,"&lt;="&amp;$B62,$AF$3:$AF$870,"&gt;="&amp;$B62)=0,0,9.99),SUMIFS($AD$3:$AD$870,$AC$3:$AC$870,H$23,$AE$3:$AE$870,"&lt;="&amp;$B62,$AF$3:$AF$870,"&gt;="&amp;$B62)/INDEX('01_INPUTS'!$E$17:$E$31,MATCH(H$23,'01_INPUTS'!$B$17:$B$31,0)))</f>
        <v>1</v>
      </c>
      <c r="I62" s="61">
        <f>IF(INDEX('01_INPUTS'!$E$17:$E$31,MATCH(I$23,'01_INPUTS'!$B$17:$B$31,0))=0,IF(SUMIFS($AD$3:$AD$870,$AC$3:$AC$870,I$23,$AE$3:$AE$870,"&lt;="&amp;$B62,$AF$3:$AF$870,"&gt;="&amp;$B62)=0,0,9.99),SUMIFS($AD$3:$AD$870,$AC$3:$AC$870,I$23,$AE$3:$AE$870,"&lt;="&amp;$B62,$AF$3:$AF$870,"&gt;="&amp;$B62)/INDEX('01_INPUTS'!$E$17:$E$31,MATCH(I$23,'01_INPUTS'!$B$17:$B$31,0)))</f>
        <v>0.5</v>
      </c>
      <c r="J62" s="61">
        <f>IF(INDEX('01_INPUTS'!$E$17:$E$31,MATCH(J$23,'01_INPUTS'!$B$17:$B$31,0))=0,IF(SUMIFS($AD$3:$AD$870,$AC$3:$AC$870,J$23,$AE$3:$AE$870,"&lt;="&amp;$B62,$AF$3:$AF$870,"&gt;="&amp;$B62)=0,0,9.99),SUMIFS($AD$3:$AD$870,$AC$3:$AC$870,J$23,$AE$3:$AE$870,"&lt;="&amp;$B62,$AF$3:$AF$870,"&gt;="&amp;$B62)/INDEX('01_INPUTS'!$E$17:$E$31,MATCH(J$23,'01_INPUTS'!$B$17:$B$31,0)))</f>
        <v>1</v>
      </c>
      <c r="K62" s="61">
        <f>IF(INDEX('01_INPUTS'!$E$17:$E$31,MATCH(K$23,'01_INPUTS'!$B$17:$B$31,0))=0,IF(SUMIFS($AD$3:$AD$870,$AC$3:$AC$870,K$23,$AE$3:$AE$870,"&lt;="&amp;$B62,$AF$3:$AF$870,"&gt;="&amp;$B62)=0,0,9.99),SUMIFS($AD$3:$AD$870,$AC$3:$AC$870,K$23,$AE$3:$AE$870,"&lt;="&amp;$B62,$AF$3:$AF$870,"&gt;="&amp;$B62)/INDEX('01_INPUTS'!$E$17:$E$31,MATCH(K$23,'01_INPUTS'!$B$17:$B$31,0)))</f>
        <v>1.5</v>
      </c>
      <c r="L62" s="61">
        <f>IF(INDEX('01_INPUTS'!$E$17:$E$31,MATCH(L$23,'01_INPUTS'!$B$17:$B$31,0))=0,IF(SUMIFS($AD$3:$AD$870,$AC$3:$AC$870,L$23,$AE$3:$AE$870,"&lt;="&amp;$B62,$AF$3:$AF$870,"&gt;="&amp;$B62)=0,0,9.99),SUMIFS($AD$3:$AD$870,$AC$3:$AC$870,L$23,$AE$3:$AE$870,"&lt;="&amp;$B62,$AF$3:$AF$870,"&gt;="&amp;$B62)/INDEX('01_INPUTS'!$E$17:$E$31,MATCH(L$23,'01_INPUTS'!$B$17:$B$31,0)))</f>
        <v>1</v>
      </c>
      <c r="M62" s="61">
        <f>IF(INDEX('01_INPUTS'!$E$17:$E$31,MATCH(M$23,'01_INPUTS'!$B$17:$B$31,0))=0,IF(SUMIFS($AD$3:$AD$870,$AC$3:$AC$870,M$23,$AE$3:$AE$870,"&lt;="&amp;$B62,$AF$3:$AF$870,"&gt;="&amp;$B62)=0,0,9.99),SUMIFS($AD$3:$AD$870,$AC$3:$AC$870,M$23,$AE$3:$AE$870,"&lt;="&amp;$B62,$AF$3:$AF$870,"&gt;="&amp;$B62)/INDEX('01_INPUTS'!$E$17:$E$31,MATCH(M$23,'01_INPUTS'!$B$17:$B$31,0)))</f>
        <v>1</v>
      </c>
      <c r="N62" s="61">
        <f>IF(INDEX('01_INPUTS'!$E$17:$E$31,MATCH(N$23,'01_INPUTS'!$B$17:$B$31,0))=0,IF(SUMIFS($AD$3:$AD$870,$AC$3:$AC$870,N$23,$AE$3:$AE$870,"&lt;="&amp;$B62,$AF$3:$AF$870,"&gt;="&amp;$B62)=0,0,9.99),SUMIFS($AD$3:$AD$870,$AC$3:$AC$870,N$23,$AE$3:$AE$870,"&lt;="&amp;$B62,$AF$3:$AF$870,"&gt;="&amp;$B62)/INDEX('01_INPUTS'!$E$17:$E$31,MATCH(N$23,'01_INPUTS'!$B$17:$B$31,0)))</f>
        <v>1</v>
      </c>
      <c r="O62" s="61">
        <f>IF(INDEX('01_INPUTS'!$E$17:$E$31,MATCH(O$23,'01_INPUTS'!$B$17:$B$31,0))=0,IF(SUMIFS($AD$3:$AD$870,$AC$3:$AC$870,O$23,$AE$3:$AE$870,"&lt;="&amp;$B62,$AF$3:$AF$870,"&gt;="&amp;$B62)=0,0,9.99),SUMIFS($AD$3:$AD$870,$AC$3:$AC$870,O$23,$AE$3:$AE$870,"&lt;="&amp;$B62,$AF$3:$AF$870,"&gt;="&amp;$B62)/INDEX('01_INPUTS'!$E$17:$E$31,MATCH(O$23,'01_INPUTS'!$B$17:$B$31,0)))</f>
        <v>1</v>
      </c>
      <c r="P62" s="61">
        <f>IF(INDEX('01_INPUTS'!$E$17:$E$31,MATCH(P$23,'01_INPUTS'!$B$17:$B$31,0))=0,IF(SUMIFS($AD$3:$AD$870,$AC$3:$AC$870,P$23,$AE$3:$AE$870,"&lt;="&amp;$B62,$AF$3:$AF$870,"&gt;="&amp;$B62)=0,0,9.99),SUMIFS($AD$3:$AD$870,$AC$3:$AC$870,P$23,$AE$3:$AE$870,"&lt;="&amp;$B62,$AF$3:$AF$870,"&gt;="&amp;$B62)/INDEX('01_INPUTS'!$E$17:$E$31,MATCH(P$23,'01_INPUTS'!$B$17:$B$31,0)))</f>
        <v>2</v>
      </c>
      <c r="Q62" s="61">
        <f>IF(INDEX('01_INPUTS'!$E$17:$E$31,MATCH(Q$23,'01_INPUTS'!$B$17:$B$31,0))=0,IF(SUMIFS($AD$3:$AD$870,$AC$3:$AC$870,Q$23,$AE$3:$AE$870,"&lt;="&amp;$B62,$AF$3:$AF$870,"&gt;="&amp;$B62)=0,0,9.99),SUMIFS($AD$3:$AD$870,$AC$3:$AC$870,Q$23,$AE$3:$AE$870,"&lt;="&amp;$B62,$AF$3:$AF$870,"&gt;="&amp;$B62)/INDEX('01_INPUTS'!$E$17:$E$31,MATCH(Q$23,'01_INPUTS'!$B$17:$B$31,0)))</f>
        <v>0</v>
      </c>
      <c r="R62" s="61">
        <f>IF(INDEX('01_INPUTS'!$E$17:$E$31,MATCH(R$23,'01_INPUTS'!$B$17:$B$31,0))=0,IF(SUMIFS($AD$3:$AD$870,$AC$3:$AC$870,R$23,$AE$3:$AE$870,"&lt;="&amp;$B62,$AF$3:$AF$870,"&gt;="&amp;$B62)=0,0,9.99),SUMIFS($AD$3:$AD$870,$AC$3:$AC$870,R$23,$AE$3:$AE$870,"&lt;="&amp;$B62,$AF$3:$AF$870,"&gt;="&amp;$B62)/INDEX('01_INPUTS'!$E$17:$E$31,MATCH(R$23,'01_INPUTS'!$B$17:$B$31,0)))</f>
        <v>0</v>
      </c>
      <c r="S62">
        <f t="shared" si="5"/>
        <v>13.5</v>
      </c>
      <c r="T62">
        <f>SUM('01_INPUTS'!$E$17:$E$31)</f>
        <v>20</v>
      </c>
      <c r="U62" s="61">
        <f t="shared" si="6"/>
        <v>0.67500000000000004</v>
      </c>
      <c r="V62">
        <f t="shared" si="7"/>
        <v>2</v>
      </c>
      <c r="W62" t="str">
        <f t="shared" si="8"/>
        <v>ROJO</v>
      </c>
      <c r="AA62" s="51" t="str">
        <f>'Sites Master'!$B$2</f>
        <v>Site 01</v>
      </c>
      <c r="AB62" s="51" t="str">
        <f>'Phase-Resource Allocation'!$B$123</f>
        <v>Hypercare</v>
      </c>
      <c r="AC62" s="51" t="str">
        <f>'Phase-Resource Allocation'!$C$123</f>
        <v>Trainers</v>
      </c>
      <c r="AD62" s="60">
        <f>'Phase-Resource Allocation'!$D$123</f>
        <v>1</v>
      </c>
      <c r="AE62" s="51">
        <f>IFERROR(INDEX('02_SCHEDULE'!$K$5:$K$124,MATCH(AA62&amp;"|"&amp;AB62,'02_SCHEDULE'!$M$5:$M$124,0)),0)</f>
        <v>13</v>
      </c>
      <c r="AF62" s="51">
        <f>IFERROR(INDEX('02_SCHEDULE'!$L$5:$L$124,MATCH(AA62&amp;"|"&amp;AB62,'02_SCHEDULE'!$M$5:$M$124,0)),0)</f>
        <v>16</v>
      </c>
      <c r="AG62" s="51">
        <f t="shared" si="0"/>
        <v>4</v>
      </c>
    </row>
    <row r="63" spans="2:33" x14ac:dyDescent="0.3">
      <c r="B63">
        <f>40</f>
        <v>40</v>
      </c>
      <c r="C63" s="55">
        <f>'01_INPUTS'!$C$7+(40-1)*7</f>
        <v>46524</v>
      </c>
      <c r="D63" s="61">
        <f>IF(INDEX('01_INPUTS'!$E$17:$E$31,MATCH(D$23,'01_INPUTS'!$B$17:$B$31,0))=0,IF(SUMIFS($AD$3:$AD$870,$AC$3:$AC$870,D$23,$AE$3:$AE$870,"&lt;="&amp;$B63,$AF$3:$AF$870,"&gt;="&amp;$B63)=0,0,9.99),SUMIFS($AD$3:$AD$870,$AC$3:$AC$870,D$23,$AE$3:$AE$870,"&lt;="&amp;$B63,$AF$3:$AF$870,"&gt;="&amp;$B63)/INDEX('01_INPUTS'!$E$17:$E$31,MATCH(D$23,'01_INPUTS'!$B$17:$B$31,0)))</f>
        <v>2</v>
      </c>
      <c r="E63" s="61">
        <f>IF(INDEX('01_INPUTS'!$E$17:$E$31,MATCH(E$23,'01_INPUTS'!$B$17:$B$31,0))=0,IF(SUMIFS($AD$3:$AD$870,$AC$3:$AC$870,E$23,$AE$3:$AE$870,"&lt;="&amp;$B63,$AF$3:$AF$870,"&gt;="&amp;$B63)=0,0,9.99),SUMIFS($AD$3:$AD$870,$AC$3:$AC$870,E$23,$AE$3:$AE$870,"&lt;="&amp;$B63,$AF$3:$AF$870,"&gt;="&amp;$B63)/INDEX('01_INPUTS'!$E$17:$E$31,MATCH(E$23,'01_INPUTS'!$B$17:$B$31,0)))</f>
        <v>0</v>
      </c>
      <c r="F63" s="61">
        <f>IF(INDEX('01_INPUTS'!$E$17:$E$31,MATCH(F$23,'01_INPUTS'!$B$17:$B$31,0))=0,IF(SUMIFS($AD$3:$AD$870,$AC$3:$AC$870,F$23,$AE$3:$AE$870,"&lt;="&amp;$B63,$AF$3:$AF$870,"&gt;="&amp;$B63)=0,0,9.99),SUMIFS($AD$3:$AD$870,$AC$3:$AC$870,F$23,$AE$3:$AE$870,"&lt;="&amp;$B63,$AF$3:$AF$870,"&gt;="&amp;$B63)/INDEX('01_INPUTS'!$E$17:$E$31,MATCH(F$23,'01_INPUTS'!$B$17:$B$31,0)))</f>
        <v>0</v>
      </c>
      <c r="G63" s="61">
        <f>IF(INDEX('01_INPUTS'!$E$17:$E$31,MATCH(G$23,'01_INPUTS'!$B$17:$B$31,0))=0,IF(SUMIFS($AD$3:$AD$870,$AC$3:$AC$870,G$23,$AE$3:$AE$870,"&lt;="&amp;$B63,$AF$3:$AF$870,"&gt;="&amp;$B63)=0,0,9.99),SUMIFS($AD$3:$AD$870,$AC$3:$AC$870,G$23,$AE$3:$AE$870,"&lt;="&amp;$B63,$AF$3:$AF$870,"&gt;="&amp;$B63)/INDEX('01_INPUTS'!$E$17:$E$31,MATCH(G$23,'01_INPUTS'!$B$17:$B$31,0)))</f>
        <v>0</v>
      </c>
      <c r="H63" s="61">
        <f>IF(INDEX('01_INPUTS'!$E$17:$E$31,MATCH(H$23,'01_INPUTS'!$B$17:$B$31,0))=0,IF(SUMIFS($AD$3:$AD$870,$AC$3:$AC$870,H$23,$AE$3:$AE$870,"&lt;="&amp;$B63,$AF$3:$AF$870,"&gt;="&amp;$B63)=0,0,9.99),SUMIFS($AD$3:$AD$870,$AC$3:$AC$870,H$23,$AE$3:$AE$870,"&lt;="&amp;$B63,$AF$3:$AF$870,"&gt;="&amp;$B63)/INDEX('01_INPUTS'!$E$17:$E$31,MATCH(H$23,'01_INPUTS'!$B$17:$B$31,0)))</f>
        <v>1</v>
      </c>
      <c r="I63" s="61">
        <f>IF(INDEX('01_INPUTS'!$E$17:$E$31,MATCH(I$23,'01_INPUTS'!$B$17:$B$31,0))=0,IF(SUMIFS($AD$3:$AD$870,$AC$3:$AC$870,I$23,$AE$3:$AE$870,"&lt;="&amp;$B63,$AF$3:$AF$870,"&gt;="&amp;$B63)=0,0,9.99),SUMIFS($AD$3:$AD$870,$AC$3:$AC$870,I$23,$AE$3:$AE$870,"&lt;="&amp;$B63,$AF$3:$AF$870,"&gt;="&amp;$B63)/INDEX('01_INPUTS'!$E$17:$E$31,MATCH(I$23,'01_INPUTS'!$B$17:$B$31,0)))</f>
        <v>0.5</v>
      </c>
      <c r="J63" s="61">
        <f>IF(INDEX('01_INPUTS'!$E$17:$E$31,MATCH(J$23,'01_INPUTS'!$B$17:$B$31,0))=0,IF(SUMIFS($AD$3:$AD$870,$AC$3:$AC$870,J$23,$AE$3:$AE$870,"&lt;="&amp;$B63,$AF$3:$AF$870,"&gt;="&amp;$B63)=0,0,9.99),SUMIFS($AD$3:$AD$870,$AC$3:$AC$870,J$23,$AE$3:$AE$870,"&lt;="&amp;$B63,$AF$3:$AF$870,"&gt;="&amp;$B63)/INDEX('01_INPUTS'!$E$17:$E$31,MATCH(J$23,'01_INPUTS'!$B$17:$B$31,0)))</f>
        <v>1.5</v>
      </c>
      <c r="K63" s="61">
        <f>IF(INDEX('01_INPUTS'!$E$17:$E$31,MATCH(K$23,'01_INPUTS'!$B$17:$B$31,0))=0,IF(SUMIFS($AD$3:$AD$870,$AC$3:$AC$870,K$23,$AE$3:$AE$870,"&lt;="&amp;$B63,$AF$3:$AF$870,"&gt;="&amp;$B63)=0,0,9.99),SUMIFS($AD$3:$AD$870,$AC$3:$AC$870,K$23,$AE$3:$AE$870,"&lt;="&amp;$B63,$AF$3:$AF$870,"&gt;="&amp;$B63)/INDEX('01_INPUTS'!$E$17:$E$31,MATCH(K$23,'01_INPUTS'!$B$17:$B$31,0)))</f>
        <v>1.5</v>
      </c>
      <c r="L63" s="61">
        <f>IF(INDEX('01_INPUTS'!$E$17:$E$31,MATCH(L$23,'01_INPUTS'!$B$17:$B$31,0))=0,IF(SUMIFS($AD$3:$AD$870,$AC$3:$AC$870,L$23,$AE$3:$AE$870,"&lt;="&amp;$B63,$AF$3:$AF$870,"&gt;="&amp;$B63)=0,0,9.99),SUMIFS($AD$3:$AD$870,$AC$3:$AC$870,L$23,$AE$3:$AE$870,"&lt;="&amp;$B63,$AF$3:$AF$870,"&gt;="&amp;$B63)/INDEX('01_INPUTS'!$E$17:$E$31,MATCH(L$23,'01_INPUTS'!$B$17:$B$31,0)))</f>
        <v>1.5</v>
      </c>
      <c r="M63" s="61">
        <f>IF(INDEX('01_INPUTS'!$E$17:$E$31,MATCH(M$23,'01_INPUTS'!$B$17:$B$31,0))=0,IF(SUMIFS($AD$3:$AD$870,$AC$3:$AC$870,M$23,$AE$3:$AE$870,"&lt;="&amp;$B63,$AF$3:$AF$870,"&gt;="&amp;$B63)=0,0,9.99),SUMIFS($AD$3:$AD$870,$AC$3:$AC$870,M$23,$AE$3:$AE$870,"&lt;="&amp;$B63,$AF$3:$AF$870,"&gt;="&amp;$B63)/INDEX('01_INPUTS'!$E$17:$E$31,MATCH(M$23,'01_INPUTS'!$B$17:$B$31,0)))</f>
        <v>1.5</v>
      </c>
      <c r="N63" s="61">
        <f>IF(INDEX('01_INPUTS'!$E$17:$E$31,MATCH(N$23,'01_INPUTS'!$B$17:$B$31,0))=0,IF(SUMIFS($AD$3:$AD$870,$AC$3:$AC$870,N$23,$AE$3:$AE$870,"&lt;="&amp;$B63,$AF$3:$AF$870,"&gt;="&amp;$B63)=0,0,9.99),SUMIFS($AD$3:$AD$870,$AC$3:$AC$870,N$23,$AE$3:$AE$870,"&lt;="&amp;$B63,$AF$3:$AF$870,"&gt;="&amp;$B63)/INDEX('01_INPUTS'!$E$17:$E$31,MATCH(N$23,'01_INPUTS'!$B$17:$B$31,0)))</f>
        <v>1.5</v>
      </c>
      <c r="O63" s="61">
        <f>IF(INDEX('01_INPUTS'!$E$17:$E$31,MATCH(O$23,'01_INPUTS'!$B$17:$B$31,0))=0,IF(SUMIFS($AD$3:$AD$870,$AC$3:$AC$870,O$23,$AE$3:$AE$870,"&lt;="&amp;$B63,$AF$3:$AF$870,"&gt;="&amp;$B63)=0,0,9.99),SUMIFS($AD$3:$AD$870,$AC$3:$AC$870,O$23,$AE$3:$AE$870,"&lt;="&amp;$B63,$AF$3:$AF$870,"&gt;="&amp;$B63)/INDEX('01_INPUTS'!$E$17:$E$31,MATCH(O$23,'01_INPUTS'!$B$17:$B$31,0)))</f>
        <v>2</v>
      </c>
      <c r="P63" s="61">
        <f>IF(INDEX('01_INPUTS'!$E$17:$E$31,MATCH(P$23,'01_INPUTS'!$B$17:$B$31,0))=0,IF(SUMIFS($AD$3:$AD$870,$AC$3:$AC$870,P$23,$AE$3:$AE$870,"&lt;="&amp;$B63,$AF$3:$AF$870,"&gt;="&amp;$B63)=0,0,9.99),SUMIFS($AD$3:$AD$870,$AC$3:$AC$870,P$23,$AE$3:$AE$870,"&lt;="&amp;$B63,$AF$3:$AF$870,"&gt;="&amp;$B63)/INDEX('01_INPUTS'!$E$17:$E$31,MATCH(P$23,'01_INPUTS'!$B$17:$B$31,0)))</f>
        <v>3</v>
      </c>
      <c r="Q63" s="61">
        <f>IF(INDEX('01_INPUTS'!$E$17:$E$31,MATCH(Q$23,'01_INPUTS'!$B$17:$B$31,0))=0,IF(SUMIFS($AD$3:$AD$870,$AC$3:$AC$870,Q$23,$AE$3:$AE$870,"&lt;="&amp;$B63,$AF$3:$AF$870,"&gt;="&amp;$B63)=0,0,9.99),SUMIFS($AD$3:$AD$870,$AC$3:$AC$870,Q$23,$AE$3:$AE$870,"&lt;="&amp;$B63,$AF$3:$AF$870,"&gt;="&amp;$B63)/INDEX('01_INPUTS'!$E$17:$E$31,MATCH(Q$23,'01_INPUTS'!$B$17:$B$31,0)))</f>
        <v>0.5</v>
      </c>
      <c r="R63" s="61">
        <f>IF(INDEX('01_INPUTS'!$E$17:$E$31,MATCH(R$23,'01_INPUTS'!$B$17:$B$31,0))=0,IF(SUMIFS($AD$3:$AD$870,$AC$3:$AC$870,R$23,$AE$3:$AE$870,"&lt;="&amp;$B63,$AF$3:$AF$870,"&gt;="&amp;$B63)=0,0,9.99),SUMIFS($AD$3:$AD$870,$AC$3:$AC$870,R$23,$AE$3:$AE$870,"&lt;="&amp;$B63,$AF$3:$AF$870,"&gt;="&amp;$B63)/INDEX('01_INPUTS'!$E$17:$E$31,MATCH(R$23,'01_INPUTS'!$B$17:$B$31,0)))</f>
        <v>0</v>
      </c>
      <c r="S63">
        <f t="shared" si="5"/>
        <v>20</v>
      </c>
      <c r="T63">
        <f>SUM('01_INPUTS'!$E$17:$E$31)</f>
        <v>20</v>
      </c>
      <c r="U63" s="61">
        <f t="shared" si="6"/>
        <v>1</v>
      </c>
      <c r="V63">
        <f t="shared" si="7"/>
        <v>8</v>
      </c>
      <c r="W63" t="str">
        <f t="shared" si="8"/>
        <v>ROJO</v>
      </c>
      <c r="AA63" s="51" t="str">
        <f>'Sites Master'!$B$2</f>
        <v>Site 01</v>
      </c>
      <c r="AB63" s="51" t="str">
        <f>'Phase-Resource Allocation'!$B$124</f>
        <v>Hypercare</v>
      </c>
      <c r="AC63" s="51" t="str">
        <f>'Phase-Resource Allocation'!$C$124</f>
        <v>Infrastructure Lead</v>
      </c>
      <c r="AD63" s="60">
        <f>'Phase-Resource Allocation'!$D$124</f>
        <v>1</v>
      </c>
      <c r="AE63" s="51">
        <f>IFERROR(INDEX('02_SCHEDULE'!$K$5:$K$124,MATCH(AA63&amp;"|"&amp;AB63,'02_SCHEDULE'!$M$5:$M$124,0)),0)</f>
        <v>13</v>
      </c>
      <c r="AF63" s="51">
        <f>IFERROR(INDEX('02_SCHEDULE'!$L$5:$L$124,MATCH(AA63&amp;"|"&amp;AB63,'02_SCHEDULE'!$M$5:$M$124,0)),0)</f>
        <v>16</v>
      </c>
      <c r="AG63" s="51">
        <f t="shared" si="0"/>
        <v>4</v>
      </c>
    </row>
    <row r="64" spans="2:33" x14ac:dyDescent="0.3">
      <c r="B64">
        <f>41</f>
        <v>41</v>
      </c>
      <c r="C64" s="55">
        <f>'01_INPUTS'!$C$7+(41-1)*7</f>
        <v>46531</v>
      </c>
      <c r="D64" s="61">
        <f>IF(INDEX('01_INPUTS'!$E$17:$E$31,MATCH(D$23,'01_INPUTS'!$B$17:$B$31,0))=0,IF(SUMIFS($AD$3:$AD$870,$AC$3:$AC$870,D$23,$AE$3:$AE$870,"&lt;="&amp;$B64,$AF$3:$AF$870,"&gt;="&amp;$B64)=0,0,9.99),SUMIFS($AD$3:$AD$870,$AC$3:$AC$870,D$23,$AE$3:$AE$870,"&lt;="&amp;$B64,$AF$3:$AF$870,"&gt;="&amp;$B64)/INDEX('01_INPUTS'!$E$17:$E$31,MATCH(D$23,'01_INPUTS'!$B$17:$B$31,0)))</f>
        <v>1</v>
      </c>
      <c r="E64" s="61">
        <f>IF(INDEX('01_INPUTS'!$E$17:$E$31,MATCH(E$23,'01_INPUTS'!$B$17:$B$31,0))=0,IF(SUMIFS($AD$3:$AD$870,$AC$3:$AC$870,E$23,$AE$3:$AE$870,"&lt;="&amp;$B64,$AF$3:$AF$870,"&gt;="&amp;$B64)=0,0,9.99),SUMIFS($AD$3:$AD$870,$AC$3:$AC$870,E$23,$AE$3:$AE$870,"&lt;="&amp;$B64,$AF$3:$AF$870,"&gt;="&amp;$B64)/INDEX('01_INPUTS'!$E$17:$E$31,MATCH(E$23,'01_INPUTS'!$B$17:$B$31,0)))</f>
        <v>0</v>
      </c>
      <c r="F64" s="61">
        <f>IF(INDEX('01_INPUTS'!$E$17:$E$31,MATCH(F$23,'01_INPUTS'!$B$17:$B$31,0))=0,IF(SUMIFS($AD$3:$AD$870,$AC$3:$AC$870,F$23,$AE$3:$AE$870,"&lt;="&amp;$B64,$AF$3:$AF$870,"&gt;="&amp;$B64)=0,0,9.99),SUMIFS($AD$3:$AD$870,$AC$3:$AC$870,F$23,$AE$3:$AE$870,"&lt;="&amp;$B64,$AF$3:$AF$870,"&gt;="&amp;$B64)/INDEX('01_INPUTS'!$E$17:$E$31,MATCH(F$23,'01_INPUTS'!$B$17:$B$31,0)))</f>
        <v>0</v>
      </c>
      <c r="G64" s="61">
        <f>IF(INDEX('01_INPUTS'!$E$17:$E$31,MATCH(G$23,'01_INPUTS'!$B$17:$B$31,0))=0,IF(SUMIFS($AD$3:$AD$870,$AC$3:$AC$870,G$23,$AE$3:$AE$870,"&lt;="&amp;$B64,$AF$3:$AF$870,"&gt;="&amp;$B64)=0,0,9.99),SUMIFS($AD$3:$AD$870,$AC$3:$AC$870,G$23,$AE$3:$AE$870,"&lt;="&amp;$B64,$AF$3:$AF$870,"&gt;="&amp;$B64)/INDEX('01_INPUTS'!$E$17:$E$31,MATCH(G$23,'01_INPUTS'!$B$17:$B$31,0)))</f>
        <v>0</v>
      </c>
      <c r="H64" s="61">
        <f>IF(INDEX('01_INPUTS'!$E$17:$E$31,MATCH(H$23,'01_INPUTS'!$B$17:$B$31,0))=0,IF(SUMIFS($AD$3:$AD$870,$AC$3:$AC$870,H$23,$AE$3:$AE$870,"&lt;="&amp;$B64,$AF$3:$AF$870,"&gt;="&amp;$B64)=0,0,9.99),SUMIFS($AD$3:$AD$870,$AC$3:$AC$870,H$23,$AE$3:$AE$870,"&lt;="&amp;$B64,$AF$3:$AF$870,"&gt;="&amp;$B64)/INDEX('01_INPUTS'!$E$17:$E$31,MATCH(H$23,'01_INPUTS'!$B$17:$B$31,0)))</f>
        <v>1.5</v>
      </c>
      <c r="I64" s="61">
        <f>IF(INDEX('01_INPUTS'!$E$17:$E$31,MATCH(I$23,'01_INPUTS'!$B$17:$B$31,0))=0,IF(SUMIFS($AD$3:$AD$870,$AC$3:$AC$870,I$23,$AE$3:$AE$870,"&lt;="&amp;$B64,$AF$3:$AF$870,"&gt;="&amp;$B64)=0,0,9.99),SUMIFS($AD$3:$AD$870,$AC$3:$AC$870,I$23,$AE$3:$AE$870,"&lt;="&amp;$B64,$AF$3:$AF$870,"&gt;="&amp;$B64)/INDEX('01_INPUTS'!$E$17:$E$31,MATCH(I$23,'01_INPUTS'!$B$17:$B$31,0)))</f>
        <v>0</v>
      </c>
      <c r="J64" s="61">
        <f>IF(INDEX('01_INPUTS'!$E$17:$E$31,MATCH(J$23,'01_INPUTS'!$B$17:$B$31,0))=0,IF(SUMIFS($AD$3:$AD$870,$AC$3:$AC$870,J$23,$AE$3:$AE$870,"&lt;="&amp;$B64,$AF$3:$AF$870,"&gt;="&amp;$B64)=0,0,9.99),SUMIFS($AD$3:$AD$870,$AC$3:$AC$870,J$23,$AE$3:$AE$870,"&lt;="&amp;$B64,$AF$3:$AF$870,"&gt;="&amp;$B64)/INDEX('01_INPUTS'!$E$17:$E$31,MATCH(J$23,'01_INPUTS'!$B$17:$B$31,0)))</f>
        <v>1</v>
      </c>
      <c r="K64" s="61">
        <f>IF(INDEX('01_INPUTS'!$E$17:$E$31,MATCH(K$23,'01_INPUTS'!$B$17:$B$31,0))=0,IF(SUMIFS($AD$3:$AD$870,$AC$3:$AC$870,K$23,$AE$3:$AE$870,"&lt;="&amp;$B64,$AF$3:$AF$870,"&gt;="&amp;$B64)=0,0,9.99),SUMIFS($AD$3:$AD$870,$AC$3:$AC$870,K$23,$AE$3:$AE$870,"&lt;="&amp;$B64,$AF$3:$AF$870,"&gt;="&amp;$B64)/INDEX('01_INPUTS'!$E$17:$E$31,MATCH(K$23,'01_INPUTS'!$B$17:$B$31,0)))</f>
        <v>1</v>
      </c>
      <c r="L64" s="61">
        <f>IF(INDEX('01_INPUTS'!$E$17:$E$31,MATCH(L$23,'01_INPUTS'!$B$17:$B$31,0))=0,IF(SUMIFS($AD$3:$AD$870,$AC$3:$AC$870,L$23,$AE$3:$AE$870,"&lt;="&amp;$B64,$AF$3:$AF$870,"&gt;="&amp;$B64)=0,0,9.99),SUMIFS($AD$3:$AD$870,$AC$3:$AC$870,L$23,$AE$3:$AE$870,"&lt;="&amp;$B64,$AF$3:$AF$870,"&gt;="&amp;$B64)/INDEX('01_INPUTS'!$E$17:$E$31,MATCH(L$23,'01_INPUTS'!$B$17:$B$31,0)))</f>
        <v>1</v>
      </c>
      <c r="M64" s="61">
        <f>IF(INDEX('01_INPUTS'!$E$17:$E$31,MATCH(M$23,'01_INPUTS'!$B$17:$B$31,0))=0,IF(SUMIFS($AD$3:$AD$870,$AC$3:$AC$870,M$23,$AE$3:$AE$870,"&lt;="&amp;$B64,$AF$3:$AF$870,"&gt;="&amp;$B64)=0,0,9.99),SUMIFS($AD$3:$AD$870,$AC$3:$AC$870,M$23,$AE$3:$AE$870,"&lt;="&amp;$B64,$AF$3:$AF$870,"&gt;="&amp;$B64)/INDEX('01_INPUTS'!$E$17:$E$31,MATCH(M$23,'01_INPUTS'!$B$17:$B$31,0)))</f>
        <v>1</v>
      </c>
      <c r="N64" s="61">
        <f>IF(INDEX('01_INPUTS'!$E$17:$E$31,MATCH(N$23,'01_INPUTS'!$B$17:$B$31,0))=0,IF(SUMIFS($AD$3:$AD$870,$AC$3:$AC$870,N$23,$AE$3:$AE$870,"&lt;="&amp;$B64,$AF$3:$AF$870,"&gt;="&amp;$B64)=0,0,9.99),SUMIFS($AD$3:$AD$870,$AC$3:$AC$870,N$23,$AE$3:$AE$870,"&lt;="&amp;$B64,$AF$3:$AF$870,"&gt;="&amp;$B64)/INDEX('01_INPUTS'!$E$17:$E$31,MATCH(N$23,'01_INPUTS'!$B$17:$B$31,0)))</f>
        <v>1</v>
      </c>
      <c r="O64" s="61">
        <f>IF(INDEX('01_INPUTS'!$E$17:$E$31,MATCH(O$23,'01_INPUTS'!$B$17:$B$31,0))=0,IF(SUMIFS($AD$3:$AD$870,$AC$3:$AC$870,O$23,$AE$3:$AE$870,"&lt;="&amp;$B64,$AF$3:$AF$870,"&gt;="&amp;$B64)=0,0,9.99),SUMIFS($AD$3:$AD$870,$AC$3:$AC$870,O$23,$AE$3:$AE$870,"&lt;="&amp;$B64,$AF$3:$AF$870,"&gt;="&amp;$B64)/INDEX('01_INPUTS'!$E$17:$E$31,MATCH(O$23,'01_INPUTS'!$B$17:$B$31,0)))</f>
        <v>1</v>
      </c>
      <c r="P64" s="61">
        <f>IF(INDEX('01_INPUTS'!$E$17:$E$31,MATCH(P$23,'01_INPUTS'!$B$17:$B$31,0))=0,IF(SUMIFS($AD$3:$AD$870,$AC$3:$AC$870,P$23,$AE$3:$AE$870,"&lt;="&amp;$B64,$AF$3:$AF$870,"&gt;="&amp;$B64)=0,0,9.99),SUMIFS($AD$3:$AD$870,$AC$3:$AC$870,P$23,$AE$3:$AE$870,"&lt;="&amp;$B64,$AF$3:$AF$870,"&gt;="&amp;$B64)/INDEX('01_INPUTS'!$E$17:$E$31,MATCH(P$23,'01_INPUTS'!$B$17:$B$31,0)))</f>
        <v>3</v>
      </c>
      <c r="Q64" s="61">
        <f>IF(INDEX('01_INPUTS'!$E$17:$E$31,MATCH(Q$23,'01_INPUTS'!$B$17:$B$31,0))=0,IF(SUMIFS($AD$3:$AD$870,$AC$3:$AC$870,Q$23,$AE$3:$AE$870,"&lt;="&amp;$B64,$AF$3:$AF$870,"&gt;="&amp;$B64)=0,0,9.99),SUMIFS($AD$3:$AD$870,$AC$3:$AC$870,Q$23,$AE$3:$AE$870,"&lt;="&amp;$B64,$AF$3:$AF$870,"&gt;="&amp;$B64)/INDEX('01_INPUTS'!$E$17:$E$31,MATCH(Q$23,'01_INPUTS'!$B$17:$B$31,0)))</f>
        <v>0</v>
      </c>
      <c r="R64" s="61">
        <f>IF(INDEX('01_INPUTS'!$E$17:$E$31,MATCH(R$23,'01_INPUTS'!$B$17:$B$31,0))=0,IF(SUMIFS($AD$3:$AD$870,$AC$3:$AC$870,R$23,$AE$3:$AE$870,"&lt;="&amp;$B64,$AF$3:$AF$870,"&gt;="&amp;$B64)=0,0,9.99),SUMIFS($AD$3:$AD$870,$AC$3:$AC$870,R$23,$AE$3:$AE$870,"&lt;="&amp;$B64,$AF$3:$AF$870,"&gt;="&amp;$B64)/INDEX('01_INPUTS'!$E$17:$E$31,MATCH(R$23,'01_INPUTS'!$B$17:$B$31,0)))</f>
        <v>0</v>
      </c>
      <c r="S64">
        <f t="shared" si="5"/>
        <v>14</v>
      </c>
      <c r="T64">
        <f>SUM('01_INPUTS'!$E$17:$E$31)</f>
        <v>20</v>
      </c>
      <c r="U64" s="61">
        <f t="shared" si="6"/>
        <v>0.7</v>
      </c>
      <c r="V64">
        <f t="shared" si="7"/>
        <v>2</v>
      </c>
      <c r="W64" t="str">
        <f t="shared" si="8"/>
        <v>ROJO</v>
      </c>
      <c r="AA64" s="51" t="str">
        <f>'Sites Master'!$B$2</f>
        <v>Site 01</v>
      </c>
      <c r="AB64" s="51" t="str">
        <f>'Phase-Resource Allocation'!$B$125</f>
        <v>Hypercare</v>
      </c>
      <c r="AC64" s="51" t="str">
        <f>'Phase-Resource Allocation'!$C$125</f>
        <v>Functional Lead Vendor A</v>
      </c>
      <c r="AD64" s="60">
        <f>'Phase-Resource Allocation'!$D$125</f>
        <v>0.5</v>
      </c>
      <c r="AE64" s="51">
        <f>IFERROR(INDEX('02_SCHEDULE'!$K$5:$K$124,MATCH(AA64&amp;"|"&amp;AB64,'02_SCHEDULE'!$M$5:$M$124,0)),0)</f>
        <v>13</v>
      </c>
      <c r="AF64" s="51">
        <f>IFERROR(INDEX('02_SCHEDULE'!$L$5:$L$124,MATCH(AA64&amp;"|"&amp;AB64,'02_SCHEDULE'!$M$5:$M$124,0)),0)</f>
        <v>16</v>
      </c>
      <c r="AG64" s="51">
        <f t="shared" si="0"/>
        <v>2</v>
      </c>
    </row>
    <row r="65" spans="2:33" x14ac:dyDescent="0.3">
      <c r="B65">
        <f>42</f>
        <v>42</v>
      </c>
      <c r="C65" s="55">
        <f>'01_INPUTS'!$C$7+(42-1)*7</f>
        <v>46538</v>
      </c>
      <c r="D65" s="61">
        <f>IF(INDEX('01_INPUTS'!$E$17:$E$31,MATCH(D$23,'01_INPUTS'!$B$17:$B$31,0))=0,IF(SUMIFS($AD$3:$AD$870,$AC$3:$AC$870,D$23,$AE$3:$AE$870,"&lt;="&amp;$B65,$AF$3:$AF$870,"&gt;="&amp;$B65)=0,0,9.99),SUMIFS($AD$3:$AD$870,$AC$3:$AC$870,D$23,$AE$3:$AE$870,"&lt;="&amp;$B65,$AF$3:$AF$870,"&gt;="&amp;$B65)/INDEX('01_INPUTS'!$E$17:$E$31,MATCH(D$23,'01_INPUTS'!$B$17:$B$31,0)))</f>
        <v>0.5</v>
      </c>
      <c r="E65" s="61">
        <f>IF(INDEX('01_INPUTS'!$E$17:$E$31,MATCH(E$23,'01_INPUTS'!$B$17:$B$31,0))=0,IF(SUMIFS($AD$3:$AD$870,$AC$3:$AC$870,E$23,$AE$3:$AE$870,"&lt;="&amp;$B65,$AF$3:$AF$870,"&gt;="&amp;$B65)=0,0,9.99),SUMIFS($AD$3:$AD$870,$AC$3:$AC$870,E$23,$AE$3:$AE$870,"&lt;="&amp;$B65,$AF$3:$AF$870,"&gt;="&amp;$B65)/INDEX('01_INPUTS'!$E$17:$E$31,MATCH(E$23,'01_INPUTS'!$B$17:$B$31,0)))</f>
        <v>0</v>
      </c>
      <c r="F65" s="61">
        <f>IF(INDEX('01_INPUTS'!$E$17:$E$31,MATCH(F$23,'01_INPUTS'!$B$17:$B$31,0))=0,IF(SUMIFS($AD$3:$AD$870,$AC$3:$AC$870,F$23,$AE$3:$AE$870,"&lt;="&amp;$B65,$AF$3:$AF$870,"&gt;="&amp;$B65)=0,0,9.99),SUMIFS($AD$3:$AD$870,$AC$3:$AC$870,F$23,$AE$3:$AE$870,"&lt;="&amp;$B65,$AF$3:$AF$870,"&gt;="&amp;$B65)/INDEX('01_INPUTS'!$E$17:$E$31,MATCH(F$23,'01_INPUTS'!$B$17:$B$31,0)))</f>
        <v>0</v>
      </c>
      <c r="G65" s="61">
        <f>IF(INDEX('01_INPUTS'!$E$17:$E$31,MATCH(G$23,'01_INPUTS'!$B$17:$B$31,0))=0,IF(SUMIFS($AD$3:$AD$870,$AC$3:$AC$870,G$23,$AE$3:$AE$870,"&lt;="&amp;$B65,$AF$3:$AF$870,"&gt;="&amp;$B65)=0,0,9.99),SUMIFS($AD$3:$AD$870,$AC$3:$AC$870,G$23,$AE$3:$AE$870,"&lt;="&amp;$B65,$AF$3:$AF$870,"&gt;="&amp;$B65)/INDEX('01_INPUTS'!$E$17:$E$31,MATCH(G$23,'01_INPUTS'!$B$17:$B$31,0)))</f>
        <v>0</v>
      </c>
      <c r="H65" s="61">
        <f>IF(INDEX('01_INPUTS'!$E$17:$E$31,MATCH(H$23,'01_INPUTS'!$B$17:$B$31,0))=0,IF(SUMIFS($AD$3:$AD$870,$AC$3:$AC$870,H$23,$AE$3:$AE$870,"&lt;="&amp;$B65,$AF$3:$AF$870,"&gt;="&amp;$B65)=0,0,9.99),SUMIFS($AD$3:$AD$870,$AC$3:$AC$870,H$23,$AE$3:$AE$870,"&lt;="&amp;$B65,$AF$3:$AF$870,"&gt;="&amp;$B65)/INDEX('01_INPUTS'!$E$17:$E$31,MATCH(H$23,'01_INPUTS'!$B$17:$B$31,0)))</f>
        <v>1.5</v>
      </c>
      <c r="I65" s="61">
        <f>IF(INDEX('01_INPUTS'!$E$17:$E$31,MATCH(I$23,'01_INPUTS'!$B$17:$B$31,0))=0,IF(SUMIFS($AD$3:$AD$870,$AC$3:$AC$870,I$23,$AE$3:$AE$870,"&lt;="&amp;$B65,$AF$3:$AF$870,"&gt;="&amp;$B65)=0,0,9.99),SUMIFS($AD$3:$AD$870,$AC$3:$AC$870,I$23,$AE$3:$AE$870,"&lt;="&amp;$B65,$AF$3:$AF$870,"&gt;="&amp;$B65)/INDEX('01_INPUTS'!$E$17:$E$31,MATCH(I$23,'01_INPUTS'!$B$17:$B$31,0)))</f>
        <v>0</v>
      </c>
      <c r="J65" s="61">
        <f>IF(INDEX('01_INPUTS'!$E$17:$E$31,MATCH(J$23,'01_INPUTS'!$B$17:$B$31,0))=0,IF(SUMIFS($AD$3:$AD$870,$AC$3:$AC$870,J$23,$AE$3:$AE$870,"&lt;="&amp;$B65,$AF$3:$AF$870,"&gt;="&amp;$B65)=0,0,9.99),SUMIFS($AD$3:$AD$870,$AC$3:$AC$870,J$23,$AE$3:$AE$870,"&lt;="&amp;$B65,$AF$3:$AF$870,"&gt;="&amp;$B65)/INDEX('01_INPUTS'!$E$17:$E$31,MATCH(J$23,'01_INPUTS'!$B$17:$B$31,0)))</f>
        <v>0.5</v>
      </c>
      <c r="K65" s="61">
        <f>IF(INDEX('01_INPUTS'!$E$17:$E$31,MATCH(K$23,'01_INPUTS'!$B$17:$B$31,0))=0,IF(SUMIFS($AD$3:$AD$870,$AC$3:$AC$870,K$23,$AE$3:$AE$870,"&lt;="&amp;$B65,$AF$3:$AF$870,"&gt;="&amp;$B65)=0,0,9.99),SUMIFS($AD$3:$AD$870,$AC$3:$AC$870,K$23,$AE$3:$AE$870,"&lt;="&amp;$B65,$AF$3:$AF$870,"&gt;="&amp;$B65)/INDEX('01_INPUTS'!$E$17:$E$31,MATCH(K$23,'01_INPUTS'!$B$17:$B$31,0)))</f>
        <v>0.5</v>
      </c>
      <c r="L65" s="61">
        <f>IF(INDEX('01_INPUTS'!$E$17:$E$31,MATCH(L$23,'01_INPUTS'!$B$17:$B$31,0))=0,IF(SUMIFS($AD$3:$AD$870,$AC$3:$AC$870,L$23,$AE$3:$AE$870,"&lt;="&amp;$B65,$AF$3:$AF$870,"&gt;="&amp;$B65)=0,0,9.99),SUMIFS($AD$3:$AD$870,$AC$3:$AC$870,L$23,$AE$3:$AE$870,"&lt;="&amp;$B65,$AF$3:$AF$870,"&gt;="&amp;$B65)/INDEX('01_INPUTS'!$E$17:$E$31,MATCH(L$23,'01_INPUTS'!$B$17:$B$31,0)))</f>
        <v>0.5</v>
      </c>
      <c r="M65" s="61">
        <f>IF(INDEX('01_INPUTS'!$E$17:$E$31,MATCH(M$23,'01_INPUTS'!$B$17:$B$31,0))=0,IF(SUMIFS($AD$3:$AD$870,$AC$3:$AC$870,M$23,$AE$3:$AE$870,"&lt;="&amp;$B65,$AF$3:$AF$870,"&gt;="&amp;$B65)=0,0,9.99),SUMIFS($AD$3:$AD$870,$AC$3:$AC$870,M$23,$AE$3:$AE$870,"&lt;="&amp;$B65,$AF$3:$AF$870,"&gt;="&amp;$B65)/INDEX('01_INPUTS'!$E$17:$E$31,MATCH(M$23,'01_INPUTS'!$B$17:$B$31,0)))</f>
        <v>0.5</v>
      </c>
      <c r="N65" s="61">
        <f>IF(INDEX('01_INPUTS'!$E$17:$E$31,MATCH(N$23,'01_INPUTS'!$B$17:$B$31,0))=0,IF(SUMIFS($AD$3:$AD$870,$AC$3:$AC$870,N$23,$AE$3:$AE$870,"&lt;="&amp;$B65,$AF$3:$AF$870,"&gt;="&amp;$B65)=0,0,9.99),SUMIFS($AD$3:$AD$870,$AC$3:$AC$870,N$23,$AE$3:$AE$870,"&lt;="&amp;$B65,$AF$3:$AF$870,"&gt;="&amp;$B65)/INDEX('01_INPUTS'!$E$17:$E$31,MATCH(N$23,'01_INPUTS'!$B$17:$B$31,0)))</f>
        <v>0.5</v>
      </c>
      <c r="O65" s="61">
        <f>IF(INDEX('01_INPUTS'!$E$17:$E$31,MATCH(O$23,'01_INPUTS'!$B$17:$B$31,0))=0,IF(SUMIFS($AD$3:$AD$870,$AC$3:$AC$870,O$23,$AE$3:$AE$870,"&lt;="&amp;$B65,$AF$3:$AF$870,"&gt;="&amp;$B65)=0,0,9.99),SUMIFS($AD$3:$AD$870,$AC$3:$AC$870,O$23,$AE$3:$AE$870,"&lt;="&amp;$B65,$AF$3:$AF$870,"&gt;="&amp;$B65)/INDEX('01_INPUTS'!$E$17:$E$31,MATCH(O$23,'01_INPUTS'!$B$17:$B$31,0)))</f>
        <v>0.5</v>
      </c>
      <c r="P65" s="61">
        <f>IF(INDEX('01_INPUTS'!$E$17:$E$31,MATCH(P$23,'01_INPUTS'!$B$17:$B$31,0))=0,IF(SUMIFS($AD$3:$AD$870,$AC$3:$AC$870,P$23,$AE$3:$AE$870,"&lt;="&amp;$B65,$AF$3:$AF$870,"&gt;="&amp;$B65)=0,0,9.99),SUMIFS($AD$3:$AD$870,$AC$3:$AC$870,P$23,$AE$3:$AE$870,"&lt;="&amp;$B65,$AF$3:$AF$870,"&gt;="&amp;$B65)/INDEX('01_INPUTS'!$E$17:$E$31,MATCH(P$23,'01_INPUTS'!$B$17:$B$31,0)))</f>
        <v>3</v>
      </c>
      <c r="Q65" s="61">
        <f>IF(INDEX('01_INPUTS'!$E$17:$E$31,MATCH(Q$23,'01_INPUTS'!$B$17:$B$31,0))=0,IF(SUMIFS($AD$3:$AD$870,$AC$3:$AC$870,Q$23,$AE$3:$AE$870,"&lt;="&amp;$B65,$AF$3:$AF$870,"&gt;="&amp;$B65)=0,0,9.99),SUMIFS($AD$3:$AD$870,$AC$3:$AC$870,Q$23,$AE$3:$AE$870,"&lt;="&amp;$B65,$AF$3:$AF$870,"&gt;="&amp;$B65)/INDEX('01_INPUTS'!$E$17:$E$31,MATCH(Q$23,'01_INPUTS'!$B$17:$B$31,0)))</f>
        <v>0</v>
      </c>
      <c r="R65" s="61">
        <f>IF(INDEX('01_INPUTS'!$E$17:$E$31,MATCH(R$23,'01_INPUTS'!$B$17:$B$31,0))=0,IF(SUMIFS($AD$3:$AD$870,$AC$3:$AC$870,R$23,$AE$3:$AE$870,"&lt;="&amp;$B65,$AF$3:$AF$870,"&gt;="&amp;$B65)=0,0,9.99),SUMIFS($AD$3:$AD$870,$AC$3:$AC$870,R$23,$AE$3:$AE$870,"&lt;="&amp;$B65,$AF$3:$AF$870,"&gt;="&amp;$B65)/INDEX('01_INPUTS'!$E$17:$E$31,MATCH(R$23,'01_INPUTS'!$B$17:$B$31,0)))</f>
        <v>0</v>
      </c>
      <c r="S65">
        <f t="shared" si="5"/>
        <v>10</v>
      </c>
      <c r="T65">
        <f>SUM('01_INPUTS'!$E$17:$E$31)</f>
        <v>20</v>
      </c>
      <c r="U65" s="61">
        <f t="shared" si="6"/>
        <v>0.5</v>
      </c>
      <c r="V65">
        <f t="shared" si="7"/>
        <v>2</v>
      </c>
      <c r="W65" t="str">
        <f t="shared" si="8"/>
        <v>ROJO</v>
      </c>
      <c r="AA65" s="51" t="str">
        <f>'Sites Master'!$B$3</f>
        <v>Site 02</v>
      </c>
      <c r="AB65" s="51" t="str">
        <f>'Phase-Resource Allocation'!$B$64</f>
        <v>Site Readiness</v>
      </c>
      <c r="AC65" s="51" t="str">
        <f>'Phase-Resource Allocation'!$C$64</f>
        <v>Infrastructure Lead</v>
      </c>
      <c r="AD65" s="60">
        <f>'Phase-Resource Allocation'!$D$64</f>
        <v>1</v>
      </c>
      <c r="AE65" s="51">
        <f>IFERROR(INDEX('02_SCHEDULE'!$K$5:$K$124,MATCH(AA65&amp;"|"&amp;AB65,'02_SCHEDULE'!$M$5:$M$124,0)),0)</f>
        <v>1</v>
      </c>
      <c r="AF65" s="51">
        <f>IFERROR(INDEX('02_SCHEDULE'!$L$5:$L$124,MATCH(AA65&amp;"|"&amp;AB65,'02_SCHEDULE'!$M$5:$M$124,0)),0)</f>
        <v>4</v>
      </c>
      <c r="AG65" s="51">
        <f t="shared" si="0"/>
        <v>4</v>
      </c>
    </row>
    <row r="66" spans="2:33" x14ac:dyDescent="0.3">
      <c r="B66">
        <f>43</f>
        <v>43</v>
      </c>
      <c r="C66" s="55">
        <f>'01_INPUTS'!$C$7+(43-1)*7</f>
        <v>46545</v>
      </c>
      <c r="D66" s="61">
        <f>IF(INDEX('01_INPUTS'!$E$17:$E$31,MATCH(D$23,'01_INPUTS'!$B$17:$B$31,0))=0,IF(SUMIFS($AD$3:$AD$870,$AC$3:$AC$870,D$23,$AE$3:$AE$870,"&lt;="&amp;$B66,$AF$3:$AF$870,"&gt;="&amp;$B66)=0,0,9.99),SUMIFS($AD$3:$AD$870,$AC$3:$AC$870,D$23,$AE$3:$AE$870,"&lt;="&amp;$B66,$AF$3:$AF$870,"&gt;="&amp;$B66)/INDEX('01_INPUTS'!$E$17:$E$31,MATCH(D$23,'01_INPUTS'!$B$17:$B$31,0)))</f>
        <v>1</v>
      </c>
      <c r="E66" s="61">
        <f>IF(INDEX('01_INPUTS'!$E$17:$E$31,MATCH(E$23,'01_INPUTS'!$B$17:$B$31,0))=0,IF(SUMIFS($AD$3:$AD$870,$AC$3:$AC$870,E$23,$AE$3:$AE$870,"&lt;="&amp;$B66,$AF$3:$AF$870,"&gt;="&amp;$B66)=0,0,9.99),SUMIFS($AD$3:$AD$870,$AC$3:$AC$870,E$23,$AE$3:$AE$870,"&lt;="&amp;$B66,$AF$3:$AF$870,"&gt;="&amp;$B66)/INDEX('01_INPUTS'!$E$17:$E$31,MATCH(E$23,'01_INPUTS'!$B$17:$B$31,0)))</f>
        <v>0</v>
      </c>
      <c r="F66" s="61">
        <f>IF(INDEX('01_INPUTS'!$E$17:$E$31,MATCH(F$23,'01_INPUTS'!$B$17:$B$31,0))=0,IF(SUMIFS($AD$3:$AD$870,$AC$3:$AC$870,F$23,$AE$3:$AE$870,"&lt;="&amp;$B66,$AF$3:$AF$870,"&gt;="&amp;$B66)=0,0,9.99),SUMIFS($AD$3:$AD$870,$AC$3:$AC$870,F$23,$AE$3:$AE$870,"&lt;="&amp;$B66,$AF$3:$AF$870,"&gt;="&amp;$B66)/INDEX('01_INPUTS'!$E$17:$E$31,MATCH(F$23,'01_INPUTS'!$B$17:$B$31,0)))</f>
        <v>0</v>
      </c>
      <c r="G66" s="61">
        <f>IF(INDEX('01_INPUTS'!$E$17:$E$31,MATCH(G$23,'01_INPUTS'!$B$17:$B$31,0))=0,IF(SUMIFS($AD$3:$AD$870,$AC$3:$AC$870,G$23,$AE$3:$AE$870,"&lt;="&amp;$B66,$AF$3:$AF$870,"&gt;="&amp;$B66)=0,0,9.99),SUMIFS($AD$3:$AD$870,$AC$3:$AC$870,G$23,$AE$3:$AE$870,"&lt;="&amp;$B66,$AF$3:$AF$870,"&gt;="&amp;$B66)/INDEX('01_INPUTS'!$E$17:$E$31,MATCH(G$23,'01_INPUTS'!$B$17:$B$31,0)))</f>
        <v>0</v>
      </c>
      <c r="H66" s="61">
        <f>IF(INDEX('01_INPUTS'!$E$17:$E$31,MATCH(H$23,'01_INPUTS'!$B$17:$B$31,0))=0,IF(SUMIFS($AD$3:$AD$870,$AC$3:$AC$870,H$23,$AE$3:$AE$870,"&lt;="&amp;$B66,$AF$3:$AF$870,"&gt;="&amp;$B66)=0,0,9.99),SUMIFS($AD$3:$AD$870,$AC$3:$AC$870,H$23,$AE$3:$AE$870,"&lt;="&amp;$B66,$AF$3:$AF$870,"&gt;="&amp;$B66)/INDEX('01_INPUTS'!$E$17:$E$31,MATCH(H$23,'01_INPUTS'!$B$17:$B$31,0)))</f>
        <v>1.5</v>
      </c>
      <c r="I66" s="61">
        <f>IF(INDEX('01_INPUTS'!$E$17:$E$31,MATCH(I$23,'01_INPUTS'!$B$17:$B$31,0))=0,IF(SUMIFS($AD$3:$AD$870,$AC$3:$AC$870,I$23,$AE$3:$AE$870,"&lt;="&amp;$B66,$AF$3:$AF$870,"&gt;="&amp;$B66)=0,0,9.99),SUMIFS($AD$3:$AD$870,$AC$3:$AC$870,I$23,$AE$3:$AE$870,"&lt;="&amp;$B66,$AF$3:$AF$870,"&gt;="&amp;$B66)/INDEX('01_INPUTS'!$E$17:$E$31,MATCH(I$23,'01_INPUTS'!$B$17:$B$31,0)))</f>
        <v>0</v>
      </c>
      <c r="J66" s="61">
        <f>IF(INDEX('01_INPUTS'!$E$17:$E$31,MATCH(J$23,'01_INPUTS'!$B$17:$B$31,0))=0,IF(SUMIFS($AD$3:$AD$870,$AC$3:$AC$870,J$23,$AE$3:$AE$870,"&lt;="&amp;$B66,$AF$3:$AF$870,"&gt;="&amp;$B66)=0,0,9.99),SUMIFS($AD$3:$AD$870,$AC$3:$AC$870,J$23,$AE$3:$AE$870,"&lt;="&amp;$B66,$AF$3:$AF$870,"&gt;="&amp;$B66)/INDEX('01_INPUTS'!$E$17:$E$31,MATCH(J$23,'01_INPUTS'!$B$17:$B$31,0)))</f>
        <v>1</v>
      </c>
      <c r="K66" s="61">
        <f>IF(INDEX('01_INPUTS'!$E$17:$E$31,MATCH(K$23,'01_INPUTS'!$B$17:$B$31,0))=0,IF(SUMIFS($AD$3:$AD$870,$AC$3:$AC$870,K$23,$AE$3:$AE$870,"&lt;="&amp;$B66,$AF$3:$AF$870,"&gt;="&amp;$B66)=0,0,9.99),SUMIFS($AD$3:$AD$870,$AC$3:$AC$870,K$23,$AE$3:$AE$870,"&lt;="&amp;$B66,$AF$3:$AF$870,"&gt;="&amp;$B66)/INDEX('01_INPUTS'!$E$17:$E$31,MATCH(K$23,'01_INPUTS'!$B$17:$B$31,0)))</f>
        <v>0.5</v>
      </c>
      <c r="L66" s="61">
        <f>IF(INDEX('01_INPUTS'!$E$17:$E$31,MATCH(L$23,'01_INPUTS'!$B$17:$B$31,0))=0,IF(SUMIFS($AD$3:$AD$870,$AC$3:$AC$870,L$23,$AE$3:$AE$870,"&lt;="&amp;$B66,$AF$3:$AF$870,"&gt;="&amp;$B66)=0,0,9.99),SUMIFS($AD$3:$AD$870,$AC$3:$AC$870,L$23,$AE$3:$AE$870,"&lt;="&amp;$B66,$AF$3:$AF$870,"&gt;="&amp;$B66)/INDEX('01_INPUTS'!$E$17:$E$31,MATCH(L$23,'01_INPUTS'!$B$17:$B$31,0)))</f>
        <v>0.5</v>
      </c>
      <c r="M66" s="61">
        <f>IF(INDEX('01_INPUTS'!$E$17:$E$31,MATCH(M$23,'01_INPUTS'!$B$17:$B$31,0))=0,IF(SUMIFS($AD$3:$AD$870,$AC$3:$AC$870,M$23,$AE$3:$AE$870,"&lt;="&amp;$B66,$AF$3:$AF$870,"&gt;="&amp;$B66)=0,0,9.99),SUMIFS($AD$3:$AD$870,$AC$3:$AC$870,M$23,$AE$3:$AE$870,"&lt;="&amp;$B66,$AF$3:$AF$870,"&gt;="&amp;$B66)/INDEX('01_INPUTS'!$E$17:$E$31,MATCH(M$23,'01_INPUTS'!$B$17:$B$31,0)))</f>
        <v>1.25</v>
      </c>
      <c r="N66" s="61">
        <f>IF(INDEX('01_INPUTS'!$E$17:$E$31,MATCH(N$23,'01_INPUTS'!$B$17:$B$31,0))=0,IF(SUMIFS($AD$3:$AD$870,$AC$3:$AC$870,N$23,$AE$3:$AE$870,"&lt;="&amp;$B66,$AF$3:$AF$870,"&gt;="&amp;$B66)=0,0,9.99),SUMIFS($AD$3:$AD$870,$AC$3:$AC$870,N$23,$AE$3:$AE$870,"&lt;="&amp;$B66,$AF$3:$AF$870,"&gt;="&amp;$B66)/INDEX('01_INPUTS'!$E$17:$E$31,MATCH(N$23,'01_INPUTS'!$B$17:$B$31,0)))</f>
        <v>1.25</v>
      </c>
      <c r="O66" s="61">
        <f>IF(INDEX('01_INPUTS'!$E$17:$E$31,MATCH(O$23,'01_INPUTS'!$B$17:$B$31,0))=0,IF(SUMIFS($AD$3:$AD$870,$AC$3:$AC$870,O$23,$AE$3:$AE$870,"&lt;="&amp;$B66,$AF$3:$AF$870,"&gt;="&amp;$B66)=0,0,9.99),SUMIFS($AD$3:$AD$870,$AC$3:$AC$870,O$23,$AE$3:$AE$870,"&lt;="&amp;$B66,$AF$3:$AF$870,"&gt;="&amp;$B66)/INDEX('01_INPUTS'!$E$17:$E$31,MATCH(O$23,'01_INPUTS'!$B$17:$B$31,0)))</f>
        <v>0.5</v>
      </c>
      <c r="P66" s="61">
        <f>IF(INDEX('01_INPUTS'!$E$17:$E$31,MATCH(P$23,'01_INPUTS'!$B$17:$B$31,0))=0,IF(SUMIFS($AD$3:$AD$870,$AC$3:$AC$870,P$23,$AE$3:$AE$870,"&lt;="&amp;$B66,$AF$3:$AF$870,"&gt;="&amp;$B66)=0,0,9.99),SUMIFS($AD$3:$AD$870,$AC$3:$AC$870,P$23,$AE$3:$AE$870,"&lt;="&amp;$B66,$AF$3:$AF$870,"&gt;="&amp;$B66)/INDEX('01_INPUTS'!$E$17:$E$31,MATCH(P$23,'01_INPUTS'!$B$17:$B$31,0)))</f>
        <v>3</v>
      </c>
      <c r="Q66" s="61">
        <f>IF(INDEX('01_INPUTS'!$E$17:$E$31,MATCH(Q$23,'01_INPUTS'!$B$17:$B$31,0))=0,IF(SUMIFS($AD$3:$AD$870,$AC$3:$AC$870,Q$23,$AE$3:$AE$870,"&lt;="&amp;$B66,$AF$3:$AF$870,"&gt;="&amp;$B66)=0,0,9.99),SUMIFS($AD$3:$AD$870,$AC$3:$AC$870,Q$23,$AE$3:$AE$870,"&lt;="&amp;$B66,$AF$3:$AF$870,"&gt;="&amp;$B66)/INDEX('01_INPUTS'!$E$17:$E$31,MATCH(Q$23,'01_INPUTS'!$B$17:$B$31,0)))</f>
        <v>0.5</v>
      </c>
      <c r="R66" s="61">
        <f>IF(INDEX('01_INPUTS'!$E$17:$E$31,MATCH(R$23,'01_INPUTS'!$B$17:$B$31,0))=0,IF(SUMIFS($AD$3:$AD$870,$AC$3:$AC$870,R$23,$AE$3:$AE$870,"&lt;="&amp;$B66,$AF$3:$AF$870,"&gt;="&amp;$B66)=0,0,9.99),SUMIFS($AD$3:$AD$870,$AC$3:$AC$870,R$23,$AE$3:$AE$870,"&lt;="&amp;$B66,$AF$3:$AF$870,"&gt;="&amp;$B66)/INDEX('01_INPUTS'!$E$17:$E$31,MATCH(R$23,'01_INPUTS'!$B$17:$B$31,0)))</f>
        <v>0</v>
      </c>
      <c r="S66">
        <f t="shared" si="5"/>
        <v>14</v>
      </c>
      <c r="T66">
        <f>SUM('01_INPUTS'!$E$17:$E$31)</f>
        <v>20</v>
      </c>
      <c r="U66" s="61">
        <f t="shared" si="6"/>
        <v>0.7</v>
      </c>
      <c r="V66">
        <f t="shared" si="7"/>
        <v>4</v>
      </c>
      <c r="W66" t="str">
        <f t="shared" si="8"/>
        <v>ROJO</v>
      </c>
      <c r="AA66" s="51" t="str">
        <f>'Sites Master'!$B$3</f>
        <v>Site 02</v>
      </c>
      <c r="AB66" s="51" t="str">
        <f>'Phase-Resource Allocation'!$B$65</f>
        <v>Site Readiness</v>
      </c>
      <c r="AC66" s="51" t="str">
        <f>'Phase-Resource Allocation'!$C$65</f>
        <v>SAP Integrations Lead</v>
      </c>
      <c r="AD66" s="60">
        <f>'Phase-Resource Allocation'!$D$65</f>
        <v>0.5</v>
      </c>
      <c r="AE66" s="51">
        <f>IFERROR(INDEX('02_SCHEDULE'!$K$5:$K$124,MATCH(AA66&amp;"|"&amp;AB66,'02_SCHEDULE'!$M$5:$M$124,0)),0)</f>
        <v>1</v>
      </c>
      <c r="AF66" s="51">
        <f>IFERROR(INDEX('02_SCHEDULE'!$L$5:$L$124,MATCH(AA66&amp;"|"&amp;AB66,'02_SCHEDULE'!$M$5:$M$124,0)),0)</f>
        <v>4</v>
      </c>
      <c r="AG66" s="51">
        <f t="shared" si="0"/>
        <v>2</v>
      </c>
    </row>
    <row r="67" spans="2:33" x14ac:dyDescent="0.3">
      <c r="B67">
        <f>44</f>
        <v>44</v>
      </c>
      <c r="C67" s="55">
        <f>'01_INPUTS'!$C$7+(44-1)*7</f>
        <v>46552</v>
      </c>
      <c r="D67" s="61">
        <f>IF(INDEX('01_INPUTS'!$E$17:$E$31,MATCH(D$23,'01_INPUTS'!$B$17:$B$31,0))=0,IF(SUMIFS($AD$3:$AD$870,$AC$3:$AC$870,D$23,$AE$3:$AE$870,"&lt;="&amp;$B67,$AF$3:$AF$870,"&gt;="&amp;$B67)=0,0,9.99),SUMIFS($AD$3:$AD$870,$AC$3:$AC$870,D$23,$AE$3:$AE$870,"&lt;="&amp;$B67,$AF$3:$AF$870,"&gt;="&amp;$B67)/INDEX('01_INPUTS'!$E$17:$E$31,MATCH(D$23,'01_INPUTS'!$B$17:$B$31,0)))</f>
        <v>1</v>
      </c>
      <c r="E67" s="61">
        <f>IF(INDEX('01_INPUTS'!$E$17:$E$31,MATCH(E$23,'01_INPUTS'!$B$17:$B$31,0))=0,IF(SUMIFS($AD$3:$AD$870,$AC$3:$AC$870,E$23,$AE$3:$AE$870,"&lt;="&amp;$B67,$AF$3:$AF$870,"&gt;="&amp;$B67)=0,0,9.99),SUMIFS($AD$3:$AD$870,$AC$3:$AC$870,E$23,$AE$3:$AE$870,"&lt;="&amp;$B67,$AF$3:$AF$870,"&gt;="&amp;$B67)/INDEX('01_INPUTS'!$E$17:$E$31,MATCH(E$23,'01_INPUTS'!$B$17:$B$31,0)))</f>
        <v>0</v>
      </c>
      <c r="F67" s="61">
        <f>IF(INDEX('01_INPUTS'!$E$17:$E$31,MATCH(F$23,'01_INPUTS'!$B$17:$B$31,0))=0,IF(SUMIFS($AD$3:$AD$870,$AC$3:$AC$870,F$23,$AE$3:$AE$870,"&lt;="&amp;$B67,$AF$3:$AF$870,"&gt;="&amp;$B67)=0,0,9.99),SUMIFS($AD$3:$AD$870,$AC$3:$AC$870,F$23,$AE$3:$AE$870,"&lt;="&amp;$B67,$AF$3:$AF$870,"&gt;="&amp;$B67)/INDEX('01_INPUTS'!$E$17:$E$31,MATCH(F$23,'01_INPUTS'!$B$17:$B$31,0)))</f>
        <v>0</v>
      </c>
      <c r="G67" s="61">
        <f>IF(INDEX('01_INPUTS'!$E$17:$E$31,MATCH(G$23,'01_INPUTS'!$B$17:$B$31,0))=0,IF(SUMIFS($AD$3:$AD$870,$AC$3:$AC$870,G$23,$AE$3:$AE$870,"&lt;="&amp;$B67,$AF$3:$AF$870,"&gt;="&amp;$B67)=0,0,9.99),SUMIFS($AD$3:$AD$870,$AC$3:$AC$870,G$23,$AE$3:$AE$870,"&lt;="&amp;$B67,$AF$3:$AF$870,"&gt;="&amp;$B67)/INDEX('01_INPUTS'!$E$17:$E$31,MATCH(G$23,'01_INPUTS'!$B$17:$B$31,0)))</f>
        <v>0</v>
      </c>
      <c r="H67" s="61">
        <f>IF(INDEX('01_INPUTS'!$E$17:$E$31,MATCH(H$23,'01_INPUTS'!$B$17:$B$31,0))=0,IF(SUMIFS($AD$3:$AD$870,$AC$3:$AC$870,H$23,$AE$3:$AE$870,"&lt;="&amp;$B67,$AF$3:$AF$870,"&gt;="&amp;$B67)=0,0,9.99),SUMIFS($AD$3:$AD$870,$AC$3:$AC$870,H$23,$AE$3:$AE$870,"&lt;="&amp;$B67,$AF$3:$AF$870,"&gt;="&amp;$B67)/INDEX('01_INPUTS'!$E$17:$E$31,MATCH(H$23,'01_INPUTS'!$B$17:$B$31,0)))</f>
        <v>1.5</v>
      </c>
      <c r="I67" s="61">
        <f>IF(INDEX('01_INPUTS'!$E$17:$E$31,MATCH(I$23,'01_INPUTS'!$B$17:$B$31,0))=0,IF(SUMIFS($AD$3:$AD$870,$AC$3:$AC$870,I$23,$AE$3:$AE$870,"&lt;="&amp;$B67,$AF$3:$AF$870,"&gt;="&amp;$B67)=0,0,9.99),SUMIFS($AD$3:$AD$870,$AC$3:$AC$870,I$23,$AE$3:$AE$870,"&lt;="&amp;$B67,$AF$3:$AF$870,"&gt;="&amp;$B67)/INDEX('01_INPUTS'!$E$17:$E$31,MATCH(I$23,'01_INPUTS'!$B$17:$B$31,0)))</f>
        <v>0.5</v>
      </c>
      <c r="J67" s="61">
        <f>IF(INDEX('01_INPUTS'!$E$17:$E$31,MATCH(J$23,'01_INPUTS'!$B$17:$B$31,0))=0,IF(SUMIFS($AD$3:$AD$870,$AC$3:$AC$870,J$23,$AE$3:$AE$870,"&lt;="&amp;$B67,$AF$3:$AF$870,"&gt;="&amp;$B67)=0,0,9.99),SUMIFS($AD$3:$AD$870,$AC$3:$AC$870,J$23,$AE$3:$AE$870,"&lt;="&amp;$B67,$AF$3:$AF$870,"&gt;="&amp;$B67)/INDEX('01_INPUTS'!$E$17:$E$31,MATCH(J$23,'01_INPUTS'!$B$17:$B$31,0)))</f>
        <v>0.5</v>
      </c>
      <c r="K67" s="61">
        <f>IF(INDEX('01_INPUTS'!$E$17:$E$31,MATCH(K$23,'01_INPUTS'!$B$17:$B$31,0))=0,IF(SUMIFS($AD$3:$AD$870,$AC$3:$AC$870,K$23,$AE$3:$AE$870,"&lt;="&amp;$B67,$AF$3:$AF$870,"&gt;="&amp;$B67)=0,0,9.99),SUMIFS($AD$3:$AD$870,$AC$3:$AC$870,K$23,$AE$3:$AE$870,"&lt;="&amp;$B67,$AF$3:$AF$870,"&gt;="&amp;$B67)/INDEX('01_INPUTS'!$E$17:$E$31,MATCH(K$23,'01_INPUTS'!$B$17:$B$31,0)))</f>
        <v>1</v>
      </c>
      <c r="L67" s="61">
        <f>IF(INDEX('01_INPUTS'!$E$17:$E$31,MATCH(L$23,'01_INPUTS'!$B$17:$B$31,0))=0,IF(SUMIFS($AD$3:$AD$870,$AC$3:$AC$870,L$23,$AE$3:$AE$870,"&lt;="&amp;$B67,$AF$3:$AF$870,"&gt;="&amp;$B67)=0,0,9.99),SUMIFS($AD$3:$AD$870,$AC$3:$AC$870,L$23,$AE$3:$AE$870,"&lt;="&amp;$B67,$AF$3:$AF$870,"&gt;="&amp;$B67)/INDEX('01_INPUTS'!$E$17:$E$31,MATCH(L$23,'01_INPUTS'!$B$17:$B$31,0)))</f>
        <v>1</v>
      </c>
      <c r="M67" s="61">
        <f>IF(INDEX('01_INPUTS'!$E$17:$E$31,MATCH(M$23,'01_INPUTS'!$B$17:$B$31,0))=0,IF(SUMIFS($AD$3:$AD$870,$AC$3:$AC$870,M$23,$AE$3:$AE$870,"&lt;="&amp;$B67,$AF$3:$AF$870,"&gt;="&amp;$B67)=0,0,9.99),SUMIFS($AD$3:$AD$870,$AC$3:$AC$870,M$23,$AE$3:$AE$870,"&lt;="&amp;$B67,$AF$3:$AF$870,"&gt;="&amp;$B67)/INDEX('01_INPUTS'!$E$17:$E$31,MATCH(M$23,'01_INPUTS'!$B$17:$B$31,0)))</f>
        <v>1</v>
      </c>
      <c r="N67" s="61">
        <f>IF(INDEX('01_INPUTS'!$E$17:$E$31,MATCH(N$23,'01_INPUTS'!$B$17:$B$31,0))=0,IF(SUMIFS($AD$3:$AD$870,$AC$3:$AC$870,N$23,$AE$3:$AE$870,"&lt;="&amp;$B67,$AF$3:$AF$870,"&gt;="&amp;$B67)=0,0,9.99),SUMIFS($AD$3:$AD$870,$AC$3:$AC$870,N$23,$AE$3:$AE$870,"&lt;="&amp;$B67,$AF$3:$AF$870,"&gt;="&amp;$B67)/INDEX('01_INPUTS'!$E$17:$E$31,MATCH(N$23,'01_INPUTS'!$B$17:$B$31,0)))</f>
        <v>1</v>
      </c>
      <c r="O67" s="61">
        <f>IF(INDEX('01_INPUTS'!$E$17:$E$31,MATCH(O$23,'01_INPUTS'!$B$17:$B$31,0))=0,IF(SUMIFS($AD$3:$AD$870,$AC$3:$AC$870,O$23,$AE$3:$AE$870,"&lt;="&amp;$B67,$AF$3:$AF$870,"&gt;="&amp;$B67)=0,0,9.99),SUMIFS($AD$3:$AD$870,$AC$3:$AC$870,O$23,$AE$3:$AE$870,"&lt;="&amp;$B67,$AF$3:$AF$870,"&gt;="&amp;$B67)/INDEX('01_INPUTS'!$E$17:$E$31,MATCH(O$23,'01_INPUTS'!$B$17:$B$31,0)))</f>
        <v>0</v>
      </c>
      <c r="P67" s="61">
        <f>IF(INDEX('01_INPUTS'!$E$17:$E$31,MATCH(P$23,'01_INPUTS'!$B$17:$B$31,0))=0,IF(SUMIFS($AD$3:$AD$870,$AC$3:$AC$870,P$23,$AE$3:$AE$870,"&lt;="&amp;$B67,$AF$3:$AF$870,"&gt;="&amp;$B67)=0,0,9.99),SUMIFS($AD$3:$AD$870,$AC$3:$AC$870,P$23,$AE$3:$AE$870,"&lt;="&amp;$B67,$AF$3:$AF$870,"&gt;="&amp;$B67)/INDEX('01_INPUTS'!$E$17:$E$31,MATCH(P$23,'01_INPUTS'!$B$17:$B$31,0)))</f>
        <v>3</v>
      </c>
      <c r="Q67" s="61">
        <f>IF(INDEX('01_INPUTS'!$E$17:$E$31,MATCH(Q$23,'01_INPUTS'!$B$17:$B$31,0))=0,IF(SUMIFS($AD$3:$AD$870,$AC$3:$AC$870,Q$23,$AE$3:$AE$870,"&lt;="&amp;$B67,$AF$3:$AF$870,"&gt;="&amp;$B67)=0,0,9.99),SUMIFS($AD$3:$AD$870,$AC$3:$AC$870,Q$23,$AE$3:$AE$870,"&lt;="&amp;$B67,$AF$3:$AF$870,"&gt;="&amp;$B67)/INDEX('01_INPUTS'!$E$17:$E$31,MATCH(Q$23,'01_INPUTS'!$B$17:$B$31,0)))</f>
        <v>0.5</v>
      </c>
      <c r="R67" s="61">
        <f>IF(INDEX('01_INPUTS'!$E$17:$E$31,MATCH(R$23,'01_INPUTS'!$B$17:$B$31,0))=0,IF(SUMIFS($AD$3:$AD$870,$AC$3:$AC$870,R$23,$AE$3:$AE$870,"&lt;="&amp;$B67,$AF$3:$AF$870,"&gt;="&amp;$B67)=0,0,9.99),SUMIFS($AD$3:$AD$870,$AC$3:$AC$870,R$23,$AE$3:$AE$870,"&lt;="&amp;$B67,$AF$3:$AF$870,"&gt;="&amp;$B67)/INDEX('01_INPUTS'!$E$17:$E$31,MATCH(R$23,'01_INPUTS'!$B$17:$B$31,0)))</f>
        <v>0</v>
      </c>
      <c r="S67">
        <f t="shared" si="5"/>
        <v>14</v>
      </c>
      <c r="T67">
        <f>SUM('01_INPUTS'!$E$17:$E$31)</f>
        <v>20</v>
      </c>
      <c r="U67" s="61">
        <f t="shared" si="6"/>
        <v>0.7</v>
      </c>
      <c r="V67">
        <f t="shared" si="7"/>
        <v>2</v>
      </c>
      <c r="W67" t="str">
        <f t="shared" si="8"/>
        <v>ROJO</v>
      </c>
      <c r="AA67" s="51" t="str">
        <f>'Sites Master'!$B$3</f>
        <v>Site 02</v>
      </c>
      <c r="AB67" s="51" t="str">
        <f>'Phase-Resource Allocation'!$B$66</f>
        <v>Design Adaptation</v>
      </c>
      <c r="AC67" s="51" t="str">
        <f>'Phase-Resource Allocation'!$C$66</f>
        <v>Solution Architect</v>
      </c>
      <c r="AD67" s="60">
        <f>'Phase-Resource Allocation'!$D$66</f>
        <v>1</v>
      </c>
      <c r="AE67" s="51">
        <f>IFERROR(INDEX('02_SCHEDULE'!$K$5:$K$124,MATCH(AA67&amp;"|"&amp;AB67,'02_SCHEDULE'!$M$5:$M$124,0)),0)</f>
        <v>5</v>
      </c>
      <c r="AF67" s="51">
        <f>IFERROR(INDEX('02_SCHEDULE'!$L$5:$L$124,MATCH(AA67&amp;"|"&amp;AB67,'02_SCHEDULE'!$M$5:$M$124,0)),0)</f>
        <v>5</v>
      </c>
      <c r="AG67" s="51">
        <f t="shared" ref="AG67:AG130" si="9">AD67*(AF67-AE67+1)</f>
        <v>1</v>
      </c>
    </row>
    <row r="68" spans="2:33" x14ac:dyDescent="0.3">
      <c r="B68">
        <f>45</f>
        <v>45</v>
      </c>
      <c r="C68" s="55">
        <f>'01_INPUTS'!$C$7+(45-1)*7</f>
        <v>46559</v>
      </c>
      <c r="D68" s="61">
        <f>IF(INDEX('01_INPUTS'!$E$17:$E$31,MATCH(D$23,'01_INPUTS'!$B$17:$B$31,0))=0,IF(SUMIFS($AD$3:$AD$870,$AC$3:$AC$870,D$23,$AE$3:$AE$870,"&lt;="&amp;$B68,$AF$3:$AF$870,"&gt;="&amp;$B68)=0,0,9.99),SUMIFS($AD$3:$AD$870,$AC$3:$AC$870,D$23,$AE$3:$AE$870,"&lt;="&amp;$B68,$AF$3:$AF$870,"&gt;="&amp;$B68)/INDEX('01_INPUTS'!$E$17:$E$31,MATCH(D$23,'01_INPUTS'!$B$17:$B$31,0)))</f>
        <v>1</v>
      </c>
      <c r="E68" s="61">
        <f>IF(INDEX('01_INPUTS'!$E$17:$E$31,MATCH(E$23,'01_INPUTS'!$B$17:$B$31,0))=0,IF(SUMIFS($AD$3:$AD$870,$AC$3:$AC$870,E$23,$AE$3:$AE$870,"&lt;="&amp;$B68,$AF$3:$AF$870,"&gt;="&amp;$B68)=0,0,9.99),SUMIFS($AD$3:$AD$870,$AC$3:$AC$870,E$23,$AE$3:$AE$870,"&lt;="&amp;$B68,$AF$3:$AF$870,"&gt;="&amp;$B68)/INDEX('01_INPUTS'!$E$17:$E$31,MATCH(E$23,'01_INPUTS'!$B$17:$B$31,0)))</f>
        <v>0</v>
      </c>
      <c r="F68" s="61">
        <f>IF(INDEX('01_INPUTS'!$E$17:$E$31,MATCH(F$23,'01_INPUTS'!$B$17:$B$31,0))=0,IF(SUMIFS($AD$3:$AD$870,$AC$3:$AC$870,F$23,$AE$3:$AE$870,"&lt;="&amp;$B68,$AF$3:$AF$870,"&gt;="&amp;$B68)=0,0,9.99),SUMIFS($AD$3:$AD$870,$AC$3:$AC$870,F$23,$AE$3:$AE$870,"&lt;="&amp;$B68,$AF$3:$AF$870,"&gt;="&amp;$B68)/INDEX('01_INPUTS'!$E$17:$E$31,MATCH(F$23,'01_INPUTS'!$B$17:$B$31,0)))</f>
        <v>0</v>
      </c>
      <c r="G68" s="61">
        <f>IF(INDEX('01_INPUTS'!$E$17:$E$31,MATCH(G$23,'01_INPUTS'!$B$17:$B$31,0))=0,IF(SUMIFS($AD$3:$AD$870,$AC$3:$AC$870,G$23,$AE$3:$AE$870,"&lt;="&amp;$B68,$AF$3:$AF$870,"&gt;="&amp;$B68)=0,0,9.99),SUMIFS($AD$3:$AD$870,$AC$3:$AC$870,G$23,$AE$3:$AE$870,"&lt;="&amp;$B68,$AF$3:$AF$870,"&gt;="&amp;$B68)/INDEX('01_INPUTS'!$E$17:$E$31,MATCH(G$23,'01_INPUTS'!$B$17:$B$31,0)))</f>
        <v>0</v>
      </c>
      <c r="H68" s="61">
        <f>IF(INDEX('01_INPUTS'!$E$17:$E$31,MATCH(H$23,'01_INPUTS'!$B$17:$B$31,0))=0,IF(SUMIFS($AD$3:$AD$870,$AC$3:$AC$870,H$23,$AE$3:$AE$870,"&lt;="&amp;$B68,$AF$3:$AF$870,"&gt;="&amp;$B68)=0,0,9.99),SUMIFS($AD$3:$AD$870,$AC$3:$AC$870,H$23,$AE$3:$AE$870,"&lt;="&amp;$B68,$AF$3:$AF$870,"&gt;="&amp;$B68)/INDEX('01_INPUTS'!$E$17:$E$31,MATCH(H$23,'01_INPUTS'!$B$17:$B$31,0)))</f>
        <v>1.5</v>
      </c>
      <c r="I68" s="61">
        <f>IF(INDEX('01_INPUTS'!$E$17:$E$31,MATCH(I$23,'01_INPUTS'!$B$17:$B$31,0))=0,IF(SUMIFS($AD$3:$AD$870,$AC$3:$AC$870,I$23,$AE$3:$AE$870,"&lt;="&amp;$B68,$AF$3:$AF$870,"&gt;="&amp;$B68)=0,0,9.99),SUMIFS($AD$3:$AD$870,$AC$3:$AC$870,I$23,$AE$3:$AE$870,"&lt;="&amp;$B68,$AF$3:$AF$870,"&gt;="&amp;$B68)/INDEX('01_INPUTS'!$E$17:$E$31,MATCH(I$23,'01_INPUTS'!$B$17:$B$31,0)))</f>
        <v>0.5</v>
      </c>
      <c r="J68" s="61">
        <f>IF(INDEX('01_INPUTS'!$E$17:$E$31,MATCH(J$23,'01_INPUTS'!$B$17:$B$31,0))=0,IF(SUMIFS($AD$3:$AD$870,$AC$3:$AC$870,J$23,$AE$3:$AE$870,"&lt;="&amp;$B68,$AF$3:$AF$870,"&gt;="&amp;$B68)=0,0,9.99),SUMIFS($AD$3:$AD$870,$AC$3:$AC$870,J$23,$AE$3:$AE$870,"&lt;="&amp;$B68,$AF$3:$AF$870,"&gt;="&amp;$B68)/INDEX('01_INPUTS'!$E$17:$E$31,MATCH(J$23,'01_INPUTS'!$B$17:$B$31,0)))</f>
        <v>1.5</v>
      </c>
      <c r="K68" s="61">
        <f>IF(INDEX('01_INPUTS'!$E$17:$E$31,MATCH(K$23,'01_INPUTS'!$B$17:$B$31,0))=0,IF(SUMIFS($AD$3:$AD$870,$AC$3:$AC$870,K$23,$AE$3:$AE$870,"&lt;="&amp;$B68,$AF$3:$AF$870,"&gt;="&amp;$B68)=0,0,9.99),SUMIFS($AD$3:$AD$870,$AC$3:$AC$870,K$23,$AE$3:$AE$870,"&lt;="&amp;$B68,$AF$3:$AF$870,"&gt;="&amp;$B68)/INDEX('01_INPUTS'!$E$17:$E$31,MATCH(K$23,'01_INPUTS'!$B$17:$B$31,0)))</f>
        <v>0.5</v>
      </c>
      <c r="L68" s="61">
        <f>IF(INDEX('01_INPUTS'!$E$17:$E$31,MATCH(L$23,'01_INPUTS'!$B$17:$B$31,0))=0,IF(SUMIFS($AD$3:$AD$870,$AC$3:$AC$870,L$23,$AE$3:$AE$870,"&lt;="&amp;$B68,$AF$3:$AF$870,"&gt;="&amp;$B68)=0,0,9.99),SUMIFS($AD$3:$AD$870,$AC$3:$AC$870,L$23,$AE$3:$AE$870,"&lt;="&amp;$B68,$AF$3:$AF$870,"&gt;="&amp;$B68)/INDEX('01_INPUTS'!$E$17:$E$31,MATCH(L$23,'01_INPUTS'!$B$17:$B$31,0)))</f>
        <v>0.5</v>
      </c>
      <c r="M68" s="61">
        <f>IF(INDEX('01_INPUTS'!$E$17:$E$31,MATCH(M$23,'01_INPUTS'!$B$17:$B$31,0))=0,IF(SUMIFS($AD$3:$AD$870,$AC$3:$AC$870,M$23,$AE$3:$AE$870,"&lt;="&amp;$B68,$AF$3:$AF$870,"&gt;="&amp;$B68)=0,0,9.99),SUMIFS($AD$3:$AD$870,$AC$3:$AC$870,M$23,$AE$3:$AE$870,"&lt;="&amp;$B68,$AF$3:$AF$870,"&gt;="&amp;$B68)/INDEX('01_INPUTS'!$E$17:$E$31,MATCH(M$23,'01_INPUTS'!$B$17:$B$31,0)))</f>
        <v>1.25</v>
      </c>
      <c r="N68" s="61">
        <f>IF(INDEX('01_INPUTS'!$E$17:$E$31,MATCH(N$23,'01_INPUTS'!$B$17:$B$31,0))=0,IF(SUMIFS($AD$3:$AD$870,$AC$3:$AC$870,N$23,$AE$3:$AE$870,"&lt;="&amp;$B68,$AF$3:$AF$870,"&gt;="&amp;$B68)=0,0,9.99),SUMIFS($AD$3:$AD$870,$AC$3:$AC$870,N$23,$AE$3:$AE$870,"&lt;="&amp;$B68,$AF$3:$AF$870,"&gt;="&amp;$B68)/INDEX('01_INPUTS'!$E$17:$E$31,MATCH(N$23,'01_INPUTS'!$B$17:$B$31,0)))</f>
        <v>1.25</v>
      </c>
      <c r="O68" s="61">
        <f>IF(INDEX('01_INPUTS'!$E$17:$E$31,MATCH(O$23,'01_INPUTS'!$B$17:$B$31,0))=0,IF(SUMIFS($AD$3:$AD$870,$AC$3:$AC$870,O$23,$AE$3:$AE$870,"&lt;="&amp;$B68,$AF$3:$AF$870,"&gt;="&amp;$B68)=0,0,9.99),SUMIFS($AD$3:$AD$870,$AC$3:$AC$870,O$23,$AE$3:$AE$870,"&lt;="&amp;$B68,$AF$3:$AF$870,"&gt;="&amp;$B68)/INDEX('01_INPUTS'!$E$17:$E$31,MATCH(O$23,'01_INPUTS'!$B$17:$B$31,0)))</f>
        <v>0</v>
      </c>
      <c r="P68" s="61">
        <f>IF(INDEX('01_INPUTS'!$E$17:$E$31,MATCH(P$23,'01_INPUTS'!$B$17:$B$31,0))=0,IF(SUMIFS($AD$3:$AD$870,$AC$3:$AC$870,P$23,$AE$3:$AE$870,"&lt;="&amp;$B68,$AF$3:$AF$870,"&gt;="&amp;$B68)=0,0,9.99),SUMIFS($AD$3:$AD$870,$AC$3:$AC$870,P$23,$AE$3:$AE$870,"&lt;="&amp;$B68,$AF$3:$AF$870,"&gt;="&amp;$B68)/INDEX('01_INPUTS'!$E$17:$E$31,MATCH(P$23,'01_INPUTS'!$B$17:$B$31,0)))</f>
        <v>5</v>
      </c>
      <c r="Q68" s="61">
        <f>IF(INDEX('01_INPUTS'!$E$17:$E$31,MATCH(Q$23,'01_INPUTS'!$B$17:$B$31,0))=0,IF(SUMIFS($AD$3:$AD$870,$AC$3:$AC$870,Q$23,$AE$3:$AE$870,"&lt;="&amp;$B68,$AF$3:$AF$870,"&gt;="&amp;$B68)=0,0,9.99),SUMIFS($AD$3:$AD$870,$AC$3:$AC$870,Q$23,$AE$3:$AE$870,"&lt;="&amp;$B68,$AF$3:$AF$870,"&gt;="&amp;$B68)/INDEX('01_INPUTS'!$E$17:$E$31,MATCH(Q$23,'01_INPUTS'!$B$17:$B$31,0)))</f>
        <v>0.75</v>
      </c>
      <c r="R68" s="61">
        <f>IF(INDEX('01_INPUTS'!$E$17:$E$31,MATCH(R$23,'01_INPUTS'!$B$17:$B$31,0))=0,IF(SUMIFS($AD$3:$AD$870,$AC$3:$AC$870,R$23,$AE$3:$AE$870,"&lt;="&amp;$B68,$AF$3:$AF$870,"&gt;="&amp;$B68)=0,0,9.99),SUMIFS($AD$3:$AD$870,$AC$3:$AC$870,R$23,$AE$3:$AE$870,"&lt;="&amp;$B68,$AF$3:$AF$870,"&gt;="&amp;$B68)/INDEX('01_INPUTS'!$E$17:$E$31,MATCH(R$23,'01_INPUTS'!$B$17:$B$31,0)))</f>
        <v>0</v>
      </c>
      <c r="S68">
        <f t="shared" si="5"/>
        <v>18</v>
      </c>
      <c r="T68">
        <f>SUM('01_INPUTS'!$E$17:$E$31)</f>
        <v>20</v>
      </c>
      <c r="U68" s="61">
        <f t="shared" si="6"/>
        <v>0.9</v>
      </c>
      <c r="V68">
        <f t="shared" si="7"/>
        <v>5</v>
      </c>
      <c r="W68" t="str">
        <f t="shared" si="8"/>
        <v>ROJO</v>
      </c>
      <c r="AA68" s="51" t="str">
        <f>'Sites Master'!$B$3</f>
        <v>Site 02</v>
      </c>
      <c r="AB68" s="51" t="str">
        <f>'Phase-Resource Allocation'!$B$67</f>
        <v>Design Adaptation</v>
      </c>
      <c r="AC68" s="51" t="str">
        <f>'Phase-Resource Allocation'!$C$67</f>
        <v>SAP Integrations Lead</v>
      </c>
      <c r="AD68" s="60">
        <f>'Phase-Resource Allocation'!$D$67</f>
        <v>0.5</v>
      </c>
      <c r="AE68" s="51">
        <f>IFERROR(INDEX('02_SCHEDULE'!$K$5:$K$124,MATCH(AA68&amp;"|"&amp;AB68,'02_SCHEDULE'!$M$5:$M$124,0)),0)</f>
        <v>5</v>
      </c>
      <c r="AF68" s="51">
        <f>IFERROR(INDEX('02_SCHEDULE'!$L$5:$L$124,MATCH(AA68&amp;"|"&amp;AB68,'02_SCHEDULE'!$M$5:$M$124,0)),0)</f>
        <v>5</v>
      </c>
      <c r="AG68" s="51">
        <f t="shared" si="9"/>
        <v>0.5</v>
      </c>
    </row>
    <row r="69" spans="2:33" x14ac:dyDescent="0.3">
      <c r="B69">
        <f>46</f>
        <v>46</v>
      </c>
      <c r="C69" s="55">
        <f>'01_INPUTS'!$C$7+(46-1)*7</f>
        <v>46566</v>
      </c>
      <c r="D69" s="61">
        <f>IF(INDEX('01_INPUTS'!$E$17:$E$31,MATCH(D$23,'01_INPUTS'!$B$17:$B$31,0))=0,IF(SUMIFS($AD$3:$AD$870,$AC$3:$AC$870,D$23,$AE$3:$AE$870,"&lt;="&amp;$B69,$AF$3:$AF$870,"&gt;="&amp;$B69)=0,0,9.99),SUMIFS($AD$3:$AD$870,$AC$3:$AC$870,D$23,$AE$3:$AE$870,"&lt;="&amp;$B69,$AF$3:$AF$870,"&gt;="&amp;$B69)/INDEX('01_INPUTS'!$E$17:$E$31,MATCH(D$23,'01_INPUTS'!$B$17:$B$31,0)))</f>
        <v>2</v>
      </c>
      <c r="E69" s="61">
        <f>IF(INDEX('01_INPUTS'!$E$17:$E$31,MATCH(E$23,'01_INPUTS'!$B$17:$B$31,0))=0,IF(SUMIFS($AD$3:$AD$870,$AC$3:$AC$870,E$23,$AE$3:$AE$870,"&lt;="&amp;$B69,$AF$3:$AF$870,"&gt;="&amp;$B69)=0,0,9.99),SUMIFS($AD$3:$AD$870,$AC$3:$AC$870,E$23,$AE$3:$AE$870,"&lt;="&amp;$B69,$AF$3:$AF$870,"&gt;="&amp;$B69)/INDEX('01_INPUTS'!$E$17:$E$31,MATCH(E$23,'01_INPUTS'!$B$17:$B$31,0)))</f>
        <v>0</v>
      </c>
      <c r="F69" s="61">
        <f>IF(INDEX('01_INPUTS'!$E$17:$E$31,MATCH(F$23,'01_INPUTS'!$B$17:$B$31,0))=0,IF(SUMIFS($AD$3:$AD$870,$AC$3:$AC$870,F$23,$AE$3:$AE$870,"&lt;="&amp;$B69,$AF$3:$AF$870,"&gt;="&amp;$B69)=0,0,9.99),SUMIFS($AD$3:$AD$870,$AC$3:$AC$870,F$23,$AE$3:$AE$870,"&lt;="&amp;$B69,$AF$3:$AF$870,"&gt;="&amp;$B69)/INDEX('01_INPUTS'!$E$17:$E$31,MATCH(F$23,'01_INPUTS'!$B$17:$B$31,0)))</f>
        <v>0</v>
      </c>
      <c r="G69" s="61">
        <f>IF(INDEX('01_INPUTS'!$E$17:$E$31,MATCH(G$23,'01_INPUTS'!$B$17:$B$31,0))=0,IF(SUMIFS($AD$3:$AD$870,$AC$3:$AC$870,G$23,$AE$3:$AE$870,"&lt;="&amp;$B69,$AF$3:$AF$870,"&gt;="&amp;$B69)=0,0,9.99),SUMIFS($AD$3:$AD$870,$AC$3:$AC$870,G$23,$AE$3:$AE$870,"&lt;="&amp;$B69,$AF$3:$AF$870,"&gt;="&amp;$B69)/INDEX('01_INPUTS'!$E$17:$E$31,MATCH(G$23,'01_INPUTS'!$B$17:$B$31,0)))</f>
        <v>0</v>
      </c>
      <c r="H69" s="61">
        <f>IF(INDEX('01_INPUTS'!$E$17:$E$31,MATCH(H$23,'01_INPUTS'!$B$17:$B$31,0))=0,IF(SUMIFS($AD$3:$AD$870,$AC$3:$AC$870,H$23,$AE$3:$AE$870,"&lt;="&amp;$B69,$AF$3:$AF$870,"&gt;="&amp;$B69)=0,0,9.99),SUMIFS($AD$3:$AD$870,$AC$3:$AC$870,H$23,$AE$3:$AE$870,"&lt;="&amp;$B69,$AF$3:$AF$870,"&gt;="&amp;$B69)/INDEX('01_INPUTS'!$E$17:$E$31,MATCH(H$23,'01_INPUTS'!$B$17:$B$31,0)))</f>
        <v>1.5</v>
      </c>
      <c r="I69" s="61">
        <f>IF(INDEX('01_INPUTS'!$E$17:$E$31,MATCH(I$23,'01_INPUTS'!$B$17:$B$31,0))=0,IF(SUMIFS($AD$3:$AD$870,$AC$3:$AC$870,I$23,$AE$3:$AE$870,"&lt;="&amp;$B69,$AF$3:$AF$870,"&gt;="&amp;$B69)=0,0,9.99),SUMIFS($AD$3:$AD$870,$AC$3:$AC$870,I$23,$AE$3:$AE$870,"&lt;="&amp;$B69,$AF$3:$AF$870,"&gt;="&amp;$B69)/INDEX('01_INPUTS'!$E$17:$E$31,MATCH(I$23,'01_INPUTS'!$B$17:$B$31,0)))</f>
        <v>1</v>
      </c>
      <c r="J69" s="61">
        <f>IF(INDEX('01_INPUTS'!$E$17:$E$31,MATCH(J$23,'01_INPUTS'!$B$17:$B$31,0))=0,IF(SUMIFS($AD$3:$AD$870,$AC$3:$AC$870,J$23,$AE$3:$AE$870,"&lt;="&amp;$B69,$AF$3:$AF$870,"&gt;="&amp;$B69)=0,0,9.99),SUMIFS($AD$3:$AD$870,$AC$3:$AC$870,J$23,$AE$3:$AE$870,"&lt;="&amp;$B69,$AF$3:$AF$870,"&gt;="&amp;$B69)/INDEX('01_INPUTS'!$E$17:$E$31,MATCH(J$23,'01_INPUTS'!$B$17:$B$31,0)))</f>
        <v>2</v>
      </c>
      <c r="K69" s="61">
        <f>IF(INDEX('01_INPUTS'!$E$17:$E$31,MATCH(K$23,'01_INPUTS'!$B$17:$B$31,0))=0,IF(SUMIFS($AD$3:$AD$870,$AC$3:$AC$870,K$23,$AE$3:$AE$870,"&lt;="&amp;$B69,$AF$3:$AF$870,"&gt;="&amp;$B69)=0,0,9.99),SUMIFS($AD$3:$AD$870,$AC$3:$AC$870,K$23,$AE$3:$AE$870,"&lt;="&amp;$B69,$AF$3:$AF$870,"&gt;="&amp;$B69)/INDEX('01_INPUTS'!$E$17:$E$31,MATCH(K$23,'01_INPUTS'!$B$17:$B$31,0)))</f>
        <v>1.5</v>
      </c>
      <c r="L69" s="61">
        <f>IF(INDEX('01_INPUTS'!$E$17:$E$31,MATCH(L$23,'01_INPUTS'!$B$17:$B$31,0))=0,IF(SUMIFS($AD$3:$AD$870,$AC$3:$AC$870,L$23,$AE$3:$AE$870,"&lt;="&amp;$B69,$AF$3:$AF$870,"&gt;="&amp;$B69)=0,0,9.99),SUMIFS($AD$3:$AD$870,$AC$3:$AC$870,L$23,$AE$3:$AE$870,"&lt;="&amp;$B69,$AF$3:$AF$870,"&gt;="&amp;$B69)/INDEX('01_INPUTS'!$E$17:$E$31,MATCH(L$23,'01_INPUTS'!$B$17:$B$31,0)))</f>
        <v>1.5</v>
      </c>
      <c r="M69" s="61">
        <f>IF(INDEX('01_INPUTS'!$E$17:$E$31,MATCH(M$23,'01_INPUTS'!$B$17:$B$31,0))=0,IF(SUMIFS($AD$3:$AD$870,$AC$3:$AC$870,M$23,$AE$3:$AE$870,"&lt;="&amp;$B69,$AF$3:$AF$870,"&gt;="&amp;$B69)=0,0,9.99),SUMIFS($AD$3:$AD$870,$AC$3:$AC$870,M$23,$AE$3:$AE$870,"&lt;="&amp;$B69,$AF$3:$AF$870,"&gt;="&amp;$B69)/INDEX('01_INPUTS'!$E$17:$E$31,MATCH(M$23,'01_INPUTS'!$B$17:$B$31,0)))</f>
        <v>2.25</v>
      </c>
      <c r="N69" s="61">
        <f>IF(INDEX('01_INPUTS'!$E$17:$E$31,MATCH(N$23,'01_INPUTS'!$B$17:$B$31,0))=0,IF(SUMIFS($AD$3:$AD$870,$AC$3:$AC$870,N$23,$AE$3:$AE$870,"&lt;="&amp;$B69,$AF$3:$AF$870,"&gt;="&amp;$B69)=0,0,9.99),SUMIFS($AD$3:$AD$870,$AC$3:$AC$870,N$23,$AE$3:$AE$870,"&lt;="&amp;$B69,$AF$3:$AF$870,"&gt;="&amp;$B69)/INDEX('01_INPUTS'!$E$17:$E$31,MATCH(N$23,'01_INPUTS'!$B$17:$B$31,0)))</f>
        <v>2.25</v>
      </c>
      <c r="O69" s="61">
        <f>IF(INDEX('01_INPUTS'!$E$17:$E$31,MATCH(O$23,'01_INPUTS'!$B$17:$B$31,0))=0,IF(SUMIFS($AD$3:$AD$870,$AC$3:$AC$870,O$23,$AE$3:$AE$870,"&lt;="&amp;$B69,$AF$3:$AF$870,"&gt;="&amp;$B69)=0,0,9.99),SUMIFS($AD$3:$AD$870,$AC$3:$AC$870,O$23,$AE$3:$AE$870,"&lt;="&amp;$B69,$AF$3:$AF$870,"&gt;="&amp;$B69)/INDEX('01_INPUTS'!$E$17:$E$31,MATCH(O$23,'01_INPUTS'!$B$17:$B$31,0)))</f>
        <v>0</v>
      </c>
      <c r="P69" s="61">
        <f>IF(INDEX('01_INPUTS'!$E$17:$E$31,MATCH(P$23,'01_INPUTS'!$B$17:$B$31,0))=0,IF(SUMIFS($AD$3:$AD$870,$AC$3:$AC$870,P$23,$AE$3:$AE$870,"&lt;="&amp;$B69,$AF$3:$AF$870,"&gt;="&amp;$B69)=0,0,9.99),SUMIFS($AD$3:$AD$870,$AC$3:$AC$870,P$23,$AE$3:$AE$870,"&lt;="&amp;$B69,$AF$3:$AF$870,"&gt;="&amp;$B69)/INDEX('01_INPUTS'!$E$17:$E$31,MATCH(P$23,'01_INPUTS'!$B$17:$B$31,0)))</f>
        <v>5</v>
      </c>
      <c r="Q69" s="61">
        <f>IF(INDEX('01_INPUTS'!$E$17:$E$31,MATCH(Q$23,'01_INPUTS'!$B$17:$B$31,0))=0,IF(SUMIFS($AD$3:$AD$870,$AC$3:$AC$870,Q$23,$AE$3:$AE$870,"&lt;="&amp;$B69,$AF$3:$AF$870,"&gt;="&amp;$B69)=0,0,9.99),SUMIFS($AD$3:$AD$870,$AC$3:$AC$870,Q$23,$AE$3:$AE$870,"&lt;="&amp;$B69,$AF$3:$AF$870,"&gt;="&amp;$B69)/INDEX('01_INPUTS'!$E$17:$E$31,MATCH(Q$23,'01_INPUTS'!$B$17:$B$31,0)))</f>
        <v>1.25</v>
      </c>
      <c r="R69" s="61">
        <f>IF(INDEX('01_INPUTS'!$E$17:$E$31,MATCH(R$23,'01_INPUTS'!$B$17:$B$31,0))=0,IF(SUMIFS($AD$3:$AD$870,$AC$3:$AC$870,R$23,$AE$3:$AE$870,"&lt;="&amp;$B69,$AF$3:$AF$870,"&gt;="&amp;$B69)=0,0,9.99),SUMIFS($AD$3:$AD$870,$AC$3:$AC$870,R$23,$AE$3:$AE$870,"&lt;="&amp;$B69,$AF$3:$AF$870,"&gt;="&amp;$B69)/INDEX('01_INPUTS'!$E$17:$E$31,MATCH(R$23,'01_INPUTS'!$B$17:$B$31,0)))</f>
        <v>0</v>
      </c>
      <c r="S69">
        <f t="shared" si="5"/>
        <v>26</v>
      </c>
      <c r="T69">
        <f>SUM('01_INPUTS'!$E$17:$E$31)</f>
        <v>20</v>
      </c>
      <c r="U69" s="61">
        <f t="shared" si="6"/>
        <v>1.3</v>
      </c>
      <c r="V69">
        <f t="shared" si="7"/>
        <v>9</v>
      </c>
      <c r="W69" t="str">
        <f t="shared" si="8"/>
        <v>ROJO</v>
      </c>
      <c r="AA69" s="51" t="str">
        <f>'Sites Master'!$B$3</f>
        <v>Site 02</v>
      </c>
      <c r="AB69" s="51" t="str">
        <f>'Phase-Resource Allocation'!$B$68</f>
        <v>Design Adaptation</v>
      </c>
      <c r="AC69" s="51" t="str">
        <f>'Phase-Resource Allocation'!$C$68</f>
        <v>SAP Integrations Specialist</v>
      </c>
      <c r="AD69" s="60">
        <f>'Phase-Resource Allocation'!$D$68</f>
        <v>0.5</v>
      </c>
      <c r="AE69" s="51">
        <f>IFERROR(INDEX('02_SCHEDULE'!$K$5:$K$124,MATCH(AA69&amp;"|"&amp;AB69,'02_SCHEDULE'!$M$5:$M$124,0)),0)</f>
        <v>5</v>
      </c>
      <c r="AF69" s="51">
        <f>IFERROR(INDEX('02_SCHEDULE'!$L$5:$L$124,MATCH(AA69&amp;"|"&amp;AB69,'02_SCHEDULE'!$M$5:$M$124,0)),0)</f>
        <v>5</v>
      </c>
      <c r="AG69" s="51">
        <f t="shared" si="9"/>
        <v>0.5</v>
      </c>
    </row>
    <row r="70" spans="2:33" x14ac:dyDescent="0.3">
      <c r="B70">
        <f>47</f>
        <v>47</v>
      </c>
      <c r="C70" s="55">
        <f>'01_INPUTS'!$C$7+(47-1)*7</f>
        <v>46573</v>
      </c>
      <c r="D70" s="61">
        <f>IF(INDEX('01_INPUTS'!$E$17:$E$31,MATCH(D$23,'01_INPUTS'!$B$17:$B$31,0))=0,IF(SUMIFS($AD$3:$AD$870,$AC$3:$AC$870,D$23,$AE$3:$AE$870,"&lt;="&amp;$B70,$AF$3:$AF$870,"&gt;="&amp;$B70)=0,0,9.99),SUMIFS($AD$3:$AD$870,$AC$3:$AC$870,D$23,$AE$3:$AE$870,"&lt;="&amp;$B70,$AF$3:$AF$870,"&gt;="&amp;$B70)/INDEX('01_INPUTS'!$E$17:$E$31,MATCH(D$23,'01_INPUTS'!$B$17:$B$31,0)))</f>
        <v>2</v>
      </c>
      <c r="E70" s="61">
        <f>IF(INDEX('01_INPUTS'!$E$17:$E$31,MATCH(E$23,'01_INPUTS'!$B$17:$B$31,0))=0,IF(SUMIFS($AD$3:$AD$870,$AC$3:$AC$870,E$23,$AE$3:$AE$870,"&lt;="&amp;$B70,$AF$3:$AF$870,"&gt;="&amp;$B70)=0,0,9.99),SUMIFS($AD$3:$AD$870,$AC$3:$AC$870,E$23,$AE$3:$AE$870,"&lt;="&amp;$B70,$AF$3:$AF$870,"&gt;="&amp;$B70)/INDEX('01_INPUTS'!$E$17:$E$31,MATCH(E$23,'01_INPUTS'!$B$17:$B$31,0)))</f>
        <v>0</v>
      </c>
      <c r="F70" s="61">
        <f>IF(INDEX('01_INPUTS'!$E$17:$E$31,MATCH(F$23,'01_INPUTS'!$B$17:$B$31,0))=0,IF(SUMIFS($AD$3:$AD$870,$AC$3:$AC$870,F$23,$AE$3:$AE$870,"&lt;="&amp;$B70,$AF$3:$AF$870,"&gt;="&amp;$B70)=0,0,9.99),SUMIFS($AD$3:$AD$870,$AC$3:$AC$870,F$23,$AE$3:$AE$870,"&lt;="&amp;$B70,$AF$3:$AF$870,"&gt;="&amp;$B70)/INDEX('01_INPUTS'!$E$17:$E$31,MATCH(F$23,'01_INPUTS'!$B$17:$B$31,0)))</f>
        <v>0</v>
      </c>
      <c r="G70" s="61">
        <f>IF(INDEX('01_INPUTS'!$E$17:$E$31,MATCH(G$23,'01_INPUTS'!$B$17:$B$31,0))=0,IF(SUMIFS($AD$3:$AD$870,$AC$3:$AC$870,G$23,$AE$3:$AE$870,"&lt;="&amp;$B70,$AF$3:$AF$870,"&gt;="&amp;$B70)=0,0,9.99),SUMIFS($AD$3:$AD$870,$AC$3:$AC$870,G$23,$AE$3:$AE$870,"&lt;="&amp;$B70,$AF$3:$AF$870,"&gt;="&amp;$B70)/INDEX('01_INPUTS'!$E$17:$E$31,MATCH(G$23,'01_INPUTS'!$B$17:$B$31,0)))</f>
        <v>0</v>
      </c>
      <c r="H70" s="61">
        <f>IF(INDEX('01_INPUTS'!$E$17:$E$31,MATCH(H$23,'01_INPUTS'!$B$17:$B$31,0))=0,IF(SUMIFS($AD$3:$AD$870,$AC$3:$AC$870,H$23,$AE$3:$AE$870,"&lt;="&amp;$B70,$AF$3:$AF$870,"&gt;="&amp;$B70)=0,0,9.99),SUMIFS($AD$3:$AD$870,$AC$3:$AC$870,H$23,$AE$3:$AE$870,"&lt;="&amp;$B70,$AF$3:$AF$870,"&gt;="&amp;$B70)/INDEX('01_INPUTS'!$E$17:$E$31,MATCH(H$23,'01_INPUTS'!$B$17:$B$31,0)))</f>
        <v>1.5</v>
      </c>
      <c r="I70" s="61">
        <f>IF(INDEX('01_INPUTS'!$E$17:$E$31,MATCH(I$23,'01_INPUTS'!$B$17:$B$31,0))=0,IF(SUMIFS($AD$3:$AD$870,$AC$3:$AC$870,I$23,$AE$3:$AE$870,"&lt;="&amp;$B70,$AF$3:$AF$870,"&gt;="&amp;$B70)=0,0,9.99),SUMIFS($AD$3:$AD$870,$AC$3:$AC$870,I$23,$AE$3:$AE$870,"&lt;="&amp;$B70,$AF$3:$AF$870,"&gt;="&amp;$B70)/INDEX('01_INPUTS'!$E$17:$E$31,MATCH(I$23,'01_INPUTS'!$B$17:$B$31,0)))</f>
        <v>1.5</v>
      </c>
      <c r="J70" s="61">
        <f>IF(INDEX('01_INPUTS'!$E$17:$E$31,MATCH(J$23,'01_INPUTS'!$B$17:$B$31,0))=0,IF(SUMIFS($AD$3:$AD$870,$AC$3:$AC$870,J$23,$AE$3:$AE$870,"&lt;="&amp;$B70,$AF$3:$AF$870,"&gt;="&amp;$B70)=0,0,9.99),SUMIFS($AD$3:$AD$870,$AC$3:$AC$870,J$23,$AE$3:$AE$870,"&lt;="&amp;$B70,$AF$3:$AF$870,"&gt;="&amp;$B70)/INDEX('01_INPUTS'!$E$17:$E$31,MATCH(J$23,'01_INPUTS'!$B$17:$B$31,0)))</f>
        <v>2.5</v>
      </c>
      <c r="K70" s="61">
        <f>IF(INDEX('01_INPUTS'!$E$17:$E$31,MATCH(K$23,'01_INPUTS'!$B$17:$B$31,0))=0,IF(SUMIFS($AD$3:$AD$870,$AC$3:$AC$870,K$23,$AE$3:$AE$870,"&lt;="&amp;$B70,$AF$3:$AF$870,"&gt;="&amp;$B70)=0,0,9.99),SUMIFS($AD$3:$AD$870,$AC$3:$AC$870,K$23,$AE$3:$AE$870,"&lt;="&amp;$B70,$AF$3:$AF$870,"&gt;="&amp;$B70)/INDEX('01_INPUTS'!$E$17:$E$31,MATCH(K$23,'01_INPUTS'!$B$17:$B$31,0)))</f>
        <v>2</v>
      </c>
      <c r="L70" s="61">
        <f>IF(INDEX('01_INPUTS'!$E$17:$E$31,MATCH(L$23,'01_INPUTS'!$B$17:$B$31,0))=0,IF(SUMIFS($AD$3:$AD$870,$AC$3:$AC$870,L$23,$AE$3:$AE$870,"&lt;="&amp;$B70,$AF$3:$AF$870,"&gt;="&amp;$B70)=0,0,9.99),SUMIFS($AD$3:$AD$870,$AC$3:$AC$870,L$23,$AE$3:$AE$870,"&lt;="&amp;$B70,$AF$3:$AF$870,"&gt;="&amp;$B70)/INDEX('01_INPUTS'!$E$17:$E$31,MATCH(L$23,'01_INPUTS'!$B$17:$B$31,0)))</f>
        <v>2</v>
      </c>
      <c r="M70" s="61">
        <f>IF(INDEX('01_INPUTS'!$E$17:$E$31,MATCH(M$23,'01_INPUTS'!$B$17:$B$31,0))=0,IF(SUMIFS($AD$3:$AD$870,$AC$3:$AC$870,M$23,$AE$3:$AE$870,"&lt;="&amp;$B70,$AF$3:$AF$870,"&gt;="&amp;$B70)=0,0,9.99),SUMIFS($AD$3:$AD$870,$AC$3:$AC$870,M$23,$AE$3:$AE$870,"&lt;="&amp;$B70,$AF$3:$AF$870,"&gt;="&amp;$B70)/INDEX('01_INPUTS'!$E$17:$E$31,MATCH(M$23,'01_INPUTS'!$B$17:$B$31,0)))</f>
        <v>2</v>
      </c>
      <c r="N70" s="61">
        <f>IF(INDEX('01_INPUTS'!$E$17:$E$31,MATCH(N$23,'01_INPUTS'!$B$17:$B$31,0))=0,IF(SUMIFS($AD$3:$AD$870,$AC$3:$AC$870,N$23,$AE$3:$AE$870,"&lt;="&amp;$B70,$AF$3:$AF$870,"&gt;="&amp;$B70)=0,0,9.99),SUMIFS($AD$3:$AD$870,$AC$3:$AC$870,N$23,$AE$3:$AE$870,"&lt;="&amp;$B70,$AF$3:$AF$870,"&gt;="&amp;$B70)/INDEX('01_INPUTS'!$E$17:$E$31,MATCH(N$23,'01_INPUTS'!$B$17:$B$31,0)))</f>
        <v>2</v>
      </c>
      <c r="O70" s="61">
        <f>IF(INDEX('01_INPUTS'!$E$17:$E$31,MATCH(O$23,'01_INPUTS'!$B$17:$B$31,0))=0,IF(SUMIFS($AD$3:$AD$870,$AC$3:$AC$870,O$23,$AE$3:$AE$870,"&lt;="&amp;$B70,$AF$3:$AF$870,"&gt;="&amp;$B70)=0,0,9.99),SUMIFS($AD$3:$AD$870,$AC$3:$AC$870,O$23,$AE$3:$AE$870,"&lt;="&amp;$B70,$AF$3:$AF$870,"&gt;="&amp;$B70)/INDEX('01_INPUTS'!$E$17:$E$31,MATCH(O$23,'01_INPUTS'!$B$17:$B$31,0)))</f>
        <v>0</v>
      </c>
      <c r="P70" s="61">
        <f>IF(INDEX('01_INPUTS'!$E$17:$E$31,MATCH(P$23,'01_INPUTS'!$B$17:$B$31,0))=0,IF(SUMIFS($AD$3:$AD$870,$AC$3:$AC$870,P$23,$AE$3:$AE$870,"&lt;="&amp;$B70,$AF$3:$AF$870,"&gt;="&amp;$B70)=0,0,9.99),SUMIFS($AD$3:$AD$870,$AC$3:$AC$870,P$23,$AE$3:$AE$870,"&lt;="&amp;$B70,$AF$3:$AF$870,"&gt;="&amp;$B70)/INDEX('01_INPUTS'!$E$17:$E$31,MATCH(P$23,'01_INPUTS'!$B$17:$B$31,0)))</f>
        <v>7</v>
      </c>
      <c r="Q70" s="61">
        <f>IF(INDEX('01_INPUTS'!$E$17:$E$31,MATCH(Q$23,'01_INPUTS'!$B$17:$B$31,0))=0,IF(SUMIFS($AD$3:$AD$870,$AC$3:$AC$870,Q$23,$AE$3:$AE$870,"&lt;="&amp;$B70,$AF$3:$AF$870,"&gt;="&amp;$B70)=0,0,9.99),SUMIFS($AD$3:$AD$870,$AC$3:$AC$870,Q$23,$AE$3:$AE$870,"&lt;="&amp;$B70,$AF$3:$AF$870,"&gt;="&amp;$B70)/INDEX('01_INPUTS'!$E$17:$E$31,MATCH(Q$23,'01_INPUTS'!$B$17:$B$31,0)))</f>
        <v>1</v>
      </c>
      <c r="R70" s="61">
        <f>IF(INDEX('01_INPUTS'!$E$17:$E$31,MATCH(R$23,'01_INPUTS'!$B$17:$B$31,0))=0,IF(SUMIFS($AD$3:$AD$870,$AC$3:$AC$870,R$23,$AE$3:$AE$870,"&lt;="&amp;$B70,$AF$3:$AF$870,"&gt;="&amp;$B70)=0,0,9.99),SUMIFS($AD$3:$AD$870,$AC$3:$AC$870,R$23,$AE$3:$AE$870,"&lt;="&amp;$B70,$AF$3:$AF$870,"&gt;="&amp;$B70)/INDEX('01_INPUTS'!$E$17:$E$31,MATCH(R$23,'01_INPUTS'!$B$17:$B$31,0)))</f>
        <v>0</v>
      </c>
      <c r="S70">
        <f t="shared" si="5"/>
        <v>30</v>
      </c>
      <c r="T70">
        <f>SUM('01_INPUTS'!$E$17:$E$31)</f>
        <v>20</v>
      </c>
      <c r="U70" s="61">
        <f t="shared" si="6"/>
        <v>1.5</v>
      </c>
      <c r="V70">
        <f t="shared" si="7"/>
        <v>9</v>
      </c>
      <c r="W70" t="str">
        <f t="shared" si="8"/>
        <v>ROJO</v>
      </c>
      <c r="AA70" s="51" t="str">
        <f>'Sites Master'!$B$3</f>
        <v>Site 02</v>
      </c>
      <c r="AB70" s="51" t="str">
        <f>'Phase-Resource Allocation'!$B$69</f>
        <v>Design Adaptation</v>
      </c>
      <c r="AC70" s="51" t="str">
        <f>'Phase-Resource Allocation'!$C$69</f>
        <v>Azure Lead</v>
      </c>
      <c r="AD70" s="60">
        <f>'Phase-Resource Allocation'!$D$69</f>
        <v>0.5</v>
      </c>
      <c r="AE70" s="51">
        <f>IFERROR(INDEX('02_SCHEDULE'!$K$5:$K$124,MATCH(AA70&amp;"|"&amp;AB70,'02_SCHEDULE'!$M$5:$M$124,0)),0)</f>
        <v>5</v>
      </c>
      <c r="AF70" s="51">
        <f>IFERROR(INDEX('02_SCHEDULE'!$L$5:$L$124,MATCH(AA70&amp;"|"&amp;AB70,'02_SCHEDULE'!$M$5:$M$124,0)),0)</f>
        <v>5</v>
      </c>
      <c r="AG70" s="51">
        <f t="shared" si="9"/>
        <v>0.5</v>
      </c>
    </row>
    <row r="71" spans="2:33" x14ac:dyDescent="0.3">
      <c r="B71">
        <f>48</f>
        <v>48</v>
      </c>
      <c r="C71" s="55">
        <f>'01_INPUTS'!$C$7+(48-1)*7</f>
        <v>46580</v>
      </c>
      <c r="D71" s="61">
        <f>IF(INDEX('01_INPUTS'!$E$17:$E$31,MATCH(D$23,'01_INPUTS'!$B$17:$B$31,0))=0,IF(SUMIFS($AD$3:$AD$870,$AC$3:$AC$870,D$23,$AE$3:$AE$870,"&lt;="&amp;$B71,$AF$3:$AF$870,"&gt;="&amp;$B71)=0,0,9.99),SUMIFS($AD$3:$AD$870,$AC$3:$AC$870,D$23,$AE$3:$AE$870,"&lt;="&amp;$B71,$AF$3:$AF$870,"&gt;="&amp;$B71)/INDEX('01_INPUTS'!$E$17:$E$31,MATCH(D$23,'01_INPUTS'!$B$17:$B$31,0)))</f>
        <v>1.5</v>
      </c>
      <c r="E71" s="61">
        <f>IF(INDEX('01_INPUTS'!$E$17:$E$31,MATCH(E$23,'01_INPUTS'!$B$17:$B$31,0))=0,IF(SUMIFS($AD$3:$AD$870,$AC$3:$AC$870,E$23,$AE$3:$AE$870,"&lt;="&amp;$B71,$AF$3:$AF$870,"&gt;="&amp;$B71)=0,0,9.99),SUMIFS($AD$3:$AD$870,$AC$3:$AC$870,E$23,$AE$3:$AE$870,"&lt;="&amp;$B71,$AF$3:$AF$870,"&gt;="&amp;$B71)/INDEX('01_INPUTS'!$E$17:$E$31,MATCH(E$23,'01_INPUTS'!$B$17:$B$31,0)))</f>
        <v>0</v>
      </c>
      <c r="F71" s="61">
        <f>IF(INDEX('01_INPUTS'!$E$17:$E$31,MATCH(F$23,'01_INPUTS'!$B$17:$B$31,0))=0,IF(SUMIFS($AD$3:$AD$870,$AC$3:$AC$870,F$23,$AE$3:$AE$870,"&lt;="&amp;$B71,$AF$3:$AF$870,"&gt;="&amp;$B71)=0,0,9.99),SUMIFS($AD$3:$AD$870,$AC$3:$AC$870,F$23,$AE$3:$AE$870,"&lt;="&amp;$B71,$AF$3:$AF$870,"&gt;="&amp;$B71)/INDEX('01_INPUTS'!$E$17:$E$31,MATCH(F$23,'01_INPUTS'!$B$17:$B$31,0)))</f>
        <v>0</v>
      </c>
      <c r="G71" s="61">
        <f>IF(INDEX('01_INPUTS'!$E$17:$E$31,MATCH(G$23,'01_INPUTS'!$B$17:$B$31,0))=0,IF(SUMIFS($AD$3:$AD$870,$AC$3:$AC$870,G$23,$AE$3:$AE$870,"&lt;="&amp;$B71,$AF$3:$AF$870,"&gt;="&amp;$B71)=0,0,9.99),SUMIFS($AD$3:$AD$870,$AC$3:$AC$870,G$23,$AE$3:$AE$870,"&lt;="&amp;$B71,$AF$3:$AF$870,"&gt;="&amp;$B71)/INDEX('01_INPUTS'!$E$17:$E$31,MATCH(G$23,'01_INPUTS'!$B$17:$B$31,0)))</f>
        <v>0</v>
      </c>
      <c r="H71" s="61">
        <f>IF(INDEX('01_INPUTS'!$E$17:$E$31,MATCH(H$23,'01_INPUTS'!$B$17:$B$31,0))=0,IF(SUMIFS($AD$3:$AD$870,$AC$3:$AC$870,H$23,$AE$3:$AE$870,"&lt;="&amp;$B71,$AF$3:$AF$870,"&gt;="&amp;$B71)=0,0,9.99),SUMIFS($AD$3:$AD$870,$AC$3:$AC$870,H$23,$AE$3:$AE$870,"&lt;="&amp;$B71,$AF$3:$AF$870,"&gt;="&amp;$B71)/INDEX('01_INPUTS'!$E$17:$E$31,MATCH(H$23,'01_INPUTS'!$B$17:$B$31,0)))</f>
        <v>1.5</v>
      </c>
      <c r="I71" s="61">
        <f>IF(INDEX('01_INPUTS'!$E$17:$E$31,MATCH(I$23,'01_INPUTS'!$B$17:$B$31,0))=0,IF(SUMIFS($AD$3:$AD$870,$AC$3:$AC$870,I$23,$AE$3:$AE$870,"&lt;="&amp;$B71,$AF$3:$AF$870,"&gt;="&amp;$B71)=0,0,9.99),SUMIFS($AD$3:$AD$870,$AC$3:$AC$870,I$23,$AE$3:$AE$870,"&lt;="&amp;$B71,$AF$3:$AF$870,"&gt;="&amp;$B71)/INDEX('01_INPUTS'!$E$17:$E$31,MATCH(I$23,'01_INPUTS'!$B$17:$B$31,0)))</f>
        <v>1.5</v>
      </c>
      <c r="J71" s="61">
        <f>IF(INDEX('01_INPUTS'!$E$17:$E$31,MATCH(J$23,'01_INPUTS'!$B$17:$B$31,0))=0,IF(SUMIFS($AD$3:$AD$870,$AC$3:$AC$870,J$23,$AE$3:$AE$870,"&lt;="&amp;$B71,$AF$3:$AF$870,"&gt;="&amp;$B71)=0,0,9.99),SUMIFS($AD$3:$AD$870,$AC$3:$AC$870,J$23,$AE$3:$AE$870,"&lt;="&amp;$B71,$AF$3:$AF$870,"&gt;="&amp;$B71)/INDEX('01_INPUTS'!$E$17:$E$31,MATCH(J$23,'01_INPUTS'!$B$17:$B$31,0)))</f>
        <v>3</v>
      </c>
      <c r="K71" s="61">
        <f>IF(INDEX('01_INPUTS'!$E$17:$E$31,MATCH(K$23,'01_INPUTS'!$B$17:$B$31,0))=0,IF(SUMIFS($AD$3:$AD$870,$AC$3:$AC$870,K$23,$AE$3:$AE$870,"&lt;="&amp;$B71,$AF$3:$AF$870,"&gt;="&amp;$B71)=0,0,9.99),SUMIFS($AD$3:$AD$870,$AC$3:$AC$870,K$23,$AE$3:$AE$870,"&lt;="&amp;$B71,$AF$3:$AF$870,"&gt;="&amp;$B71)/INDEX('01_INPUTS'!$E$17:$E$31,MATCH(K$23,'01_INPUTS'!$B$17:$B$31,0)))</f>
        <v>1.5</v>
      </c>
      <c r="L71" s="61">
        <f>IF(INDEX('01_INPUTS'!$E$17:$E$31,MATCH(L$23,'01_INPUTS'!$B$17:$B$31,0))=0,IF(SUMIFS($AD$3:$AD$870,$AC$3:$AC$870,L$23,$AE$3:$AE$870,"&lt;="&amp;$B71,$AF$3:$AF$870,"&gt;="&amp;$B71)=0,0,9.99),SUMIFS($AD$3:$AD$870,$AC$3:$AC$870,L$23,$AE$3:$AE$870,"&lt;="&amp;$B71,$AF$3:$AF$870,"&gt;="&amp;$B71)/INDEX('01_INPUTS'!$E$17:$E$31,MATCH(L$23,'01_INPUTS'!$B$17:$B$31,0)))</f>
        <v>1.5</v>
      </c>
      <c r="M71" s="61">
        <f>IF(INDEX('01_INPUTS'!$E$17:$E$31,MATCH(M$23,'01_INPUTS'!$B$17:$B$31,0))=0,IF(SUMIFS($AD$3:$AD$870,$AC$3:$AC$870,M$23,$AE$3:$AE$870,"&lt;="&amp;$B71,$AF$3:$AF$870,"&gt;="&amp;$B71)=0,0,9.99),SUMIFS($AD$3:$AD$870,$AC$3:$AC$870,M$23,$AE$3:$AE$870,"&lt;="&amp;$B71,$AF$3:$AF$870,"&gt;="&amp;$B71)/INDEX('01_INPUTS'!$E$17:$E$31,MATCH(M$23,'01_INPUTS'!$B$17:$B$31,0)))</f>
        <v>1.5</v>
      </c>
      <c r="N71" s="61">
        <f>IF(INDEX('01_INPUTS'!$E$17:$E$31,MATCH(N$23,'01_INPUTS'!$B$17:$B$31,0))=0,IF(SUMIFS($AD$3:$AD$870,$AC$3:$AC$870,N$23,$AE$3:$AE$870,"&lt;="&amp;$B71,$AF$3:$AF$870,"&gt;="&amp;$B71)=0,0,9.99),SUMIFS($AD$3:$AD$870,$AC$3:$AC$870,N$23,$AE$3:$AE$870,"&lt;="&amp;$B71,$AF$3:$AF$870,"&gt;="&amp;$B71)/INDEX('01_INPUTS'!$E$17:$E$31,MATCH(N$23,'01_INPUTS'!$B$17:$B$31,0)))</f>
        <v>1.5</v>
      </c>
      <c r="O71" s="61">
        <f>IF(INDEX('01_INPUTS'!$E$17:$E$31,MATCH(O$23,'01_INPUTS'!$B$17:$B$31,0))=0,IF(SUMIFS($AD$3:$AD$870,$AC$3:$AC$870,O$23,$AE$3:$AE$870,"&lt;="&amp;$B71,$AF$3:$AF$870,"&gt;="&amp;$B71)=0,0,9.99),SUMIFS($AD$3:$AD$870,$AC$3:$AC$870,O$23,$AE$3:$AE$870,"&lt;="&amp;$B71,$AF$3:$AF$870,"&gt;="&amp;$B71)/INDEX('01_INPUTS'!$E$17:$E$31,MATCH(O$23,'01_INPUTS'!$B$17:$B$31,0)))</f>
        <v>0</v>
      </c>
      <c r="P71" s="61">
        <f>IF(INDEX('01_INPUTS'!$E$17:$E$31,MATCH(P$23,'01_INPUTS'!$B$17:$B$31,0))=0,IF(SUMIFS($AD$3:$AD$870,$AC$3:$AC$870,P$23,$AE$3:$AE$870,"&lt;="&amp;$B71,$AF$3:$AF$870,"&gt;="&amp;$B71)=0,0,9.99),SUMIFS($AD$3:$AD$870,$AC$3:$AC$870,P$23,$AE$3:$AE$870,"&lt;="&amp;$B71,$AF$3:$AF$870,"&gt;="&amp;$B71)/INDEX('01_INPUTS'!$E$17:$E$31,MATCH(P$23,'01_INPUTS'!$B$17:$B$31,0)))</f>
        <v>9</v>
      </c>
      <c r="Q71" s="61">
        <f>IF(INDEX('01_INPUTS'!$E$17:$E$31,MATCH(Q$23,'01_INPUTS'!$B$17:$B$31,0))=0,IF(SUMIFS($AD$3:$AD$870,$AC$3:$AC$870,Q$23,$AE$3:$AE$870,"&lt;="&amp;$B71,$AF$3:$AF$870,"&gt;="&amp;$B71)=0,0,9.99),SUMIFS($AD$3:$AD$870,$AC$3:$AC$870,Q$23,$AE$3:$AE$870,"&lt;="&amp;$B71,$AF$3:$AF$870,"&gt;="&amp;$B71)/INDEX('01_INPUTS'!$E$17:$E$31,MATCH(Q$23,'01_INPUTS'!$B$17:$B$31,0)))</f>
        <v>0.75</v>
      </c>
      <c r="R71" s="61">
        <f>IF(INDEX('01_INPUTS'!$E$17:$E$31,MATCH(R$23,'01_INPUTS'!$B$17:$B$31,0))=0,IF(SUMIFS($AD$3:$AD$870,$AC$3:$AC$870,R$23,$AE$3:$AE$870,"&lt;="&amp;$B71,$AF$3:$AF$870,"&gt;="&amp;$B71)=0,0,9.99),SUMIFS($AD$3:$AD$870,$AC$3:$AC$870,R$23,$AE$3:$AE$870,"&lt;="&amp;$B71,$AF$3:$AF$870,"&gt;="&amp;$B71)/INDEX('01_INPUTS'!$E$17:$E$31,MATCH(R$23,'01_INPUTS'!$B$17:$B$31,0)))</f>
        <v>0</v>
      </c>
      <c r="S71">
        <f t="shared" si="5"/>
        <v>30</v>
      </c>
      <c r="T71">
        <f>SUM('01_INPUTS'!$E$17:$E$31)</f>
        <v>20</v>
      </c>
      <c r="U71" s="61">
        <f t="shared" si="6"/>
        <v>1.5</v>
      </c>
      <c r="V71">
        <f t="shared" si="7"/>
        <v>9</v>
      </c>
      <c r="W71" t="str">
        <f t="shared" si="8"/>
        <v>ROJO</v>
      </c>
      <c r="AA71" s="51" t="str">
        <f>'Sites Master'!$B$3</f>
        <v>Site 02</v>
      </c>
      <c r="AB71" s="51" t="str">
        <f>'Phase-Resource Allocation'!$B$70</f>
        <v>Design Adaptation</v>
      </c>
      <c r="AC71" s="51" t="str">
        <f>'Phase-Resource Allocation'!$C$70</f>
        <v>Azure Specialist</v>
      </c>
      <c r="AD71" s="60">
        <f>'Phase-Resource Allocation'!$D$70</f>
        <v>0.5</v>
      </c>
      <c r="AE71" s="51">
        <f>IFERROR(INDEX('02_SCHEDULE'!$K$5:$K$124,MATCH(AA71&amp;"|"&amp;AB71,'02_SCHEDULE'!$M$5:$M$124,0)),0)</f>
        <v>5</v>
      </c>
      <c r="AF71" s="51">
        <f>IFERROR(INDEX('02_SCHEDULE'!$L$5:$L$124,MATCH(AA71&amp;"|"&amp;AB71,'02_SCHEDULE'!$M$5:$M$124,0)),0)</f>
        <v>5</v>
      </c>
      <c r="AG71" s="51">
        <f t="shared" si="9"/>
        <v>0.5</v>
      </c>
    </row>
    <row r="72" spans="2:33" x14ac:dyDescent="0.3">
      <c r="B72">
        <f>49</f>
        <v>49</v>
      </c>
      <c r="C72" s="55">
        <f>'01_INPUTS'!$C$7+(49-1)*7</f>
        <v>46587</v>
      </c>
      <c r="D72" s="61">
        <f>IF(INDEX('01_INPUTS'!$E$17:$E$31,MATCH(D$23,'01_INPUTS'!$B$17:$B$31,0))=0,IF(SUMIFS($AD$3:$AD$870,$AC$3:$AC$870,D$23,$AE$3:$AE$870,"&lt;="&amp;$B72,$AF$3:$AF$870,"&gt;="&amp;$B72)=0,0,9.99),SUMIFS($AD$3:$AD$870,$AC$3:$AC$870,D$23,$AE$3:$AE$870,"&lt;="&amp;$B72,$AF$3:$AF$870,"&gt;="&amp;$B72)/INDEX('01_INPUTS'!$E$17:$E$31,MATCH(D$23,'01_INPUTS'!$B$17:$B$31,0)))</f>
        <v>1</v>
      </c>
      <c r="E72" s="61">
        <f>IF(INDEX('01_INPUTS'!$E$17:$E$31,MATCH(E$23,'01_INPUTS'!$B$17:$B$31,0))=0,IF(SUMIFS($AD$3:$AD$870,$AC$3:$AC$870,E$23,$AE$3:$AE$870,"&lt;="&amp;$B72,$AF$3:$AF$870,"&gt;="&amp;$B72)=0,0,9.99),SUMIFS($AD$3:$AD$870,$AC$3:$AC$870,E$23,$AE$3:$AE$870,"&lt;="&amp;$B72,$AF$3:$AF$870,"&gt;="&amp;$B72)/INDEX('01_INPUTS'!$E$17:$E$31,MATCH(E$23,'01_INPUTS'!$B$17:$B$31,0)))</f>
        <v>0</v>
      </c>
      <c r="F72" s="61">
        <f>IF(INDEX('01_INPUTS'!$E$17:$E$31,MATCH(F$23,'01_INPUTS'!$B$17:$B$31,0))=0,IF(SUMIFS($AD$3:$AD$870,$AC$3:$AC$870,F$23,$AE$3:$AE$870,"&lt;="&amp;$B72,$AF$3:$AF$870,"&gt;="&amp;$B72)=0,0,9.99),SUMIFS($AD$3:$AD$870,$AC$3:$AC$870,F$23,$AE$3:$AE$870,"&lt;="&amp;$B72,$AF$3:$AF$870,"&gt;="&amp;$B72)/INDEX('01_INPUTS'!$E$17:$E$31,MATCH(F$23,'01_INPUTS'!$B$17:$B$31,0)))</f>
        <v>0</v>
      </c>
      <c r="G72" s="61">
        <f>IF(INDEX('01_INPUTS'!$E$17:$E$31,MATCH(G$23,'01_INPUTS'!$B$17:$B$31,0))=0,IF(SUMIFS($AD$3:$AD$870,$AC$3:$AC$870,G$23,$AE$3:$AE$870,"&lt;="&amp;$B72,$AF$3:$AF$870,"&gt;="&amp;$B72)=0,0,9.99),SUMIFS($AD$3:$AD$870,$AC$3:$AC$870,G$23,$AE$3:$AE$870,"&lt;="&amp;$B72,$AF$3:$AF$870,"&gt;="&amp;$B72)/INDEX('01_INPUTS'!$E$17:$E$31,MATCH(G$23,'01_INPUTS'!$B$17:$B$31,0)))</f>
        <v>0</v>
      </c>
      <c r="H72" s="61">
        <f>IF(INDEX('01_INPUTS'!$E$17:$E$31,MATCH(H$23,'01_INPUTS'!$B$17:$B$31,0))=0,IF(SUMIFS($AD$3:$AD$870,$AC$3:$AC$870,H$23,$AE$3:$AE$870,"&lt;="&amp;$B72,$AF$3:$AF$870,"&gt;="&amp;$B72)=0,0,9.99),SUMIFS($AD$3:$AD$870,$AC$3:$AC$870,H$23,$AE$3:$AE$870,"&lt;="&amp;$B72,$AF$3:$AF$870,"&gt;="&amp;$B72)/INDEX('01_INPUTS'!$E$17:$E$31,MATCH(H$23,'01_INPUTS'!$B$17:$B$31,0)))</f>
        <v>1</v>
      </c>
      <c r="I72" s="61">
        <f>IF(INDEX('01_INPUTS'!$E$17:$E$31,MATCH(I$23,'01_INPUTS'!$B$17:$B$31,0))=0,IF(SUMIFS($AD$3:$AD$870,$AC$3:$AC$870,I$23,$AE$3:$AE$870,"&lt;="&amp;$B72,$AF$3:$AF$870,"&gt;="&amp;$B72)=0,0,9.99),SUMIFS($AD$3:$AD$870,$AC$3:$AC$870,I$23,$AE$3:$AE$870,"&lt;="&amp;$B72,$AF$3:$AF$870,"&gt;="&amp;$B72)/INDEX('01_INPUTS'!$E$17:$E$31,MATCH(I$23,'01_INPUTS'!$B$17:$B$31,0)))</f>
        <v>1.5</v>
      </c>
      <c r="J72" s="61">
        <f>IF(INDEX('01_INPUTS'!$E$17:$E$31,MATCH(J$23,'01_INPUTS'!$B$17:$B$31,0))=0,IF(SUMIFS($AD$3:$AD$870,$AC$3:$AC$870,J$23,$AE$3:$AE$870,"&lt;="&amp;$B72,$AF$3:$AF$870,"&gt;="&amp;$B72)=0,0,9.99),SUMIFS($AD$3:$AD$870,$AC$3:$AC$870,J$23,$AE$3:$AE$870,"&lt;="&amp;$B72,$AF$3:$AF$870,"&gt;="&amp;$B72)/INDEX('01_INPUTS'!$E$17:$E$31,MATCH(J$23,'01_INPUTS'!$B$17:$B$31,0)))</f>
        <v>2</v>
      </c>
      <c r="K72" s="61">
        <f>IF(INDEX('01_INPUTS'!$E$17:$E$31,MATCH(K$23,'01_INPUTS'!$B$17:$B$31,0))=0,IF(SUMIFS($AD$3:$AD$870,$AC$3:$AC$870,K$23,$AE$3:$AE$870,"&lt;="&amp;$B72,$AF$3:$AF$870,"&gt;="&amp;$B72)=0,0,9.99),SUMIFS($AD$3:$AD$870,$AC$3:$AC$870,K$23,$AE$3:$AE$870,"&lt;="&amp;$B72,$AF$3:$AF$870,"&gt;="&amp;$B72)/INDEX('01_INPUTS'!$E$17:$E$31,MATCH(K$23,'01_INPUTS'!$B$17:$B$31,0)))</f>
        <v>1.5</v>
      </c>
      <c r="L72" s="61">
        <f>IF(INDEX('01_INPUTS'!$E$17:$E$31,MATCH(L$23,'01_INPUTS'!$B$17:$B$31,0))=0,IF(SUMIFS($AD$3:$AD$870,$AC$3:$AC$870,L$23,$AE$3:$AE$870,"&lt;="&amp;$B72,$AF$3:$AF$870,"&gt;="&amp;$B72)=0,0,9.99),SUMIFS($AD$3:$AD$870,$AC$3:$AC$870,L$23,$AE$3:$AE$870,"&lt;="&amp;$B72,$AF$3:$AF$870,"&gt;="&amp;$B72)/INDEX('01_INPUTS'!$E$17:$E$31,MATCH(L$23,'01_INPUTS'!$B$17:$B$31,0)))</f>
        <v>1</v>
      </c>
      <c r="M72" s="61">
        <f>IF(INDEX('01_INPUTS'!$E$17:$E$31,MATCH(M$23,'01_INPUTS'!$B$17:$B$31,0))=0,IF(SUMIFS($AD$3:$AD$870,$AC$3:$AC$870,M$23,$AE$3:$AE$870,"&lt;="&amp;$B72,$AF$3:$AF$870,"&gt;="&amp;$B72)=0,0,9.99),SUMIFS($AD$3:$AD$870,$AC$3:$AC$870,M$23,$AE$3:$AE$870,"&lt;="&amp;$B72,$AF$3:$AF$870,"&gt;="&amp;$B72)/INDEX('01_INPUTS'!$E$17:$E$31,MATCH(M$23,'01_INPUTS'!$B$17:$B$31,0)))</f>
        <v>1</v>
      </c>
      <c r="N72" s="61">
        <f>IF(INDEX('01_INPUTS'!$E$17:$E$31,MATCH(N$23,'01_INPUTS'!$B$17:$B$31,0))=0,IF(SUMIFS($AD$3:$AD$870,$AC$3:$AC$870,N$23,$AE$3:$AE$870,"&lt;="&amp;$B72,$AF$3:$AF$870,"&gt;="&amp;$B72)=0,0,9.99),SUMIFS($AD$3:$AD$870,$AC$3:$AC$870,N$23,$AE$3:$AE$870,"&lt;="&amp;$B72,$AF$3:$AF$870,"&gt;="&amp;$B72)/INDEX('01_INPUTS'!$E$17:$E$31,MATCH(N$23,'01_INPUTS'!$B$17:$B$31,0)))</f>
        <v>1</v>
      </c>
      <c r="O72" s="61">
        <f>IF(INDEX('01_INPUTS'!$E$17:$E$31,MATCH(O$23,'01_INPUTS'!$B$17:$B$31,0))=0,IF(SUMIFS($AD$3:$AD$870,$AC$3:$AC$870,O$23,$AE$3:$AE$870,"&lt;="&amp;$B72,$AF$3:$AF$870,"&gt;="&amp;$B72)=0,0,9.99),SUMIFS($AD$3:$AD$870,$AC$3:$AC$870,O$23,$AE$3:$AE$870,"&lt;="&amp;$B72,$AF$3:$AF$870,"&gt;="&amp;$B72)/INDEX('01_INPUTS'!$E$17:$E$31,MATCH(O$23,'01_INPUTS'!$B$17:$B$31,0)))</f>
        <v>0</v>
      </c>
      <c r="P72" s="61">
        <f>IF(INDEX('01_INPUTS'!$E$17:$E$31,MATCH(P$23,'01_INPUTS'!$B$17:$B$31,0))=0,IF(SUMIFS($AD$3:$AD$870,$AC$3:$AC$870,P$23,$AE$3:$AE$870,"&lt;="&amp;$B72,$AF$3:$AF$870,"&gt;="&amp;$B72)=0,0,9.99),SUMIFS($AD$3:$AD$870,$AC$3:$AC$870,P$23,$AE$3:$AE$870,"&lt;="&amp;$B72,$AF$3:$AF$870,"&gt;="&amp;$B72)/INDEX('01_INPUTS'!$E$17:$E$31,MATCH(P$23,'01_INPUTS'!$B$17:$B$31,0)))</f>
        <v>6</v>
      </c>
      <c r="Q72" s="61">
        <f>IF(INDEX('01_INPUTS'!$E$17:$E$31,MATCH(Q$23,'01_INPUTS'!$B$17:$B$31,0))=0,IF(SUMIFS($AD$3:$AD$870,$AC$3:$AC$870,Q$23,$AE$3:$AE$870,"&lt;="&amp;$B72,$AF$3:$AF$870,"&gt;="&amp;$B72)=0,0,9.99),SUMIFS($AD$3:$AD$870,$AC$3:$AC$870,Q$23,$AE$3:$AE$870,"&lt;="&amp;$B72,$AF$3:$AF$870,"&gt;="&amp;$B72)/INDEX('01_INPUTS'!$E$17:$E$31,MATCH(Q$23,'01_INPUTS'!$B$17:$B$31,0)))</f>
        <v>0.5</v>
      </c>
      <c r="R72" s="61">
        <f>IF(INDEX('01_INPUTS'!$E$17:$E$31,MATCH(R$23,'01_INPUTS'!$B$17:$B$31,0))=0,IF(SUMIFS($AD$3:$AD$870,$AC$3:$AC$870,R$23,$AE$3:$AE$870,"&lt;="&amp;$B72,$AF$3:$AF$870,"&gt;="&amp;$B72)=0,0,9.99),SUMIFS($AD$3:$AD$870,$AC$3:$AC$870,R$23,$AE$3:$AE$870,"&lt;="&amp;$B72,$AF$3:$AF$870,"&gt;="&amp;$B72)/INDEX('01_INPUTS'!$E$17:$E$31,MATCH(R$23,'01_INPUTS'!$B$17:$B$31,0)))</f>
        <v>0</v>
      </c>
      <c r="S72">
        <f t="shared" si="5"/>
        <v>21.5</v>
      </c>
      <c r="T72">
        <f>SUM('01_INPUTS'!$E$17:$E$31)</f>
        <v>20</v>
      </c>
      <c r="U72" s="61">
        <f t="shared" si="6"/>
        <v>1.075</v>
      </c>
      <c r="V72">
        <f t="shared" si="7"/>
        <v>4</v>
      </c>
      <c r="W72" t="str">
        <f t="shared" si="8"/>
        <v>ROJO</v>
      </c>
      <c r="AA72" s="51" t="str">
        <f>'Sites Master'!$B$3</f>
        <v>Site 02</v>
      </c>
      <c r="AB72" s="51" t="str">
        <f>'Phase-Resource Allocation'!$B$71</f>
        <v>Design Adaptation</v>
      </c>
      <c r="AC72" s="51" t="str">
        <f>'Phase-Resource Allocation'!$C$71</f>
        <v>Testing Lead</v>
      </c>
      <c r="AD72" s="60">
        <f>'Phase-Resource Allocation'!$D$71</f>
        <v>1</v>
      </c>
      <c r="AE72" s="51">
        <f>IFERROR(INDEX('02_SCHEDULE'!$K$5:$K$124,MATCH(AA72&amp;"|"&amp;AB72,'02_SCHEDULE'!$M$5:$M$124,0)),0)</f>
        <v>5</v>
      </c>
      <c r="AF72" s="51">
        <f>IFERROR(INDEX('02_SCHEDULE'!$L$5:$L$124,MATCH(AA72&amp;"|"&amp;AB72,'02_SCHEDULE'!$M$5:$M$124,0)),0)</f>
        <v>5</v>
      </c>
      <c r="AG72" s="51">
        <f t="shared" si="9"/>
        <v>1</v>
      </c>
    </row>
    <row r="73" spans="2:33" x14ac:dyDescent="0.3">
      <c r="B73">
        <f>50</f>
        <v>50</v>
      </c>
      <c r="C73" s="55">
        <f>'01_INPUTS'!$C$7+(50-1)*7</f>
        <v>46594</v>
      </c>
      <c r="D73" s="61">
        <f>IF(INDEX('01_INPUTS'!$E$17:$E$31,MATCH(D$23,'01_INPUTS'!$B$17:$B$31,0))=0,IF(SUMIFS($AD$3:$AD$870,$AC$3:$AC$870,D$23,$AE$3:$AE$870,"&lt;="&amp;$B73,$AF$3:$AF$870,"&gt;="&amp;$B73)=0,0,9.99),SUMIFS($AD$3:$AD$870,$AC$3:$AC$870,D$23,$AE$3:$AE$870,"&lt;="&amp;$B73,$AF$3:$AF$870,"&gt;="&amp;$B73)/INDEX('01_INPUTS'!$E$17:$E$31,MATCH(D$23,'01_INPUTS'!$B$17:$B$31,0)))</f>
        <v>1</v>
      </c>
      <c r="E73" s="61">
        <f>IF(INDEX('01_INPUTS'!$E$17:$E$31,MATCH(E$23,'01_INPUTS'!$B$17:$B$31,0))=0,IF(SUMIFS($AD$3:$AD$870,$AC$3:$AC$870,E$23,$AE$3:$AE$870,"&lt;="&amp;$B73,$AF$3:$AF$870,"&gt;="&amp;$B73)=0,0,9.99),SUMIFS($AD$3:$AD$870,$AC$3:$AC$870,E$23,$AE$3:$AE$870,"&lt;="&amp;$B73,$AF$3:$AF$870,"&gt;="&amp;$B73)/INDEX('01_INPUTS'!$E$17:$E$31,MATCH(E$23,'01_INPUTS'!$B$17:$B$31,0)))</f>
        <v>0</v>
      </c>
      <c r="F73" s="61">
        <f>IF(INDEX('01_INPUTS'!$E$17:$E$31,MATCH(F$23,'01_INPUTS'!$B$17:$B$31,0))=0,IF(SUMIFS($AD$3:$AD$870,$AC$3:$AC$870,F$23,$AE$3:$AE$870,"&lt;="&amp;$B73,$AF$3:$AF$870,"&gt;="&amp;$B73)=0,0,9.99),SUMIFS($AD$3:$AD$870,$AC$3:$AC$870,F$23,$AE$3:$AE$870,"&lt;="&amp;$B73,$AF$3:$AF$870,"&gt;="&amp;$B73)/INDEX('01_INPUTS'!$E$17:$E$31,MATCH(F$23,'01_INPUTS'!$B$17:$B$31,0)))</f>
        <v>0</v>
      </c>
      <c r="G73" s="61">
        <f>IF(INDEX('01_INPUTS'!$E$17:$E$31,MATCH(G$23,'01_INPUTS'!$B$17:$B$31,0))=0,IF(SUMIFS($AD$3:$AD$870,$AC$3:$AC$870,G$23,$AE$3:$AE$870,"&lt;="&amp;$B73,$AF$3:$AF$870,"&gt;="&amp;$B73)=0,0,9.99),SUMIFS($AD$3:$AD$870,$AC$3:$AC$870,G$23,$AE$3:$AE$870,"&lt;="&amp;$B73,$AF$3:$AF$870,"&gt;="&amp;$B73)/INDEX('01_INPUTS'!$E$17:$E$31,MATCH(G$23,'01_INPUTS'!$B$17:$B$31,0)))</f>
        <v>0</v>
      </c>
      <c r="H73" s="61">
        <f>IF(INDEX('01_INPUTS'!$E$17:$E$31,MATCH(H$23,'01_INPUTS'!$B$17:$B$31,0))=0,IF(SUMIFS($AD$3:$AD$870,$AC$3:$AC$870,H$23,$AE$3:$AE$870,"&lt;="&amp;$B73,$AF$3:$AF$870,"&gt;="&amp;$B73)=0,0,9.99),SUMIFS($AD$3:$AD$870,$AC$3:$AC$870,H$23,$AE$3:$AE$870,"&lt;="&amp;$B73,$AF$3:$AF$870,"&gt;="&amp;$B73)/INDEX('01_INPUTS'!$E$17:$E$31,MATCH(H$23,'01_INPUTS'!$B$17:$B$31,0)))</f>
        <v>1</v>
      </c>
      <c r="I73" s="61">
        <f>IF(INDEX('01_INPUTS'!$E$17:$E$31,MATCH(I$23,'01_INPUTS'!$B$17:$B$31,0))=0,IF(SUMIFS($AD$3:$AD$870,$AC$3:$AC$870,I$23,$AE$3:$AE$870,"&lt;="&amp;$B73,$AF$3:$AF$870,"&gt;="&amp;$B73)=0,0,9.99),SUMIFS($AD$3:$AD$870,$AC$3:$AC$870,I$23,$AE$3:$AE$870,"&lt;="&amp;$B73,$AF$3:$AF$870,"&gt;="&amp;$B73)/INDEX('01_INPUTS'!$E$17:$E$31,MATCH(I$23,'01_INPUTS'!$B$17:$B$31,0)))</f>
        <v>1.5</v>
      </c>
      <c r="J73" s="61">
        <f>IF(INDEX('01_INPUTS'!$E$17:$E$31,MATCH(J$23,'01_INPUTS'!$B$17:$B$31,0))=0,IF(SUMIFS($AD$3:$AD$870,$AC$3:$AC$870,J$23,$AE$3:$AE$870,"&lt;="&amp;$B73,$AF$3:$AF$870,"&gt;="&amp;$B73)=0,0,9.99),SUMIFS($AD$3:$AD$870,$AC$3:$AC$870,J$23,$AE$3:$AE$870,"&lt;="&amp;$B73,$AF$3:$AF$870,"&gt;="&amp;$B73)/INDEX('01_INPUTS'!$E$17:$E$31,MATCH(J$23,'01_INPUTS'!$B$17:$B$31,0)))</f>
        <v>2</v>
      </c>
      <c r="K73" s="61">
        <f>IF(INDEX('01_INPUTS'!$E$17:$E$31,MATCH(K$23,'01_INPUTS'!$B$17:$B$31,0))=0,IF(SUMIFS($AD$3:$AD$870,$AC$3:$AC$870,K$23,$AE$3:$AE$870,"&lt;="&amp;$B73,$AF$3:$AF$870,"&gt;="&amp;$B73)=0,0,9.99),SUMIFS($AD$3:$AD$870,$AC$3:$AC$870,K$23,$AE$3:$AE$870,"&lt;="&amp;$B73,$AF$3:$AF$870,"&gt;="&amp;$B73)/INDEX('01_INPUTS'!$E$17:$E$31,MATCH(K$23,'01_INPUTS'!$B$17:$B$31,0)))</f>
        <v>1.5</v>
      </c>
      <c r="L73" s="61">
        <f>IF(INDEX('01_INPUTS'!$E$17:$E$31,MATCH(L$23,'01_INPUTS'!$B$17:$B$31,0))=0,IF(SUMIFS($AD$3:$AD$870,$AC$3:$AC$870,L$23,$AE$3:$AE$870,"&lt;="&amp;$B73,$AF$3:$AF$870,"&gt;="&amp;$B73)=0,0,9.99),SUMIFS($AD$3:$AD$870,$AC$3:$AC$870,L$23,$AE$3:$AE$870,"&lt;="&amp;$B73,$AF$3:$AF$870,"&gt;="&amp;$B73)/INDEX('01_INPUTS'!$E$17:$E$31,MATCH(L$23,'01_INPUTS'!$B$17:$B$31,0)))</f>
        <v>1</v>
      </c>
      <c r="M73" s="61">
        <f>IF(INDEX('01_INPUTS'!$E$17:$E$31,MATCH(M$23,'01_INPUTS'!$B$17:$B$31,0))=0,IF(SUMIFS($AD$3:$AD$870,$AC$3:$AC$870,M$23,$AE$3:$AE$870,"&lt;="&amp;$B73,$AF$3:$AF$870,"&gt;="&amp;$B73)=0,0,9.99),SUMIFS($AD$3:$AD$870,$AC$3:$AC$870,M$23,$AE$3:$AE$870,"&lt;="&amp;$B73,$AF$3:$AF$870,"&gt;="&amp;$B73)/INDEX('01_INPUTS'!$E$17:$E$31,MATCH(M$23,'01_INPUTS'!$B$17:$B$31,0)))</f>
        <v>1</v>
      </c>
      <c r="N73" s="61">
        <f>IF(INDEX('01_INPUTS'!$E$17:$E$31,MATCH(N$23,'01_INPUTS'!$B$17:$B$31,0))=0,IF(SUMIFS($AD$3:$AD$870,$AC$3:$AC$870,N$23,$AE$3:$AE$870,"&lt;="&amp;$B73,$AF$3:$AF$870,"&gt;="&amp;$B73)=0,0,9.99),SUMIFS($AD$3:$AD$870,$AC$3:$AC$870,N$23,$AE$3:$AE$870,"&lt;="&amp;$B73,$AF$3:$AF$870,"&gt;="&amp;$B73)/INDEX('01_INPUTS'!$E$17:$E$31,MATCH(N$23,'01_INPUTS'!$B$17:$B$31,0)))</f>
        <v>1</v>
      </c>
      <c r="O73" s="61">
        <f>IF(INDEX('01_INPUTS'!$E$17:$E$31,MATCH(O$23,'01_INPUTS'!$B$17:$B$31,0))=0,IF(SUMIFS($AD$3:$AD$870,$AC$3:$AC$870,O$23,$AE$3:$AE$870,"&lt;="&amp;$B73,$AF$3:$AF$870,"&gt;="&amp;$B73)=0,0,9.99),SUMIFS($AD$3:$AD$870,$AC$3:$AC$870,O$23,$AE$3:$AE$870,"&lt;="&amp;$B73,$AF$3:$AF$870,"&gt;="&amp;$B73)/INDEX('01_INPUTS'!$E$17:$E$31,MATCH(O$23,'01_INPUTS'!$B$17:$B$31,0)))</f>
        <v>0</v>
      </c>
      <c r="P73" s="61">
        <f>IF(INDEX('01_INPUTS'!$E$17:$E$31,MATCH(P$23,'01_INPUTS'!$B$17:$B$31,0))=0,IF(SUMIFS($AD$3:$AD$870,$AC$3:$AC$870,P$23,$AE$3:$AE$870,"&lt;="&amp;$B73,$AF$3:$AF$870,"&gt;="&amp;$B73)=0,0,9.99),SUMIFS($AD$3:$AD$870,$AC$3:$AC$870,P$23,$AE$3:$AE$870,"&lt;="&amp;$B73,$AF$3:$AF$870,"&gt;="&amp;$B73)/INDEX('01_INPUTS'!$E$17:$E$31,MATCH(P$23,'01_INPUTS'!$B$17:$B$31,0)))</f>
        <v>6</v>
      </c>
      <c r="Q73" s="61">
        <f>IF(INDEX('01_INPUTS'!$E$17:$E$31,MATCH(Q$23,'01_INPUTS'!$B$17:$B$31,0))=0,IF(SUMIFS($AD$3:$AD$870,$AC$3:$AC$870,Q$23,$AE$3:$AE$870,"&lt;="&amp;$B73,$AF$3:$AF$870,"&gt;="&amp;$B73)=0,0,9.99),SUMIFS($AD$3:$AD$870,$AC$3:$AC$870,Q$23,$AE$3:$AE$870,"&lt;="&amp;$B73,$AF$3:$AF$870,"&gt;="&amp;$B73)/INDEX('01_INPUTS'!$E$17:$E$31,MATCH(Q$23,'01_INPUTS'!$B$17:$B$31,0)))</f>
        <v>0.5</v>
      </c>
      <c r="R73" s="61">
        <f>IF(INDEX('01_INPUTS'!$E$17:$E$31,MATCH(R$23,'01_INPUTS'!$B$17:$B$31,0))=0,IF(SUMIFS($AD$3:$AD$870,$AC$3:$AC$870,R$23,$AE$3:$AE$870,"&lt;="&amp;$B73,$AF$3:$AF$870,"&gt;="&amp;$B73)=0,0,9.99),SUMIFS($AD$3:$AD$870,$AC$3:$AC$870,R$23,$AE$3:$AE$870,"&lt;="&amp;$B73,$AF$3:$AF$870,"&gt;="&amp;$B73)/INDEX('01_INPUTS'!$E$17:$E$31,MATCH(R$23,'01_INPUTS'!$B$17:$B$31,0)))</f>
        <v>0</v>
      </c>
      <c r="S73">
        <f t="shared" si="5"/>
        <v>21.5</v>
      </c>
      <c r="T73">
        <f>SUM('01_INPUTS'!$E$17:$E$31)</f>
        <v>20</v>
      </c>
      <c r="U73" s="61">
        <f t="shared" si="6"/>
        <v>1.075</v>
      </c>
      <c r="V73">
        <f t="shared" si="7"/>
        <v>4</v>
      </c>
      <c r="W73" t="str">
        <f t="shared" si="8"/>
        <v>ROJO</v>
      </c>
      <c r="AA73" s="51" t="str">
        <f>'Sites Master'!$B$3</f>
        <v>Site 02</v>
      </c>
      <c r="AB73" s="51" t="str">
        <f>'Phase-Resource Allocation'!$B$72</f>
        <v>Design Adaptation</v>
      </c>
      <c r="AC73" s="51" t="str">
        <f>'Phase-Resource Allocation'!$C$72</f>
        <v>Functional Lead</v>
      </c>
      <c r="AD73" s="60">
        <f>'Phase-Resource Allocation'!$D$72</f>
        <v>1</v>
      </c>
      <c r="AE73" s="51">
        <f>IFERROR(INDEX('02_SCHEDULE'!$K$5:$K$124,MATCH(AA73&amp;"|"&amp;AB73,'02_SCHEDULE'!$M$5:$M$124,0)),0)</f>
        <v>5</v>
      </c>
      <c r="AF73" s="51">
        <f>IFERROR(INDEX('02_SCHEDULE'!$L$5:$L$124,MATCH(AA73&amp;"|"&amp;AB73,'02_SCHEDULE'!$M$5:$M$124,0)),0)</f>
        <v>5</v>
      </c>
      <c r="AG73" s="51">
        <f t="shared" si="9"/>
        <v>1</v>
      </c>
    </row>
    <row r="74" spans="2:33" x14ac:dyDescent="0.3">
      <c r="B74">
        <f>51</f>
        <v>51</v>
      </c>
      <c r="C74" s="55">
        <f>'01_INPUTS'!$C$7+(51-1)*7</f>
        <v>46601</v>
      </c>
      <c r="D74" s="61">
        <f>IF(INDEX('01_INPUTS'!$E$17:$E$31,MATCH(D$23,'01_INPUTS'!$B$17:$B$31,0))=0,IF(SUMIFS($AD$3:$AD$870,$AC$3:$AC$870,D$23,$AE$3:$AE$870,"&lt;="&amp;$B74,$AF$3:$AF$870,"&gt;="&amp;$B74)=0,0,9.99),SUMIFS($AD$3:$AD$870,$AC$3:$AC$870,D$23,$AE$3:$AE$870,"&lt;="&amp;$B74,$AF$3:$AF$870,"&gt;="&amp;$B74)/INDEX('01_INPUTS'!$E$17:$E$31,MATCH(D$23,'01_INPUTS'!$B$17:$B$31,0)))</f>
        <v>0.5</v>
      </c>
      <c r="E74" s="61">
        <f>IF(INDEX('01_INPUTS'!$E$17:$E$31,MATCH(E$23,'01_INPUTS'!$B$17:$B$31,0))=0,IF(SUMIFS($AD$3:$AD$870,$AC$3:$AC$870,E$23,$AE$3:$AE$870,"&lt;="&amp;$B74,$AF$3:$AF$870,"&gt;="&amp;$B74)=0,0,9.99),SUMIFS($AD$3:$AD$870,$AC$3:$AC$870,E$23,$AE$3:$AE$870,"&lt;="&amp;$B74,$AF$3:$AF$870,"&gt;="&amp;$B74)/INDEX('01_INPUTS'!$E$17:$E$31,MATCH(E$23,'01_INPUTS'!$B$17:$B$31,0)))</f>
        <v>0</v>
      </c>
      <c r="F74" s="61">
        <f>IF(INDEX('01_INPUTS'!$E$17:$E$31,MATCH(F$23,'01_INPUTS'!$B$17:$B$31,0))=0,IF(SUMIFS($AD$3:$AD$870,$AC$3:$AC$870,F$23,$AE$3:$AE$870,"&lt;="&amp;$B74,$AF$3:$AF$870,"&gt;="&amp;$B74)=0,0,9.99),SUMIFS($AD$3:$AD$870,$AC$3:$AC$870,F$23,$AE$3:$AE$870,"&lt;="&amp;$B74,$AF$3:$AF$870,"&gt;="&amp;$B74)/INDEX('01_INPUTS'!$E$17:$E$31,MATCH(F$23,'01_INPUTS'!$B$17:$B$31,0)))</f>
        <v>0</v>
      </c>
      <c r="G74" s="61">
        <f>IF(INDEX('01_INPUTS'!$E$17:$E$31,MATCH(G$23,'01_INPUTS'!$B$17:$B$31,0))=0,IF(SUMIFS($AD$3:$AD$870,$AC$3:$AC$870,G$23,$AE$3:$AE$870,"&lt;="&amp;$B74,$AF$3:$AF$870,"&gt;="&amp;$B74)=0,0,9.99),SUMIFS($AD$3:$AD$870,$AC$3:$AC$870,G$23,$AE$3:$AE$870,"&lt;="&amp;$B74,$AF$3:$AF$870,"&gt;="&amp;$B74)/INDEX('01_INPUTS'!$E$17:$E$31,MATCH(G$23,'01_INPUTS'!$B$17:$B$31,0)))</f>
        <v>0</v>
      </c>
      <c r="H74" s="61">
        <f>IF(INDEX('01_INPUTS'!$E$17:$E$31,MATCH(H$23,'01_INPUTS'!$B$17:$B$31,0))=0,IF(SUMIFS($AD$3:$AD$870,$AC$3:$AC$870,H$23,$AE$3:$AE$870,"&lt;="&amp;$B74,$AF$3:$AF$870,"&gt;="&amp;$B74)=0,0,9.99),SUMIFS($AD$3:$AD$870,$AC$3:$AC$870,H$23,$AE$3:$AE$870,"&lt;="&amp;$B74,$AF$3:$AF$870,"&gt;="&amp;$B74)/INDEX('01_INPUTS'!$E$17:$E$31,MATCH(H$23,'01_INPUTS'!$B$17:$B$31,0)))</f>
        <v>0.5</v>
      </c>
      <c r="I74" s="61">
        <f>IF(INDEX('01_INPUTS'!$E$17:$E$31,MATCH(I$23,'01_INPUTS'!$B$17:$B$31,0))=0,IF(SUMIFS($AD$3:$AD$870,$AC$3:$AC$870,I$23,$AE$3:$AE$870,"&lt;="&amp;$B74,$AF$3:$AF$870,"&gt;="&amp;$B74)=0,0,9.99),SUMIFS($AD$3:$AD$870,$AC$3:$AC$870,I$23,$AE$3:$AE$870,"&lt;="&amp;$B74,$AF$3:$AF$870,"&gt;="&amp;$B74)/INDEX('01_INPUTS'!$E$17:$E$31,MATCH(I$23,'01_INPUTS'!$B$17:$B$31,0)))</f>
        <v>1.5</v>
      </c>
      <c r="J74" s="61">
        <f>IF(INDEX('01_INPUTS'!$E$17:$E$31,MATCH(J$23,'01_INPUTS'!$B$17:$B$31,0))=0,IF(SUMIFS($AD$3:$AD$870,$AC$3:$AC$870,J$23,$AE$3:$AE$870,"&lt;="&amp;$B74,$AF$3:$AF$870,"&gt;="&amp;$B74)=0,0,9.99),SUMIFS($AD$3:$AD$870,$AC$3:$AC$870,J$23,$AE$3:$AE$870,"&lt;="&amp;$B74,$AF$3:$AF$870,"&gt;="&amp;$B74)/INDEX('01_INPUTS'!$E$17:$E$31,MATCH(J$23,'01_INPUTS'!$B$17:$B$31,0)))</f>
        <v>1</v>
      </c>
      <c r="K74" s="61">
        <f>IF(INDEX('01_INPUTS'!$E$17:$E$31,MATCH(K$23,'01_INPUTS'!$B$17:$B$31,0))=0,IF(SUMIFS($AD$3:$AD$870,$AC$3:$AC$870,K$23,$AE$3:$AE$870,"&lt;="&amp;$B74,$AF$3:$AF$870,"&gt;="&amp;$B74)=0,0,9.99),SUMIFS($AD$3:$AD$870,$AC$3:$AC$870,K$23,$AE$3:$AE$870,"&lt;="&amp;$B74,$AF$3:$AF$870,"&gt;="&amp;$B74)/INDEX('01_INPUTS'!$E$17:$E$31,MATCH(K$23,'01_INPUTS'!$B$17:$B$31,0)))</f>
        <v>1.5</v>
      </c>
      <c r="L74" s="61">
        <f>IF(INDEX('01_INPUTS'!$E$17:$E$31,MATCH(L$23,'01_INPUTS'!$B$17:$B$31,0))=0,IF(SUMIFS($AD$3:$AD$870,$AC$3:$AC$870,L$23,$AE$3:$AE$870,"&lt;="&amp;$B74,$AF$3:$AF$870,"&gt;="&amp;$B74)=0,0,9.99),SUMIFS($AD$3:$AD$870,$AC$3:$AC$870,L$23,$AE$3:$AE$870,"&lt;="&amp;$B74,$AF$3:$AF$870,"&gt;="&amp;$B74)/INDEX('01_INPUTS'!$E$17:$E$31,MATCH(L$23,'01_INPUTS'!$B$17:$B$31,0)))</f>
        <v>0.5</v>
      </c>
      <c r="M74" s="61">
        <f>IF(INDEX('01_INPUTS'!$E$17:$E$31,MATCH(M$23,'01_INPUTS'!$B$17:$B$31,0))=0,IF(SUMIFS($AD$3:$AD$870,$AC$3:$AC$870,M$23,$AE$3:$AE$870,"&lt;="&amp;$B74,$AF$3:$AF$870,"&gt;="&amp;$B74)=0,0,9.99),SUMIFS($AD$3:$AD$870,$AC$3:$AC$870,M$23,$AE$3:$AE$870,"&lt;="&amp;$B74,$AF$3:$AF$870,"&gt;="&amp;$B74)/INDEX('01_INPUTS'!$E$17:$E$31,MATCH(M$23,'01_INPUTS'!$B$17:$B$31,0)))</f>
        <v>0.5</v>
      </c>
      <c r="N74" s="61">
        <f>IF(INDEX('01_INPUTS'!$E$17:$E$31,MATCH(N$23,'01_INPUTS'!$B$17:$B$31,0))=0,IF(SUMIFS($AD$3:$AD$870,$AC$3:$AC$870,N$23,$AE$3:$AE$870,"&lt;="&amp;$B74,$AF$3:$AF$870,"&gt;="&amp;$B74)=0,0,9.99),SUMIFS($AD$3:$AD$870,$AC$3:$AC$870,N$23,$AE$3:$AE$870,"&lt;="&amp;$B74,$AF$3:$AF$870,"&gt;="&amp;$B74)/INDEX('01_INPUTS'!$E$17:$E$31,MATCH(N$23,'01_INPUTS'!$B$17:$B$31,0)))</f>
        <v>0.5</v>
      </c>
      <c r="O74" s="61">
        <f>IF(INDEX('01_INPUTS'!$E$17:$E$31,MATCH(O$23,'01_INPUTS'!$B$17:$B$31,0))=0,IF(SUMIFS($AD$3:$AD$870,$AC$3:$AC$870,O$23,$AE$3:$AE$870,"&lt;="&amp;$B74,$AF$3:$AF$870,"&gt;="&amp;$B74)=0,0,9.99),SUMIFS($AD$3:$AD$870,$AC$3:$AC$870,O$23,$AE$3:$AE$870,"&lt;="&amp;$B74,$AF$3:$AF$870,"&gt;="&amp;$B74)/INDEX('01_INPUTS'!$E$17:$E$31,MATCH(O$23,'01_INPUTS'!$B$17:$B$31,0)))</f>
        <v>0</v>
      </c>
      <c r="P74" s="61">
        <f>IF(INDEX('01_INPUTS'!$E$17:$E$31,MATCH(P$23,'01_INPUTS'!$B$17:$B$31,0))=0,IF(SUMIFS($AD$3:$AD$870,$AC$3:$AC$870,P$23,$AE$3:$AE$870,"&lt;="&amp;$B74,$AF$3:$AF$870,"&gt;="&amp;$B74)=0,0,9.99),SUMIFS($AD$3:$AD$870,$AC$3:$AC$870,P$23,$AE$3:$AE$870,"&lt;="&amp;$B74,$AF$3:$AF$870,"&gt;="&amp;$B74)/INDEX('01_INPUTS'!$E$17:$E$31,MATCH(P$23,'01_INPUTS'!$B$17:$B$31,0)))</f>
        <v>3</v>
      </c>
      <c r="Q74" s="61">
        <f>IF(INDEX('01_INPUTS'!$E$17:$E$31,MATCH(Q$23,'01_INPUTS'!$B$17:$B$31,0))=0,IF(SUMIFS($AD$3:$AD$870,$AC$3:$AC$870,Q$23,$AE$3:$AE$870,"&lt;="&amp;$B74,$AF$3:$AF$870,"&gt;="&amp;$B74)=0,0,9.99),SUMIFS($AD$3:$AD$870,$AC$3:$AC$870,Q$23,$AE$3:$AE$870,"&lt;="&amp;$B74,$AF$3:$AF$870,"&gt;="&amp;$B74)/INDEX('01_INPUTS'!$E$17:$E$31,MATCH(Q$23,'01_INPUTS'!$B$17:$B$31,0)))</f>
        <v>0.25</v>
      </c>
      <c r="R74" s="61">
        <f>IF(INDEX('01_INPUTS'!$E$17:$E$31,MATCH(R$23,'01_INPUTS'!$B$17:$B$31,0))=0,IF(SUMIFS($AD$3:$AD$870,$AC$3:$AC$870,R$23,$AE$3:$AE$870,"&lt;="&amp;$B74,$AF$3:$AF$870,"&gt;="&amp;$B74)=0,0,9.99),SUMIFS($AD$3:$AD$870,$AC$3:$AC$870,R$23,$AE$3:$AE$870,"&lt;="&amp;$B74,$AF$3:$AF$870,"&gt;="&amp;$B74)/INDEX('01_INPUTS'!$E$17:$E$31,MATCH(R$23,'01_INPUTS'!$B$17:$B$31,0)))</f>
        <v>0</v>
      </c>
      <c r="S74">
        <f t="shared" si="5"/>
        <v>13</v>
      </c>
      <c r="T74">
        <f>SUM('01_INPUTS'!$E$17:$E$31)</f>
        <v>20</v>
      </c>
      <c r="U74" s="61">
        <f t="shared" si="6"/>
        <v>0.65</v>
      </c>
      <c r="V74">
        <f t="shared" si="7"/>
        <v>3</v>
      </c>
      <c r="W74" t="str">
        <f t="shared" si="8"/>
        <v>ROJO</v>
      </c>
      <c r="AA74" s="51" t="str">
        <f>'Sites Master'!$B$3</f>
        <v>Site 02</v>
      </c>
      <c r="AB74" s="51" t="str">
        <f>'Phase-Resource Allocation'!$B$73</f>
        <v>Design Adaptation</v>
      </c>
      <c r="AC74" s="51" t="str">
        <f>'Phase-Resource Allocation'!$C$73</f>
        <v>Trainers</v>
      </c>
      <c r="AD74" s="60">
        <f>'Phase-Resource Allocation'!$D$73</f>
        <v>1</v>
      </c>
      <c r="AE74" s="51">
        <f>IFERROR(INDEX('02_SCHEDULE'!$K$5:$K$124,MATCH(AA74&amp;"|"&amp;AB74,'02_SCHEDULE'!$M$5:$M$124,0)),0)</f>
        <v>5</v>
      </c>
      <c r="AF74" s="51">
        <f>IFERROR(INDEX('02_SCHEDULE'!$L$5:$L$124,MATCH(AA74&amp;"|"&amp;AB74,'02_SCHEDULE'!$M$5:$M$124,0)),0)</f>
        <v>5</v>
      </c>
      <c r="AG74" s="51">
        <f t="shared" si="9"/>
        <v>1</v>
      </c>
    </row>
    <row r="75" spans="2:33" x14ac:dyDescent="0.3">
      <c r="B75">
        <f>52</f>
        <v>52</v>
      </c>
      <c r="C75" s="55">
        <f>'01_INPUTS'!$C$7+(52-1)*7</f>
        <v>46608</v>
      </c>
      <c r="D75" s="61">
        <f>IF(INDEX('01_INPUTS'!$E$17:$E$31,MATCH(D$23,'01_INPUTS'!$B$17:$B$31,0))=0,IF(SUMIFS($AD$3:$AD$870,$AC$3:$AC$870,D$23,$AE$3:$AE$870,"&lt;="&amp;$B75,$AF$3:$AF$870,"&gt;="&amp;$B75)=0,0,9.99),SUMIFS($AD$3:$AD$870,$AC$3:$AC$870,D$23,$AE$3:$AE$870,"&lt;="&amp;$B75,$AF$3:$AF$870,"&gt;="&amp;$B75)/INDEX('01_INPUTS'!$E$17:$E$31,MATCH(D$23,'01_INPUTS'!$B$17:$B$31,0)))</f>
        <v>0</v>
      </c>
      <c r="E75" s="61">
        <f>IF(INDEX('01_INPUTS'!$E$17:$E$31,MATCH(E$23,'01_INPUTS'!$B$17:$B$31,0))=0,IF(SUMIFS($AD$3:$AD$870,$AC$3:$AC$870,E$23,$AE$3:$AE$870,"&lt;="&amp;$B75,$AF$3:$AF$870,"&gt;="&amp;$B75)=0,0,9.99),SUMIFS($AD$3:$AD$870,$AC$3:$AC$870,E$23,$AE$3:$AE$870,"&lt;="&amp;$B75,$AF$3:$AF$870,"&gt;="&amp;$B75)/INDEX('01_INPUTS'!$E$17:$E$31,MATCH(E$23,'01_INPUTS'!$B$17:$B$31,0)))</f>
        <v>0</v>
      </c>
      <c r="F75" s="61">
        <f>IF(INDEX('01_INPUTS'!$E$17:$E$31,MATCH(F$23,'01_INPUTS'!$B$17:$B$31,0))=0,IF(SUMIFS($AD$3:$AD$870,$AC$3:$AC$870,F$23,$AE$3:$AE$870,"&lt;="&amp;$B75,$AF$3:$AF$870,"&gt;="&amp;$B75)=0,0,9.99),SUMIFS($AD$3:$AD$870,$AC$3:$AC$870,F$23,$AE$3:$AE$870,"&lt;="&amp;$B75,$AF$3:$AF$870,"&gt;="&amp;$B75)/INDEX('01_INPUTS'!$E$17:$E$31,MATCH(F$23,'01_INPUTS'!$B$17:$B$31,0)))</f>
        <v>0</v>
      </c>
      <c r="G75" s="61">
        <f>IF(INDEX('01_INPUTS'!$E$17:$E$31,MATCH(G$23,'01_INPUTS'!$B$17:$B$31,0))=0,IF(SUMIFS($AD$3:$AD$870,$AC$3:$AC$870,G$23,$AE$3:$AE$870,"&lt;="&amp;$B75,$AF$3:$AF$870,"&gt;="&amp;$B75)=0,0,9.99),SUMIFS($AD$3:$AD$870,$AC$3:$AC$870,G$23,$AE$3:$AE$870,"&lt;="&amp;$B75,$AF$3:$AF$870,"&gt;="&amp;$B75)/INDEX('01_INPUTS'!$E$17:$E$31,MATCH(G$23,'01_INPUTS'!$B$17:$B$31,0)))</f>
        <v>0</v>
      </c>
      <c r="H75" s="61">
        <f>IF(INDEX('01_INPUTS'!$E$17:$E$31,MATCH(H$23,'01_INPUTS'!$B$17:$B$31,0))=0,IF(SUMIFS($AD$3:$AD$870,$AC$3:$AC$870,H$23,$AE$3:$AE$870,"&lt;="&amp;$B75,$AF$3:$AF$870,"&gt;="&amp;$B75)=0,0,9.99),SUMIFS($AD$3:$AD$870,$AC$3:$AC$870,H$23,$AE$3:$AE$870,"&lt;="&amp;$B75,$AF$3:$AF$870,"&gt;="&amp;$B75)/INDEX('01_INPUTS'!$E$17:$E$31,MATCH(H$23,'01_INPUTS'!$B$17:$B$31,0)))</f>
        <v>0</v>
      </c>
      <c r="I75" s="61">
        <f>IF(INDEX('01_INPUTS'!$E$17:$E$31,MATCH(I$23,'01_INPUTS'!$B$17:$B$31,0))=0,IF(SUMIFS($AD$3:$AD$870,$AC$3:$AC$870,I$23,$AE$3:$AE$870,"&lt;="&amp;$B75,$AF$3:$AF$870,"&gt;="&amp;$B75)=0,0,9.99),SUMIFS($AD$3:$AD$870,$AC$3:$AC$870,I$23,$AE$3:$AE$870,"&lt;="&amp;$B75,$AF$3:$AF$870,"&gt;="&amp;$B75)/INDEX('01_INPUTS'!$E$17:$E$31,MATCH(I$23,'01_INPUTS'!$B$17:$B$31,0)))</f>
        <v>1</v>
      </c>
      <c r="J75" s="61">
        <f>IF(INDEX('01_INPUTS'!$E$17:$E$31,MATCH(J$23,'01_INPUTS'!$B$17:$B$31,0))=0,IF(SUMIFS($AD$3:$AD$870,$AC$3:$AC$870,J$23,$AE$3:$AE$870,"&lt;="&amp;$B75,$AF$3:$AF$870,"&gt;="&amp;$B75)=0,0,9.99),SUMIFS($AD$3:$AD$870,$AC$3:$AC$870,J$23,$AE$3:$AE$870,"&lt;="&amp;$B75,$AF$3:$AF$870,"&gt;="&amp;$B75)/INDEX('01_INPUTS'!$E$17:$E$31,MATCH(J$23,'01_INPUTS'!$B$17:$B$31,0)))</f>
        <v>0</v>
      </c>
      <c r="K75" s="61">
        <f>IF(INDEX('01_INPUTS'!$E$17:$E$31,MATCH(K$23,'01_INPUTS'!$B$17:$B$31,0))=0,IF(SUMIFS($AD$3:$AD$870,$AC$3:$AC$870,K$23,$AE$3:$AE$870,"&lt;="&amp;$B75,$AF$3:$AF$870,"&gt;="&amp;$B75)=0,0,9.99),SUMIFS($AD$3:$AD$870,$AC$3:$AC$870,K$23,$AE$3:$AE$870,"&lt;="&amp;$B75,$AF$3:$AF$870,"&gt;="&amp;$B75)/INDEX('01_INPUTS'!$E$17:$E$31,MATCH(K$23,'01_INPUTS'!$B$17:$B$31,0)))</f>
        <v>1</v>
      </c>
      <c r="L75" s="61">
        <f>IF(INDEX('01_INPUTS'!$E$17:$E$31,MATCH(L$23,'01_INPUTS'!$B$17:$B$31,0))=0,IF(SUMIFS($AD$3:$AD$870,$AC$3:$AC$870,L$23,$AE$3:$AE$870,"&lt;="&amp;$B75,$AF$3:$AF$870,"&gt;="&amp;$B75)=0,0,9.99),SUMIFS($AD$3:$AD$870,$AC$3:$AC$870,L$23,$AE$3:$AE$870,"&lt;="&amp;$B75,$AF$3:$AF$870,"&gt;="&amp;$B75)/INDEX('01_INPUTS'!$E$17:$E$31,MATCH(L$23,'01_INPUTS'!$B$17:$B$31,0)))</f>
        <v>0</v>
      </c>
      <c r="M75" s="61">
        <f>IF(INDEX('01_INPUTS'!$E$17:$E$31,MATCH(M$23,'01_INPUTS'!$B$17:$B$31,0))=0,IF(SUMIFS($AD$3:$AD$870,$AC$3:$AC$870,M$23,$AE$3:$AE$870,"&lt;="&amp;$B75,$AF$3:$AF$870,"&gt;="&amp;$B75)=0,0,9.99),SUMIFS($AD$3:$AD$870,$AC$3:$AC$870,M$23,$AE$3:$AE$870,"&lt;="&amp;$B75,$AF$3:$AF$870,"&gt;="&amp;$B75)/INDEX('01_INPUTS'!$E$17:$E$31,MATCH(M$23,'01_INPUTS'!$B$17:$B$31,0)))</f>
        <v>0</v>
      </c>
      <c r="N75" s="61">
        <f>IF(INDEX('01_INPUTS'!$E$17:$E$31,MATCH(N$23,'01_INPUTS'!$B$17:$B$31,0))=0,IF(SUMIFS($AD$3:$AD$870,$AC$3:$AC$870,N$23,$AE$3:$AE$870,"&lt;="&amp;$B75,$AF$3:$AF$870,"&gt;="&amp;$B75)=0,0,9.99),SUMIFS($AD$3:$AD$870,$AC$3:$AC$870,N$23,$AE$3:$AE$870,"&lt;="&amp;$B75,$AF$3:$AF$870,"&gt;="&amp;$B75)/INDEX('01_INPUTS'!$E$17:$E$31,MATCH(N$23,'01_INPUTS'!$B$17:$B$31,0)))</f>
        <v>0</v>
      </c>
      <c r="O75" s="61">
        <f>IF(INDEX('01_INPUTS'!$E$17:$E$31,MATCH(O$23,'01_INPUTS'!$B$17:$B$31,0))=0,IF(SUMIFS($AD$3:$AD$870,$AC$3:$AC$870,O$23,$AE$3:$AE$870,"&lt;="&amp;$B75,$AF$3:$AF$870,"&gt;="&amp;$B75)=0,0,9.99),SUMIFS($AD$3:$AD$870,$AC$3:$AC$870,O$23,$AE$3:$AE$870,"&lt;="&amp;$B75,$AF$3:$AF$870,"&gt;="&amp;$B75)/INDEX('01_INPUTS'!$E$17:$E$31,MATCH(O$23,'01_INPUTS'!$B$17:$B$31,0)))</f>
        <v>0</v>
      </c>
      <c r="P75" s="61">
        <f>IF(INDEX('01_INPUTS'!$E$17:$E$31,MATCH(P$23,'01_INPUTS'!$B$17:$B$31,0))=0,IF(SUMIFS($AD$3:$AD$870,$AC$3:$AC$870,P$23,$AE$3:$AE$870,"&lt;="&amp;$B75,$AF$3:$AF$870,"&gt;="&amp;$B75)=0,0,9.99),SUMIFS($AD$3:$AD$870,$AC$3:$AC$870,P$23,$AE$3:$AE$870,"&lt;="&amp;$B75,$AF$3:$AF$870,"&gt;="&amp;$B75)/INDEX('01_INPUTS'!$E$17:$E$31,MATCH(P$23,'01_INPUTS'!$B$17:$B$31,0)))</f>
        <v>0</v>
      </c>
      <c r="Q75" s="61">
        <f>IF(INDEX('01_INPUTS'!$E$17:$E$31,MATCH(Q$23,'01_INPUTS'!$B$17:$B$31,0))=0,IF(SUMIFS($AD$3:$AD$870,$AC$3:$AC$870,Q$23,$AE$3:$AE$870,"&lt;="&amp;$B75,$AF$3:$AF$870,"&gt;="&amp;$B75)=0,0,9.99),SUMIFS($AD$3:$AD$870,$AC$3:$AC$870,Q$23,$AE$3:$AE$870,"&lt;="&amp;$B75,$AF$3:$AF$870,"&gt;="&amp;$B75)/INDEX('01_INPUTS'!$E$17:$E$31,MATCH(Q$23,'01_INPUTS'!$B$17:$B$31,0)))</f>
        <v>0</v>
      </c>
      <c r="R75" s="61">
        <f>IF(INDEX('01_INPUTS'!$E$17:$E$31,MATCH(R$23,'01_INPUTS'!$B$17:$B$31,0))=0,IF(SUMIFS($AD$3:$AD$870,$AC$3:$AC$870,R$23,$AE$3:$AE$870,"&lt;="&amp;$B75,$AF$3:$AF$870,"&gt;="&amp;$B75)=0,0,9.99),SUMIFS($AD$3:$AD$870,$AC$3:$AC$870,R$23,$AE$3:$AE$870,"&lt;="&amp;$B75,$AF$3:$AF$870,"&gt;="&amp;$B75)/INDEX('01_INPUTS'!$E$17:$E$31,MATCH(R$23,'01_INPUTS'!$B$17:$B$31,0)))</f>
        <v>0</v>
      </c>
      <c r="S75">
        <f t="shared" si="5"/>
        <v>3</v>
      </c>
      <c r="T75">
        <f>SUM('01_INPUTS'!$E$17:$E$31)</f>
        <v>20</v>
      </c>
      <c r="U75" s="61">
        <f t="shared" si="6"/>
        <v>0.15</v>
      </c>
      <c r="V75">
        <f t="shared" si="7"/>
        <v>0</v>
      </c>
      <c r="W75" t="str">
        <f t="shared" si="8"/>
        <v>AMARILLO</v>
      </c>
      <c r="AA75" s="51" t="str">
        <f>'Sites Master'!$B$3</f>
        <v>Site 02</v>
      </c>
      <c r="AB75" s="51" t="str">
        <f>'Phase-Resource Allocation'!$B$74</f>
        <v>Design Adaptation</v>
      </c>
      <c r="AC75" s="51" t="str">
        <f>'Phase-Resource Allocation'!$C$74</f>
        <v>Infrastructure Lead</v>
      </c>
      <c r="AD75" s="60">
        <f>'Phase-Resource Allocation'!$D$74</f>
        <v>1</v>
      </c>
      <c r="AE75" s="51">
        <f>IFERROR(INDEX('02_SCHEDULE'!$K$5:$K$124,MATCH(AA75&amp;"|"&amp;AB75,'02_SCHEDULE'!$M$5:$M$124,0)),0)</f>
        <v>5</v>
      </c>
      <c r="AF75" s="51">
        <f>IFERROR(INDEX('02_SCHEDULE'!$L$5:$L$124,MATCH(AA75&amp;"|"&amp;AB75,'02_SCHEDULE'!$M$5:$M$124,0)),0)</f>
        <v>5</v>
      </c>
      <c r="AG75" s="51">
        <f t="shared" si="9"/>
        <v>1</v>
      </c>
    </row>
    <row r="76" spans="2:33" x14ac:dyDescent="0.3">
      <c r="B76">
        <f>53</f>
        <v>53</v>
      </c>
      <c r="C76" s="55">
        <f>'01_INPUTS'!$C$7+(53-1)*7</f>
        <v>46615</v>
      </c>
      <c r="D76" s="61">
        <f>IF(INDEX('01_INPUTS'!$E$17:$E$31,MATCH(D$23,'01_INPUTS'!$B$17:$B$31,0))=0,IF(SUMIFS($AD$3:$AD$870,$AC$3:$AC$870,D$23,$AE$3:$AE$870,"&lt;="&amp;$B76,$AF$3:$AF$870,"&gt;="&amp;$B76)=0,0,9.99),SUMIFS($AD$3:$AD$870,$AC$3:$AC$870,D$23,$AE$3:$AE$870,"&lt;="&amp;$B76,$AF$3:$AF$870,"&gt;="&amp;$B76)/INDEX('01_INPUTS'!$E$17:$E$31,MATCH(D$23,'01_INPUTS'!$B$17:$B$31,0)))</f>
        <v>0</v>
      </c>
      <c r="E76" s="61">
        <f>IF(INDEX('01_INPUTS'!$E$17:$E$31,MATCH(E$23,'01_INPUTS'!$B$17:$B$31,0))=0,IF(SUMIFS($AD$3:$AD$870,$AC$3:$AC$870,E$23,$AE$3:$AE$870,"&lt;="&amp;$B76,$AF$3:$AF$870,"&gt;="&amp;$B76)=0,0,9.99),SUMIFS($AD$3:$AD$870,$AC$3:$AC$870,E$23,$AE$3:$AE$870,"&lt;="&amp;$B76,$AF$3:$AF$870,"&gt;="&amp;$B76)/INDEX('01_INPUTS'!$E$17:$E$31,MATCH(E$23,'01_INPUTS'!$B$17:$B$31,0)))</f>
        <v>0</v>
      </c>
      <c r="F76" s="61">
        <f>IF(INDEX('01_INPUTS'!$E$17:$E$31,MATCH(F$23,'01_INPUTS'!$B$17:$B$31,0))=0,IF(SUMIFS($AD$3:$AD$870,$AC$3:$AC$870,F$23,$AE$3:$AE$870,"&lt;="&amp;$B76,$AF$3:$AF$870,"&gt;="&amp;$B76)=0,0,9.99),SUMIFS($AD$3:$AD$870,$AC$3:$AC$870,F$23,$AE$3:$AE$870,"&lt;="&amp;$B76,$AF$3:$AF$870,"&gt;="&amp;$B76)/INDEX('01_INPUTS'!$E$17:$E$31,MATCH(F$23,'01_INPUTS'!$B$17:$B$31,0)))</f>
        <v>0</v>
      </c>
      <c r="G76" s="61">
        <f>IF(INDEX('01_INPUTS'!$E$17:$E$31,MATCH(G$23,'01_INPUTS'!$B$17:$B$31,0))=0,IF(SUMIFS($AD$3:$AD$870,$AC$3:$AC$870,G$23,$AE$3:$AE$870,"&lt;="&amp;$B76,$AF$3:$AF$870,"&gt;="&amp;$B76)=0,0,9.99),SUMIFS($AD$3:$AD$870,$AC$3:$AC$870,G$23,$AE$3:$AE$870,"&lt;="&amp;$B76,$AF$3:$AF$870,"&gt;="&amp;$B76)/INDEX('01_INPUTS'!$E$17:$E$31,MATCH(G$23,'01_INPUTS'!$B$17:$B$31,0)))</f>
        <v>0</v>
      </c>
      <c r="H76" s="61">
        <f>IF(INDEX('01_INPUTS'!$E$17:$E$31,MATCH(H$23,'01_INPUTS'!$B$17:$B$31,0))=0,IF(SUMIFS($AD$3:$AD$870,$AC$3:$AC$870,H$23,$AE$3:$AE$870,"&lt;="&amp;$B76,$AF$3:$AF$870,"&gt;="&amp;$B76)=0,0,9.99),SUMIFS($AD$3:$AD$870,$AC$3:$AC$870,H$23,$AE$3:$AE$870,"&lt;="&amp;$B76,$AF$3:$AF$870,"&gt;="&amp;$B76)/INDEX('01_INPUTS'!$E$17:$E$31,MATCH(H$23,'01_INPUTS'!$B$17:$B$31,0)))</f>
        <v>0</v>
      </c>
      <c r="I76" s="61">
        <f>IF(INDEX('01_INPUTS'!$E$17:$E$31,MATCH(I$23,'01_INPUTS'!$B$17:$B$31,0))=0,IF(SUMIFS($AD$3:$AD$870,$AC$3:$AC$870,I$23,$AE$3:$AE$870,"&lt;="&amp;$B76,$AF$3:$AF$870,"&gt;="&amp;$B76)=0,0,9.99),SUMIFS($AD$3:$AD$870,$AC$3:$AC$870,I$23,$AE$3:$AE$870,"&lt;="&amp;$B76,$AF$3:$AF$870,"&gt;="&amp;$B76)/INDEX('01_INPUTS'!$E$17:$E$31,MATCH(I$23,'01_INPUTS'!$B$17:$B$31,0)))</f>
        <v>1</v>
      </c>
      <c r="J76" s="61">
        <f>IF(INDEX('01_INPUTS'!$E$17:$E$31,MATCH(J$23,'01_INPUTS'!$B$17:$B$31,0))=0,IF(SUMIFS($AD$3:$AD$870,$AC$3:$AC$870,J$23,$AE$3:$AE$870,"&lt;="&amp;$B76,$AF$3:$AF$870,"&gt;="&amp;$B76)=0,0,9.99),SUMIFS($AD$3:$AD$870,$AC$3:$AC$870,J$23,$AE$3:$AE$870,"&lt;="&amp;$B76,$AF$3:$AF$870,"&gt;="&amp;$B76)/INDEX('01_INPUTS'!$E$17:$E$31,MATCH(J$23,'01_INPUTS'!$B$17:$B$31,0)))</f>
        <v>0</v>
      </c>
      <c r="K76" s="61">
        <f>IF(INDEX('01_INPUTS'!$E$17:$E$31,MATCH(K$23,'01_INPUTS'!$B$17:$B$31,0))=0,IF(SUMIFS($AD$3:$AD$870,$AC$3:$AC$870,K$23,$AE$3:$AE$870,"&lt;="&amp;$B76,$AF$3:$AF$870,"&gt;="&amp;$B76)=0,0,9.99),SUMIFS($AD$3:$AD$870,$AC$3:$AC$870,K$23,$AE$3:$AE$870,"&lt;="&amp;$B76,$AF$3:$AF$870,"&gt;="&amp;$B76)/INDEX('01_INPUTS'!$E$17:$E$31,MATCH(K$23,'01_INPUTS'!$B$17:$B$31,0)))</f>
        <v>1</v>
      </c>
      <c r="L76" s="61">
        <f>IF(INDEX('01_INPUTS'!$E$17:$E$31,MATCH(L$23,'01_INPUTS'!$B$17:$B$31,0))=0,IF(SUMIFS($AD$3:$AD$870,$AC$3:$AC$870,L$23,$AE$3:$AE$870,"&lt;="&amp;$B76,$AF$3:$AF$870,"&gt;="&amp;$B76)=0,0,9.99),SUMIFS($AD$3:$AD$870,$AC$3:$AC$870,L$23,$AE$3:$AE$870,"&lt;="&amp;$B76,$AF$3:$AF$870,"&gt;="&amp;$B76)/INDEX('01_INPUTS'!$E$17:$E$31,MATCH(L$23,'01_INPUTS'!$B$17:$B$31,0)))</f>
        <v>0</v>
      </c>
      <c r="M76" s="61">
        <f>IF(INDEX('01_INPUTS'!$E$17:$E$31,MATCH(M$23,'01_INPUTS'!$B$17:$B$31,0))=0,IF(SUMIFS($AD$3:$AD$870,$AC$3:$AC$870,M$23,$AE$3:$AE$870,"&lt;="&amp;$B76,$AF$3:$AF$870,"&gt;="&amp;$B76)=0,0,9.99),SUMIFS($AD$3:$AD$870,$AC$3:$AC$870,M$23,$AE$3:$AE$870,"&lt;="&amp;$B76,$AF$3:$AF$870,"&gt;="&amp;$B76)/INDEX('01_INPUTS'!$E$17:$E$31,MATCH(M$23,'01_INPUTS'!$B$17:$B$31,0)))</f>
        <v>0</v>
      </c>
      <c r="N76" s="61">
        <f>IF(INDEX('01_INPUTS'!$E$17:$E$31,MATCH(N$23,'01_INPUTS'!$B$17:$B$31,0))=0,IF(SUMIFS($AD$3:$AD$870,$AC$3:$AC$870,N$23,$AE$3:$AE$870,"&lt;="&amp;$B76,$AF$3:$AF$870,"&gt;="&amp;$B76)=0,0,9.99),SUMIFS($AD$3:$AD$870,$AC$3:$AC$870,N$23,$AE$3:$AE$870,"&lt;="&amp;$B76,$AF$3:$AF$870,"&gt;="&amp;$B76)/INDEX('01_INPUTS'!$E$17:$E$31,MATCH(N$23,'01_INPUTS'!$B$17:$B$31,0)))</f>
        <v>0</v>
      </c>
      <c r="O76" s="61">
        <f>IF(INDEX('01_INPUTS'!$E$17:$E$31,MATCH(O$23,'01_INPUTS'!$B$17:$B$31,0))=0,IF(SUMIFS($AD$3:$AD$870,$AC$3:$AC$870,O$23,$AE$3:$AE$870,"&lt;="&amp;$B76,$AF$3:$AF$870,"&gt;="&amp;$B76)=0,0,9.99),SUMIFS($AD$3:$AD$870,$AC$3:$AC$870,O$23,$AE$3:$AE$870,"&lt;="&amp;$B76,$AF$3:$AF$870,"&gt;="&amp;$B76)/INDEX('01_INPUTS'!$E$17:$E$31,MATCH(O$23,'01_INPUTS'!$B$17:$B$31,0)))</f>
        <v>0</v>
      </c>
      <c r="P76" s="61">
        <f>IF(INDEX('01_INPUTS'!$E$17:$E$31,MATCH(P$23,'01_INPUTS'!$B$17:$B$31,0))=0,IF(SUMIFS($AD$3:$AD$870,$AC$3:$AC$870,P$23,$AE$3:$AE$870,"&lt;="&amp;$B76,$AF$3:$AF$870,"&gt;="&amp;$B76)=0,0,9.99),SUMIFS($AD$3:$AD$870,$AC$3:$AC$870,P$23,$AE$3:$AE$870,"&lt;="&amp;$B76,$AF$3:$AF$870,"&gt;="&amp;$B76)/INDEX('01_INPUTS'!$E$17:$E$31,MATCH(P$23,'01_INPUTS'!$B$17:$B$31,0)))</f>
        <v>0</v>
      </c>
      <c r="Q76" s="61">
        <f>IF(INDEX('01_INPUTS'!$E$17:$E$31,MATCH(Q$23,'01_INPUTS'!$B$17:$B$31,0))=0,IF(SUMIFS($AD$3:$AD$870,$AC$3:$AC$870,Q$23,$AE$3:$AE$870,"&lt;="&amp;$B76,$AF$3:$AF$870,"&gt;="&amp;$B76)=0,0,9.99),SUMIFS($AD$3:$AD$870,$AC$3:$AC$870,Q$23,$AE$3:$AE$870,"&lt;="&amp;$B76,$AF$3:$AF$870,"&gt;="&amp;$B76)/INDEX('01_INPUTS'!$E$17:$E$31,MATCH(Q$23,'01_INPUTS'!$B$17:$B$31,0)))</f>
        <v>0</v>
      </c>
      <c r="R76" s="61">
        <f>IF(INDEX('01_INPUTS'!$E$17:$E$31,MATCH(R$23,'01_INPUTS'!$B$17:$B$31,0))=0,IF(SUMIFS($AD$3:$AD$870,$AC$3:$AC$870,R$23,$AE$3:$AE$870,"&lt;="&amp;$B76,$AF$3:$AF$870,"&gt;="&amp;$B76)=0,0,9.99),SUMIFS($AD$3:$AD$870,$AC$3:$AC$870,R$23,$AE$3:$AE$870,"&lt;="&amp;$B76,$AF$3:$AF$870,"&gt;="&amp;$B76)/INDEX('01_INPUTS'!$E$17:$E$31,MATCH(R$23,'01_INPUTS'!$B$17:$B$31,0)))</f>
        <v>0</v>
      </c>
      <c r="S76">
        <f t="shared" si="5"/>
        <v>3</v>
      </c>
      <c r="T76">
        <f>SUM('01_INPUTS'!$E$17:$E$31)</f>
        <v>20</v>
      </c>
      <c r="U76" s="61">
        <f t="shared" si="6"/>
        <v>0.15</v>
      </c>
      <c r="V76">
        <f t="shared" si="7"/>
        <v>0</v>
      </c>
      <c r="W76" t="str">
        <f t="shared" si="8"/>
        <v>AMARILLO</v>
      </c>
      <c r="AA76" s="51" t="str">
        <f>'Sites Master'!$B$3</f>
        <v>Site 02</v>
      </c>
      <c r="AB76" s="51" t="str">
        <f>'Phase-Resource Allocation'!$B$75</f>
        <v>Design Adaptation</v>
      </c>
      <c r="AC76" s="51" t="str">
        <f>'Phase-Resource Allocation'!$C$75</f>
        <v>Functional Lead Vendor A</v>
      </c>
      <c r="AD76" s="60">
        <f>'Phase-Resource Allocation'!$D$75</f>
        <v>1</v>
      </c>
      <c r="AE76" s="51">
        <f>IFERROR(INDEX('02_SCHEDULE'!$K$5:$K$124,MATCH(AA76&amp;"|"&amp;AB76,'02_SCHEDULE'!$M$5:$M$124,0)),0)</f>
        <v>5</v>
      </c>
      <c r="AF76" s="51">
        <f>IFERROR(INDEX('02_SCHEDULE'!$L$5:$L$124,MATCH(AA76&amp;"|"&amp;AB76,'02_SCHEDULE'!$M$5:$M$124,0)),0)</f>
        <v>5</v>
      </c>
      <c r="AG76" s="51">
        <f t="shared" si="9"/>
        <v>1</v>
      </c>
    </row>
    <row r="77" spans="2:33" x14ac:dyDescent="0.3">
      <c r="B77">
        <f>54</f>
        <v>54</v>
      </c>
      <c r="C77" s="55">
        <f>'01_INPUTS'!$C$7+(54-1)*7</f>
        <v>46622</v>
      </c>
      <c r="D77" s="61">
        <f>IF(INDEX('01_INPUTS'!$E$17:$E$31,MATCH(D$23,'01_INPUTS'!$B$17:$B$31,0))=0,IF(SUMIFS($AD$3:$AD$870,$AC$3:$AC$870,D$23,$AE$3:$AE$870,"&lt;="&amp;$B77,$AF$3:$AF$870,"&gt;="&amp;$B77)=0,0,9.99),SUMIFS($AD$3:$AD$870,$AC$3:$AC$870,D$23,$AE$3:$AE$870,"&lt;="&amp;$B77,$AF$3:$AF$870,"&gt;="&amp;$B77)/INDEX('01_INPUTS'!$E$17:$E$31,MATCH(D$23,'01_INPUTS'!$B$17:$B$31,0)))</f>
        <v>1</v>
      </c>
      <c r="E77" s="61">
        <f>IF(INDEX('01_INPUTS'!$E$17:$E$31,MATCH(E$23,'01_INPUTS'!$B$17:$B$31,0))=0,IF(SUMIFS($AD$3:$AD$870,$AC$3:$AC$870,E$23,$AE$3:$AE$870,"&lt;="&amp;$B77,$AF$3:$AF$870,"&gt;="&amp;$B77)=0,0,9.99),SUMIFS($AD$3:$AD$870,$AC$3:$AC$870,E$23,$AE$3:$AE$870,"&lt;="&amp;$B77,$AF$3:$AF$870,"&gt;="&amp;$B77)/INDEX('01_INPUTS'!$E$17:$E$31,MATCH(E$23,'01_INPUTS'!$B$17:$B$31,0)))</f>
        <v>0</v>
      </c>
      <c r="F77" s="61">
        <f>IF(INDEX('01_INPUTS'!$E$17:$E$31,MATCH(F$23,'01_INPUTS'!$B$17:$B$31,0))=0,IF(SUMIFS($AD$3:$AD$870,$AC$3:$AC$870,F$23,$AE$3:$AE$870,"&lt;="&amp;$B77,$AF$3:$AF$870,"&gt;="&amp;$B77)=0,0,9.99),SUMIFS($AD$3:$AD$870,$AC$3:$AC$870,F$23,$AE$3:$AE$870,"&lt;="&amp;$B77,$AF$3:$AF$870,"&gt;="&amp;$B77)/INDEX('01_INPUTS'!$E$17:$E$31,MATCH(F$23,'01_INPUTS'!$B$17:$B$31,0)))</f>
        <v>0</v>
      </c>
      <c r="G77" s="61">
        <f>IF(INDEX('01_INPUTS'!$E$17:$E$31,MATCH(G$23,'01_INPUTS'!$B$17:$B$31,0))=0,IF(SUMIFS($AD$3:$AD$870,$AC$3:$AC$870,G$23,$AE$3:$AE$870,"&lt;="&amp;$B77,$AF$3:$AF$870,"&gt;="&amp;$B77)=0,0,9.99),SUMIFS($AD$3:$AD$870,$AC$3:$AC$870,G$23,$AE$3:$AE$870,"&lt;="&amp;$B77,$AF$3:$AF$870,"&gt;="&amp;$B77)/INDEX('01_INPUTS'!$E$17:$E$31,MATCH(G$23,'01_INPUTS'!$B$17:$B$31,0)))</f>
        <v>0</v>
      </c>
      <c r="H77" s="61">
        <f>IF(INDEX('01_INPUTS'!$E$17:$E$31,MATCH(H$23,'01_INPUTS'!$B$17:$B$31,0))=0,IF(SUMIFS($AD$3:$AD$870,$AC$3:$AC$870,H$23,$AE$3:$AE$870,"&lt;="&amp;$B77,$AF$3:$AF$870,"&gt;="&amp;$B77)=0,0,9.99),SUMIFS($AD$3:$AD$870,$AC$3:$AC$870,H$23,$AE$3:$AE$870,"&lt;="&amp;$B77,$AF$3:$AF$870,"&gt;="&amp;$B77)/INDEX('01_INPUTS'!$E$17:$E$31,MATCH(H$23,'01_INPUTS'!$B$17:$B$31,0)))</f>
        <v>0</v>
      </c>
      <c r="I77" s="61">
        <f>IF(INDEX('01_INPUTS'!$E$17:$E$31,MATCH(I$23,'01_INPUTS'!$B$17:$B$31,0))=0,IF(SUMIFS($AD$3:$AD$870,$AC$3:$AC$870,I$23,$AE$3:$AE$870,"&lt;="&amp;$B77,$AF$3:$AF$870,"&gt;="&amp;$B77)=0,0,9.99),SUMIFS($AD$3:$AD$870,$AC$3:$AC$870,I$23,$AE$3:$AE$870,"&lt;="&amp;$B77,$AF$3:$AF$870,"&gt;="&amp;$B77)/INDEX('01_INPUTS'!$E$17:$E$31,MATCH(I$23,'01_INPUTS'!$B$17:$B$31,0)))</f>
        <v>1</v>
      </c>
      <c r="J77" s="61">
        <f>IF(INDEX('01_INPUTS'!$E$17:$E$31,MATCH(J$23,'01_INPUTS'!$B$17:$B$31,0))=0,IF(SUMIFS($AD$3:$AD$870,$AC$3:$AC$870,J$23,$AE$3:$AE$870,"&lt;="&amp;$B77,$AF$3:$AF$870,"&gt;="&amp;$B77)=0,0,9.99),SUMIFS($AD$3:$AD$870,$AC$3:$AC$870,J$23,$AE$3:$AE$870,"&lt;="&amp;$B77,$AF$3:$AF$870,"&gt;="&amp;$B77)/INDEX('01_INPUTS'!$E$17:$E$31,MATCH(J$23,'01_INPUTS'!$B$17:$B$31,0)))</f>
        <v>0.5</v>
      </c>
      <c r="K77" s="61">
        <f>IF(INDEX('01_INPUTS'!$E$17:$E$31,MATCH(K$23,'01_INPUTS'!$B$17:$B$31,0))=0,IF(SUMIFS($AD$3:$AD$870,$AC$3:$AC$870,K$23,$AE$3:$AE$870,"&lt;="&amp;$B77,$AF$3:$AF$870,"&gt;="&amp;$B77)=0,0,9.99),SUMIFS($AD$3:$AD$870,$AC$3:$AC$870,K$23,$AE$3:$AE$870,"&lt;="&amp;$B77,$AF$3:$AF$870,"&gt;="&amp;$B77)/INDEX('01_INPUTS'!$E$17:$E$31,MATCH(K$23,'01_INPUTS'!$B$17:$B$31,0)))</f>
        <v>1</v>
      </c>
      <c r="L77" s="61">
        <f>IF(INDEX('01_INPUTS'!$E$17:$E$31,MATCH(L$23,'01_INPUTS'!$B$17:$B$31,0))=0,IF(SUMIFS($AD$3:$AD$870,$AC$3:$AC$870,L$23,$AE$3:$AE$870,"&lt;="&amp;$B77,$AF$3:$AF$870,"&gt;="&amp;$B77)=0,0,9.99),SUMIFS($AD$3:$AD$870,$AC$3:$AC$870,L$23,$AE$3:$AE$870,"&lt;="&amp;$B77,$AF$3:$AF$870,"&gt;="&amp;$B77)/INDEX('01_INPUTS'!$E$17:$E$31,MATCH(L$23,'01_INPUTS'!$B$17:$B$31,0)))</f>
        <v>0.5</v>
      </c>
      <c r="M77" s="61">
        <f>IF(INDEX('01_INPUTS'!$E$17:$E$31,MATCH(M$23,'01_INPUTS'!$B$17:$B$31,0))=0,IF(SUMIFS($AD$3:$AD$870,$AC$3:$AC$870,M$23,$AE$3:$AE$870,"&lt;="&amp;$B77,$AF$3:$AF$870,"&gt;="&amp;$B77)=0,0,9.99),SUMIFS($AD$3:$AD$870,$AC$3:$AC$870,M$23,$AE$3:$AE$870,"&lt;="&amp;$B77,$AF$3:$AF$870,"&gt;="&amp;$B77)/INDEX('01_INPUTS'!$E$17:$E$31,MATCH(M$23,'01_INPUTS'!$B$17:$B$31,0)))</f>
        <v>0.5</v>
      </c>
      <c r="N77" s="61">
        <f>IF(INDEX('01_INPUTS'!$E$17:$E$31,MATCH(N$23,'01_INPUTS'!$B$17:$B$31,0))=0,IF(SUMIFS($AD$3:$AD$870,$AC$3:$AC$870,N$23,$AE$3:$AE$870,"&lt;="&amp;$B77,$AF$3:$AF$870,"&gt;="&amp;$B77)=0,0,9.99),SUMIFS($AD$3:$AD$870,$AC$3:$AC$870,N$23,$AE$3:$AE$870,"&lt;="&amp;$B77,$AF$3:$AF$870,"&gt;="&amp;$B77)/INDEX('01_INPUTS'!$E$17:$E$31,MATCH(N$23,'01_INPUTS'!$B$17:$B$31,0)))</f>
        <v>0.5</v>
      </c>
      <c r="O77" s="61">
        <f>IF(INDEX('01_INPUTS'!$E$17:$E$31,MATCH(O$23,'01_INPUTS'!$B$17:$B$31,0))=0,IF(SUMIFS($AD$3:$AD$870,$AC$3:$AC$870,O$23,$AE$3:$AE$870,"&lt;="&amp;$B77,$AF$3:$AF$870,"&gt;="&amp;$B77)=0,0,9.99),SUMIFS($AD$3:$AD$870,$AC$3:$AC$870,O$23,$AE$3:$AE$870,"&lt;="&amp;$B77,$AF$3:$AF$870,"&gt;="&amp;$B77)/INDEX('01_INPUTS'!$E$17:$E$31,MATCH(O$23,'01_INPUTS'!$B$17:$B$31,0)))</f>
        <v>1</v>
      </c>
      <c r="P77" s="61">
        <f>IF(INDEX('01_INPUTS'!$E$17:$E$31,MATCH(P$23,'01_INPUTS'!$B$17:$B$31,0))=0,IF(SUMIFS($AD$3:$AD$870,$AC$3:$AC$870,P$23,$AE$3:$AE$870,"&lt;="&amp;$B77,$AF$3:$AF$870,"&gt;="&amp;$B77)=0,0,9.99),SUMIFS($AD$3:$AD$870,$AC$3:$AC$870,P$23,$AE$3:$AE$870,"&lt;="&amp;$B77,$AF$3:$AF$870,"&gt;="&amp;$B77)/INDEX('01_INPUTS'!$E$17:$E$31,MATCH(P$23,'01_INPUTS'!$B$17:$B$31,0)))</f>
        <v>1</v>
      </c>
      <c r="Q77" s="61">
        <f>IF(INDEX('01_INPUTS'!$E$17:$E$31,MATCH(Q$23,'01_INPUTS'!$B$17:$B$31,0))=0,IF(SUMIFS($AD$3:$AD$870,$AC$3:$AC$870,Q$23,$AE$3:$AE$870,"&lt;="&amp;$B77,$AF$3:$AF$870,"&gt;="&amp;$B77)=0,0,9.99),SUMIFS($AD$3:$AD$870,$AC$3:$AC$870,Q$23,$AE$3:$AE$870,"&lt;="&amp;$B77,$AF$3:$AF$870,"&gt;="&amp;$B77)/INDEX('01_INPUTS'!$E$17:$E$31,MATCH(Q$23,'01_INPUTS'!$B$17:$B$31,0)))</f>
        <v>0.5</v>
      </c>
      <c r="R77" s="61">
        <f>IF(INDEX('01_INPUTS'!$E$17:$E$31,MATCH(R$23,'01_INPUTS'!$B$17:$B$31,0))=0,IF(SUMIFS($AD$3:$AD$870,$AC$3:$AC$870,R$23,$AE$3:$AE$870,"&lt;="&amp;$B77,$AF$3:$AF$870,"&gt;="&amp;$B77)=0,0,9.99),SUMIFS($AD$3:$AD$870,$AC$3:$AC$870,R$23,$AE$3:$AE$870,"&lt;="&amp;$B77,$AF$3:$AF$870,"&gt;="&amp;$B77)/INDEX('01_INPUTS'!$E$17:$E$31,MATCH(R$23,'01_INPUTS'!$B$17:$B$31,0)))</f>
        <v>0</v>
      </c>
      <c r="S77">
        <f t="shared" si="5"/>
        <v>9.5</v>
      </c>
      <c r="T77">
        <f>SUM('01_INPUTS'!$E$17:$E$31)</f>
        <v>20</v>
      </c>
      <c r="U77" s="61">
        <f t="shared" si="6"/>
        <v>0.47499999999999998</v>
      </c>
      <c r="V77">
        <f t="shared" si="7"/>
        <v>0</v>
      </c>
      <c r="W77" t="str">
        <f t="shared" si="8"/>
        <v>AMARILLO</v>
      </c>
      <c r="AA77" s="51" t="str">
        <f>'Sites Master'!$B$3</f>
        <v>Site 02</v>
      </c>
      <c r="AB77" s="51" t="str">
        <f>'Phase-Resource Allocation'!$B$76</f>
        <v>Functional Review</v>
      </c>
      <c r="AC77" s="51" t="str">
        <f>'Phase-Resource Allocation'!$C$76</f>
        <v>Solution Architect</v>
      </c>
      <c r="AD77" s="60">
        <f>'Phase-Resource Allocation'!$D$76</f>
        <v>0.5</v>
      </c>
      <c r="AE77" s="51">
        <f>IFERROR(INDEX('02_SCHEDULE'!$K$5:$K$124,MATCH(AA77&amp;"|"&amp;AB77,'02_SCHEDULE'!$M$5:$M$124,0)),0)</f>
        <v>6</v>
      </c>
      <c r="AF77" s="51">
        <f>IFERROR(INDEX('02_SCHEDULE'!$L$5:$L$124,MATCH(AA77&amp;"|"&amp;AB77,'02_SCHEDULE'!$M$5:$M$124,0)),0)</f>
        <v>6</v>
      </c>
      <c r="AG77" s="51">
        <f t="shared" si="9"/>
        <v>0.5</v>
      </c>
    </row>
    <row r="78" spans="2:33" x14ac:dyDescent="0.3">
      <c r="B78">
        <f>55</f>
        <v>55</v>
      </c>
      <c r="C78" s="55">
        <f>'01_INPUTS'!$C$7+(55-1)*7</f>
        <v>46629</v>
      </c>
      <c r="D78" s="61">
        <f>IF(INDEX('01_INPUTS'!$E$17:$E$31,MATCH(D$23,'01_INPUTS'!$B$17:$B$31,0))=0,IF(SUMIFS($AD$3:$AD$870,$AC$3:$AC$870,D$23,$AE$3:$AE$870,"&lt;="&amp;$B78,$AF$3:$AF$870,"&gt;="&amp;$B78)=0,0,9.99),SUMIFS($AD$3:$AD$870,$AC$3:$AC$870,D$23,$AE$3:$AE$870,"&lt;="&amp;$B78,$AF$3:$AF$870,"&gt;="&amp;$B78)/INDEX('01_INPUTS'!$E$17:$E$31,MATCH(D$23,'01_INPUTS'!$B$17:$B$31,0)))</f>
        <v>2</v>
      </c>
      <c r="E78" s="61">
        <f>IF(INDEX('01_INPUTS'!$E$17:$E$31,MATCH(E$23,'01_INPUTS'!$B$17:$B$31,0))=0,IF(SUMIFS($AD$3:$AD$870,$AC$3:$AC$870,E$23,$AE$3:$AE$870,"&lt;="&amp;$B78,$AF$3:$AF$870,"&gt;="&amp;$B78)=0,0,9.99),SUMIFS($AD$3:$AD$870,$AC$3:$AC$870,E$23,$AE$3:$AE$870,"&lt;="&amp;$B78,$AF$3:$AF$870,"&gt;="&amp;$B78)/INDEX('01_INPUTS'!$E$17:$E$31,MATCH(E$23,'01_INPUTS'!$B$17:$B$31,0)))</f>
        <v>0</v>
      </c>
      <c r="F78" s="61">
        <f>IF(INDEX('01_INPUTS'!$E$17:$E$31,MATCH(F$23,'01_INPUTS'!$B$17:$B$31,0))=0,IF(SUMIFS($AD$3:$AD$870,$AC$3:$AC$870,F$23,$AE$3:$AE$870,"&lt;="&amp;$B78,$AF$3:$AF$870,"&gt;="&amp;$B78)=0,0,9.99),SUMIFS($AD$3:$AD$870,$AC$3:$AC$870,F$23,$AE$3:$AE$870,"&lt;="&amp;$B78,$AF$3:$AF$870,"&gt;="&amp;$B78)/INDEX('01_INPUTS'!$E$17:$E$31,MATCH(F$23,'01_INPUTS'!$B$17:$B$31,0)))</f>
        <v>0</v>
      </c>
      <c r="G78" s="61">
        <f>IF(INDEX('01_INPUTS'!$E$17:$E$31,MATCH(G$23,'01_INPUTS'!$B$17:$B$31,0))=0,IF(SUMIFS($AD$3:$AD$870,$AC$3:$AC$870,G$23,$AE$3:$AE$870,"&lt;="&amp;$B78,$AF$3:$AF$870,"&gt;="&amp;$B78)=0,0,9.99),SUMIFS($AD$3:$AD$870,$AC$3:$AC$870,G$23,$AE$3:$AE$870,"&lt;="&amp;$B78,$AF$3:$AF$870,"&gt;="&amp;$B78)/INDEX('01_INPUTS'!$E$17:$E$31,MATCH(G$23,'01_INPUTS'!$B$17:$B$31,0)))</f>
        <v>0</v>
      </c>
      <c r="H78" s="61">
        <f>IF(INDEX('01_INPUTS'!$E$17:$E$31,MATCH(H$23,'01_INPUTS'!$B$17:$B$31,0))=0,IF(SUMIFS($AD$3:$AD$870,$AC$3:$AC$870,H$23,$AE$3:$AE$870,"&lt;="&amp;$B78,$AF$3:$AF$870,"&gt;="&amp;$B78)=0,0,9.99),SUMIFS($AD$3:$AD$870,$AC$3:$AC$870,H$23,$AE$3:$AE$870,"&lt;="&amp;$B78,$AF$3:$AF$870,"&gt;="&amp;$B78)/INDEX('01_INPUTS'!$E$17:$E$31,MATCH(H$23,'01_INPUTS'!$B$17:$B$31,0)))</f>
        <v>0</v>
      </c>
      <c r="I78" s="61">
        <f>IF(INDEX('01_INPUTS'!$E$17:$E$31,MATCH(I$23,'01_INPUTS'!$B$17:$B$31,0))=0,IF(SUMIFS($AD$3:$AD$870,$AC$3:$AC$870,I$23,$AE$3:$AE$870,"&lt;="&amp;$B78,$AF$3:$AF$870,"&gt;="&amp;$B78)=0,0,9.99),SUMIFS($AD$3:$AD$870,$AC$3:$AC$870,I$23,$AE$3:$AE$870,"&lt;="&amp;$B78,$AF$3:$AF$870,"&gt;="&amp;$B78)/INDEX('01_INPUTS'!$E$17:$E$31,MATCH(I$23,'01_INPUTS'!$B$17:$B$31,0)))</f>
        <v>1</v>
      </c>
      <c r="J78" s="61">
        <f>IF(INDEX('01_INPUTS'!$E$17:$E$31,MATCH(J$23,'01_INPUTS'!$B$17:$B$31,0))=0,IF(SUMIFS($AD$3:$AD$870,$AC$3:$AC$870,J$23,$AE$3:$AE$870,"&lt;="&amp;$B78,$AF$3:$AF$870,"&gt;="&amp;$B78)=0,0,9.99),SUMIFS($AD$3:$AD$870,$AC$3:$AC$870,J$23,$AE$3:$AE$870,"&lt;="&amp;$B78,$AF$3:$AF$870,"&gt;="&amp;$B78)/INDEX('01_INPUTS'!$E$17:$E$31,MATCH(J$23,'01_INPUTS'!$B$17:$B$31,0)))</f>
        <v>1</v>
      </c>
      <c r="K78" s="61">
        <f>IF(INDEX('01_INPUTS'!$E$17:$E$31,MATCH(K$23,'01_INPUTS'!$B$17:$B$31,0))=0,IF(SUMIFS($AD$3:$AD$870,$AC$3:$AC$870,K$23,$AE$3:$AE$870,"&lt;="&amp;$B78,$AF$3:$AF$870,"&gt;="&amp;$B78)=0,0,9.99),SUMIFS($AD$3:$AD$870,$AC$3:$AC$870,K$23,$AE$3:$AE$870,"&lt;="&amp;$B78,$AF$3:$AF$870,"&gt;="&amp;$B78)/INDEX('01_INPUTS'!$E$17:$E$31,MATCH(K$23,'01_INPUTS'!$B$17:$B$31,0)))</f>
        <v>1</v>
      </c>
      <c r="L78" s="61">
        <f>IF(INDEX('01_INPUTS'!$E$17:$E$31,MATCH(L$23,'01_INPUTS'!$B$17:$B$31,0))=0,IF(SUMIFS($AD$3:$AD$870,$AC$3:$AC$870,L$23,$AE$3:$AE$870,"&lt;="&amp;$B78,$AF$3:$AF$870,"&gt;="&amp;$B78)=0,0,9.99),SUMIFS($AD$3:$AD$870,$AC$3:$AC$870,L$23,$AE$3:$AE$870,"&lt;="&amp;$B78,$AF$3:$AF$870,"&gt;="&amp;$B78)/INDEX('01_INPUTS'!$E$17:$E$31,MATCH(L$23,'01_INPUTS'!$B$17:$B$31,0)))</f>
        <v>1</v>
      </c>
      <c r="M78" s="61">
        <f>IF(INDEX('01_INPUTS'!$E$17:$E$31,MATCH(M$23,'01_INPUTS'!$B$17:$B$31,0))=0,IF(SUMIFS($AD$3:$AD$870,$AC$3:$AC$870,M$23,$AE$3:$AE$870,"&lt;="&amp;$B78,$AF$3:$AF$870,"&gt;="&amp;$B78)=0,0,9.99),SUMIFS($AD$3:$AD$870,$AC$3:$AC$870,M$23,$AE$3:$AE$870,"&lt;="&amp;$B78,$AF$3:$AF$870,"&gt;="&amp;$B78)/INDEX('01_INPUTS'!$E$17:$E$31,MATCH(M$23,'01_INPUTS'!$B$17:$B$31,0)))</f>
        <v>1</v>
      </c>
      <c r="N78" s="61">
        <f>IF(INDEX('01_INPUTS'!$E$17:$E$31,MATCH(N$23,'01_INPUTS'!$B$17:$B$31,0))=0,IF(SUMIFS($AD$3:$AD$870,$AC$3:$AC$870,N$23,$AE$3:$AE$870,"&lt;="&amp;$B78,$AF$3:$AF$870,"&gt;="&amp;$B78)=0,0,9.99),SUMIFS($AD$3:$AD$870,$AC$3:$AC$870,N$23,$AE$3:$AE$870,"&lt;="&amp;$B78,$AF$3:$AF$870,"&gt;="&amp;$B78)/INDEX('01_INPUTS'!$E$17:$E$31,MATCH(N$23,'01_INPUTS'!$B$17:$B$31,0)))</f>
        <v>1</v>
      </c>
      <c r="O78" s="61">
        <f>IF(INDEX('01_INPUTS'!$E$17:$E$31,MATCH(O$23,'01_INPUTS'!$B$17:$B$31,0))=0,IF(SUMIFS($AD$3:$AD$870,$AC$3:$AC$870,O$23,$AE$3:$AE$870,"&lt;="&amp;$B78,$AF$3:$AF$870,"&gt;="&amp;$B78)=0,0,9.99),SUMIFS($AD$3:$AD$870,$AC$3:$AC$870,O$23,$AE$3:$AE$870,"&lt;="&amp;$B78,$AF$3:$AF$870,"&gt;="&amp;$B78)/INDEX('01_INPUTS'!$E$17:$E$31,MATCH(O$23,'01_INPUTS'!$B$17:$B$31,0)))</f>
        <v>2</v>
      </c>
      <c r="P78" s="61">
        <f>IF(INDEX('01_INPUTS'!$E$17:$E$31,MATCH(P$23,'01_INPUTS'!$B$17:$B$31,0))=0,IF(SUMIFS($AD$3:$AD$870,$AC$3:$AC$870,P$23,$AE$3:$AE$870,"&lt;="&amp;$B78,$AF$3:$AF$870,"&gt;="&amp;$B78)=0,0,9.99),SUMIFS($AD$3:$AD$870,$AC$3:$AC$870,P$23,$AE$3:$AE$870,"&lt;="&amp;$B78,$AF$3:$AF$870,"&gt;="&amp;$B78)/INDEX('01_INPUTS'!$E$17:$E$31,MATCH(P$23,'01_INPUTS'!$B$17:$B$31,0)))</f>
        <v>2</v>
      </c>
      <c r="Q78" s="61">
        <f>IF(INDEX('01_INPUTS'!$E$17:$E$31,MATCH(Q$23,'01_INPUTS'!$B$17:$B$31,0))=0,IF(SUMIFS($AD$3:$AD$870,$AC$3:$AC$870,Q$23,$AE$3:$AE$870,"&lt;="&amp;$B78,$AF$3:$AF$870,"&gt;="&amp;$B78)=0,0,9.99),SUMIFS($AD$3:$AD$870,$AC$3:$AC$870,Q$23,$AE$3:$AE$870,"&lt;="&amp;$B78,$AF$3:$AF$870,"&gt;="&amp;$B78)/INDEX('01_INPUTS'!$E$17:$E$31,MATCH(Q$23,'01_INPUTS'!$B$17:$B$31,0)))</f>
        <v>1</v>
      </c>
      <c r="R78" s="61">
        <f>IF(INDEX('01_INPUTS'!$E$17:$E$31,MATCH(R$23,'01_INPUTS'!$B$17:$B$31,0))=0,IF(SUMIFS($AD$3:$AD$870,$AC$3:$AC$870,R$23,$AE$3:$AE$870,"&lt;="&amp;$B78,$AF$3:$AF$870,"&gt;="&amp;$B78)=0,0,9.99),SUMIFS($AD$3:$AD$870,$AC$3:$AC$870,R$23,$AE$3:$AE$870,"&lt;="&amp;$B78,$AF$3:$AF$870,"&gt;="&amp;$B78)/INDEX('01_INPUTS'!$E$17:$E$31,MATCH(R$23,'01_INPUTS'!$B$17:$B$31,0)))</f>
        <v>0</v>
      </c>
      <c r="S78">
        <f t="shared" si="5"/>
        <v>16</v>
      </c>
      <c r="T78">
        <f>SUM('01_INPUTS'!$E$17:$E$31)</f>
        <v>20</v>
      </c>
      <c r="U78" s="61">
        <f t="shared" si="6"/>
        <v>0.8</v>
      </c>
      <c r="V78">
        <f t="shared" si="7"/>
        <v>3</v>
      </c>
      <c r="W78" t="str">
        <f t="shared" si="8"/>
        <v>ROJO</v>
      </c>
      <c r="AA78" s="51" t="str">
        <f>'Sites Master'!$B$3</f>
        <v>Site 02</v>
      </c>
      <c r="AB78" s="51" t="str">
        <f>'Phase-Resource Allocation'!$B$77</f>
        <v>Functional Review</v>
      </c>
      <c r="AC78" s="51" t="str">
        <f>'Phase-Resource Allocation'!$C$77</f>
        <v>Change Management Lead</v>
      </c>
      <c r="AD78" s="60">
        <f>'Phase-Resource Allocation'!$D$77</f>
        <v>1</v>
      </c>
      <c r="AE78" s="51">
        <f>IFERROR(INDEX('02_SCHEDULE'!$K$5:$K$124,MATCH(AA78&amp;"|"&amp;AB78,'02_SCHEDULE'!$M$5:$M$124,0)),0)</f>
        <v>6</v>
      </c>
      <c r="AF78" s="51">
        <f>IFERROR(INDEX('02_SCHEDULE'!$L$5:$L$124,MATCH(AA78&amp;"|"&amp;AB78,'02_SCHEDULE'!$M$5:$M$124,0)),0)</f>
        <v>6</v>
      </c>
      <c r="AG78" s="51">
        <f t="shared" si="9"/>
        <v>1</v>
      </c>
    </row>
    <row r="79" spans="2:33" x14ac:dyDescent="0.3">
      <c r="B79">
        <f>56</f>
        <v>56</v>
      </c>
      <c r="C79" s="55">
        <f>'01_INPUTS'!$C$7+(56-1)*7</f>
        <v>46636</v>
      </c>
      <c r="D79" s="61">
        <f>IF(INDEX('01_INPUTS'!$E$17:$E$31,MATCH(D$23,'01_INPUTS'!$B$17:$B$31,0))=0,IF(SUMIFS($AD$3:$AD$870,$AC$3:$AC$870,D$23,$AE$3:$AE$870,"&lt;="&amp;$B79,$AF$3:$AF$870,"&gt;="&amp;$B79)=0,0,9.99),SUMIFS($AD$3:$AD$870,$AC$3:$AC$870,D$23,$AE$3:$AE$870,"&lt;="&amp;$B79,$AF$3:$AF$870,"&gt;="&amp;$B79)/INDEX('01_INPUTS'!$E$17:$E$31,MATCH(D$23,'01_INPUTS'!$B$17:$B$31,0)))</f>
        <v>1</v>
      </c>
      <c r="E79" s="61">
        <f>IF(INDEX('01_INPUTS'!$E$17:$E$31,MATCH(E$23,'01_INPUTS'!$B$17:$B$31,0))=0,IF(SUMIFS($AD$3:$AD$870,$AC$3:$AC$870,E$23,$AE$3:$AE$870,"&lt;="&amp;$B79,$AF$3:$AF$870,"&gt;="&amp;$B79)=0,0,9.99),SUMIFS($AD$3:$AD$870,$AC$3:$AC$870,E$23,$AE$3:$AE$870,"&lt;="&amp;$B79,$AF$3:$AF$870,"&gt;="&amp;$B79)/INDEX('01_INPUTS'!$E$17:$E$31,MATCH(E$23,'01_INPUTS'!$B$17:$B$31,0)))</f>
        <v>0</v>
      </c>
      <c r="F79" s="61">
        <f>IF(INDEX('01_INPUTS'!$E$17:$E$31,MATCH(F$23,'01_INPUTS'!$B$17:$B$31,0))=0,IF(SUMIFS($AD$3:$AD$870,$AC$3:$AC$870,F$23,$AE$3:$AE$870,"&lt;="&amp;$B79,$AF$3:$AF$870,"&gt;="&amp;$B79)=0,0,9.99),SUMIFS($AD$3:$AD$870,$AC$3:$AC$870,F$23,$AE$3:$AE$870,"&lt;="&amp;$B79,$AF$3:$AF$870,"&gt;="&amp;$B79)/INDEX('01_INPUTS'!$E$17:$E$31,MATCH(F$23,'01_INPUTS'!$B$17:$B$31,0)))</f>
        <v>0</v>
      </c>
      <c r="G79" s="61">
        <f>IF(INDEX('01_INPUTS'!$E$17:$E$31,MATCH(G$23,'01_INPUTS'!$B$17:$B$31,0))=0,IF(SUMIFS($AD$3:$AD$870,$AC$3:$AC$870,G$23,$AE$3:$AE$870,"&lt;="&amp;$B79,$AF$3:$AF$870,"&gt;="&amp;$B79)=0,0,9.99),SUMIFS($AD$3:$AD$870,$AC$3:$AC$870,G$23,$AE$3:$AE$870,"&lt;="&amp;$B79,$AF$3:$AF$870,"&gt;="&amp;$B79)/INDEX('01_INPUTS'!$E$17:$E$31,MATCH(G$23,'01_INPUTS'!$B$17:$B$31,0)))</f>
        <v>0</v>
      </c>
      <c r="H79" s="61">
        <f>IF(INDEX('01_INPUTS'!$E$17:$E$31,MATCH(H$23,'01_INPUTS'!$B$17:$B$31,0))=0,IF(SUMIFS($AD$3:$AD$870,$AC$3:$AC$870,H$23,$AE$3:$AE$870,"&lt;="&amp;$B79,$AF$3:$AF$870,"&gt;="&amp;$B79)=0,0,9.99),SUMIFS($AD$3:$AD$870,$AC$3:$AC$870,H$23,$AE$3:$AE$870,"&lt;="&amp;$B79,$AF$3:$AF$870,"&gt;="&amp;$B79)/INDEX('01_INPUTS'!$E$17:$E$31,MATCH(H$23,'01_INPUTS'!$B$17:$B$31,0)))</f>
        <v>1</v>
      </c>
      <c r="I79" s="61">
        <f>IF(INDEX('01_INPUTS'!$E$17:$E$31,MATCH(I$23,'01_INPUTS'!$B$17:$B$31,0))=0,IF(SUMIFS($AD$3:$AD$870,$AC$3:$AC$870,I$23,$AE$3:$AE$870,"&lt;="&amp;$B79,$AF$3:$AF$870,"&gt;="&amp;$B79)=0,0,9.99),SUMIFS($AD$3:$AD$870,$AC$3:$AC$870,I$23,$AE$3:$AE$870,"&lt;="&amp;$B79,$AF$3:$AF$870,"&gt;="&amp;$B79)/INDEX('01_INPUTS'!$E$17:$E$31,MATCH(I$23,'01_INPUTS'!$B$17:$B$31,0)))</f>
        <v>0</v>
      </c>
      <c r="J79" s="61">
        <f>IF(INDEX('01_INPUTS'!$E$17:$E$31,MATCH(J$23,'01_INPUTS'!$B$17:$B$31,0))=0,IF(SUMIFS($AD$3:$AD$870,$AC$3:$AC$870,J$23,$AE$3:$AE$870,"&lt;="&amp;$B79,$AF$3:$AF$870,"&gt;="&amp;$B79)=0,0,9.99),SUMIFS($AD$3:$AD$870,$AC$3:$AC$870,J$23,$AE$3:$AE$870,"&lt;="&amp;$B79,$AF$3:$AF$870,"&gt;="&amp;$B79)/INDEX('01_INPUTS'!$E$17:$E$31,MATCH(J$23,'01_INPUTS'!$B$17:$B$31,0)))</f>
        <v>1</v>
      </c>
      <c r="K79" s="61">
        <f>IF(INDEX('01_INPUTS'!$E$17:$E$31,MATCH(K$23,'01_INPUTS'!$B$17:$B$31,0))=0,IF(SUMIFS($AD$3:$AD$870,$AC$3:$AC$870,K$23,$AE$3:$AE$870,"&lt;="&amp;$B79,$AF$3:$AF$870,"&gt;="&amp;$B79)=0,0,9.99),SUMIFS($AD$3:$AD$870,$AC$3:$AC$870,K$23,$AE$3:$AE$870,"&lt;="&amp;$B79,$AF$3:$AF$870,"&gt;="&amp;$B79)/INDEX('01_INPUTS'!$E$17:$E$31,MATCH(K$23,'01_INPUTS'!$B$17:$B$31,0)))</f>
        <v>1</v>
      </c>
      <c r="L79" s="61">
        <f>IF(INDEX('01_INPUTS'!$E$17:$E$31,MATCH(L$23,'01_INPUTS'!$B$17:$B$31,0))=0,IF(SUMIFS($AD$3:$AD$870,$AC$3:$AC$870,L$23,$AE$3:$AE$870,"&lt;="&amp;$B79,$AF$3:$AF$870,"&gt;="&amp;$B79)=0,0,9.99),SUMIFS($AD$3:$AD$870,$AC$3:$AC$870,L$23,$AE$3:$AE$870,"&lt;="&amp;$B79,$AF$3:$AF$870,"&gt;="&amp;$B79)/INDEX('01_INPUTS'!$E$17:$E$31,MATCH(L$23,'01_INPUTS'!$B$17:$B$31,0)))</f>
        <v>1</v>
      </c>
      <c r="M79" s="61">
        <f>IF(INDEX('01_INPUTS'!$E$17:$E$31,MATCH(M$23,'01_INPUTS'!$B$17:$B$31,0))=0,IF(SUMIFS($AD$3:$AD$870,$AC$3:$AC$870,M$23,$AE$3:$AE$870,"&lt;="&amp;$B79,$AF$3:$AF$870,"&gt;="&amp;$B79)=0,0,9.99),SUMIFS($AD$3:$AD$870,$AC$3:$AC$870,M$23,$AE$3:$AE$870,"&lt;="&amp;$B79,$AF$3:$AF$870,"&gt;="&amp;$B79)/INDEX('01_INPUTS'!$E$17:$E$31,MATCH(M$23,'01_INPUTS'!$B$17:$B$31,0)))</f>
        <v>1</v>
      </c>
      <c r="N79" s="61">
        <f>IF(INDEX('01_INPUTS'!$E$17:$E$31,MATCH(N$23,'01_INPUTS'!$B$17:$B$31,0))=0,IF(SUMIFS($AD$3:$AD$870,$AC$3:$AC$870,N$23,$AE$3:$AE$870,"&lt;="&amp;$B79,$AF$3:$AF$870,"&gt;="&amp;$B79)=0,0,9.99),SUMIFS($AD$3:$AD$870,$AC$3:$AC$870,N$23,$AE$3:$AE$870,"&lt;="&amp;$B79,$AF$3:$AF$870,"&gt;="&amp;$B79)/INDEX('01_INPUTS'!$E$17:$E$31,MATCH(N$23,'01_INPUTS'!$B$17:$B$31,0)))</f>
        <v>1</v>
      </c>
      <c r="O79" s="61">
        <f>IF(INDEX('01_INPUTS'!$E$17:$E$31,MATCH(O$23,'01_INPUTS'!$B$17:$B$31,0))=0,IF(SUMIFS($AD$3:$AD$870,$AC$3:$AC$870,O$23,$AE$3:$AE$870,"&lt;="&amp;$B79,$AF$3:$AF$870,"&gt;="&amp;$B79)=0,0,9.99),SUMIFS($AD$3:$AD$870,$AC$3:$AC$870,O$23,$AE$3:$AE$870,"&lt;="&amp;$B79,$AF$3:$AF$870,"&gt;="&amp;$B79)/INDEX('01_INPUTS'!$E$17:$E$31,MATCH(O$23,'01_INPUTS'!$B$17:$B$31,0)))</f>
        <v>1</v>
      </c>
      <c r="P79" s="61">
        <f>IF(INDEX('01_INPUTS'!$E$17:$E$31,MATCH(P$23,'01_INPUTS'!$B$17:$B$31,0))=0,IF(SUMIFS($AD$3:$AD$870,$AC$3:$AC$870,P$23,$AE$3:$AE$870,"&lt;="&amp;$B79,$AF$3:$AF$870,"&gt;="&amp;$B79)=0,0,9.99),SUMIFS($AD$3:$AD$870,$AC$3:$AC$870,P$23,$AE$3:$AE$870,"&lt;="&amp;$B79,$AF$3:$AF$870,"&gt;="&amp;$B79)/INDEX('01_INPUTS'!$E$17:$E$31,MATCH(P$23,'01_INPUTS'!$B$17:$B$31,0)))</f>
        <v>2</v>
      </c>
      <c r="Q79" s="61">
        <f>IF(INDEX('01_INPUTS'!$E$17:$E$31,MATCH(Q$23,'01_INPUTS'!$B$17:$B$31,0))=0,IF(SUMIFS($AD$3:$AD$870,$AC$3:$AC$870,Q$23,$AE$3:$AE$870,"&lt;="&amp;$B79,$AF$3:$AF$870,"&gt;="&amp;$B79)=0,0,9.99),SUMIFS($AD$3:$AD$870,$AC$3:$AC$870,Q$23,$AE$3:$AE$870,"&lt;="&amp;$B79,$AF$3:$AF$870,"&gt;="&amp;$B79)/INDEX('01_INPUTS'!$E$17:$E$31,MATCH(Q$23,'01_INPUTS'!$B$17:$B$31,0)))</f>
        <v>0</v>
      </c>
      <c r="R79" s="61">
        <f>IF(INDEX('01_INPUTS'!$E$17:$E$31,MATCH(R$23,'01_INPUTS'!$B$17:$B$31,0))=0,IF(SUMIFS($AD$3:$AD$870,$AC$3:$AC$870,R$23,$AE$3:$AE$870,"&lt;="&amp;$B79,$AF$3:$AF$870,"&gt;="&amp;$B79)=0,0,9.99),SUMIFS($AD$3:$AD$870,$AC$3:$AC$870,R$23,$AE$3:$AE$870,"&lt;="&amp;$B79,$AF$3:$AF$870,"&gt;="&amp;$B79)/INDEX('01_INPUTS'!$E$17:$E$31,MATCH(R$23,'01_INPUTS'!$B$17:$B$31,0)))</f>
        <v>0</v>
      </c>
      <c r="S79">
        <f t="shared" si="5"/>
        <v>12</v>
      </c>
      <c r="T79">
        <f>SUM('01_INPUTS'!$E$17:$E$31)</f>
        <v>20</v>
      </c>
      <c r="U79" s="61">
        <f t="shared" si="6"/>
        <v>0.6</v>
      </c>
      <c r="V79">
        <f t="shared" si="7"/>
        <v>1</v>
      </c>
      <c r="W79" t="str">
        <f t="shared" si="8"/>
        <v>ROJO</v>
      </c>
      <c r="AA79" s="51" t="str">
        <f>'Sites Master'!$B$3</f>
        <v>Site 02</v>
      </c>
      <c r="AB79" s="51" t="str">
        <f>'Phase-Resource Allocation'!$B$78</f>
        <v>Functional Review</v>
      </c>
      <c r="AC79" s="51" t="str">
        <f>'Phase-Resource Allocation'!$C$78</f>
        <v>SAP Integrations Lead</v>
      </c>
      <c r="AD79" s="60">
        <f>'Phase-Resource Allocation'!$D$78</f>
        <v>0.5</v>
      </c>
      <c r="AE79" s="51">
        <f>IFERROR(INDEX('02_SCHEDULE'!$K$5:$K$124,MATCH(AA79&amp;"|"&amp;AB79,'02_SCHEDULE'!$M$5:$M$124,0)),0)</f>
        <v>6</v>
      </c>
      <c r="AF79" s="51">
        <f>IFERROR(INDEX('02_SCHEDULE'!$L$5:$L$124,MATCH(AA79&amp;"|"&amp;AB79,'02_SCHEDULE'!$M$5:$M$124,0)),0)</f>
        <v>6</v>
      </c>
      <c r="AG79" s="51">
        <f t="shared" si="9"/>
        <v>0.5</v>
      </c>
    </row>
    <row r="80" spans="2:33" x14ac:dyDescent="0.3">
      <c r="B80">
        <f>57</f>
        <v>57</v>
      </c>
      <c r="C80" s="55">
        <f>'01_INPUTS'!$C$7+(57-1)*7</f>
        <v>46643</v>
      </c>
      <c r="D80" s="61">
        <f>IF(INDEX('01_INPUTS'!$E$17:$E$31,MATCH(D$23,'01_INPUTS'!$B$17:$B$31,0))=0,IF(SUMIFS($AD$3:$AD$870,$AC$3:$AC$870,D$23,$AE$3:$AE$870,"&lt;="&amp;$B80,$AF$3:$AF$870,"&gt;="&amp;$B80)=0,0,9.99),SUMIFS($AD$3:$AD$870,$AC$3:$AC$870,D$23,$AE$3:$AE$870,"&lt;="&amp;$B80,$AF$3:$AF$870,"&gt;="&amp;$B80)/INDEX('01_INPUTS'!$E$17:$E$31,MATCH(D$23,'01_INPUTS'!$B$17:$B$31,0)))</f>
        <v>1</v>
      </c>
      <c r="E80" s="61">
        <f>IF(INDEX('01_INPUTS'!$E$17:$E$31,MATCH(E$23,'01_INPUTS'!$B$17:$B$31,0))=0,IF(SUMIFS($AD$3:$AD$870,$AC$3:$AC$870,E$23,$AE$3:$AE$870,"&lt;="&amp;$B80,$AF$3:$AF$870,"&gt;="&amp;$B80)=0,0,9.99),SUMIFS($AD$3:$AD$870,$AC$3:$AC$870,E$23,$AE$3:$AE$870,"&lt;="&amp;$B80,$AF$3:$AF$870,"&gt;="&amp;$B80)/INDEX('01_INPUTS'!$E$17:$E$31,MATCH(E$23,'01_INPUTS'!$B$17:$B$31,0)))</f>
        <v>0</v>
      </c>
      <c r="F80" s="61">
        <f>IF(INDEX('01_INPUTS'!$E$17:$E$31,MATCH(F$23,'01_INPUTS'!$B$17:$B$31,0))=0,IF(SUMIFS($AD$3:$AD$870,$AC$3:$AC$870,F$23,$AE$3:$AE$870,"&lt;="&amp;$B80,$AF$3:$AF$870,"&gt;="&amp;$B80)=0,0,9.99),SUMIFS($AD$3:$AD$870,$AC$3:$AC$870,F$23,$AE$3:$AE$870,"&lt;="&amp;$B80,$AF$3:$AF$870,"&gt;="&amp;$B80)/INDEX('01_INPUTS'!$E$17:$E$31,MATCH(F$23,'01_INPUTS'!$B$17:$B$31,0)))</f>
        <v>0</v>
      </c>
      <c r="G80" s="61">
        <f>IF(INDEX('01_INPUTS'!$E$17:$E$31,MATCH(G$23,'01_INPUTS'!$B$17:$B$31,0))=0,IF(SUMIFS($AD$3:$AD$870,$AC$3:$AC$870,G$23,$AE$3:$AE$870,"&lt;="&amp;$B80,$AF$3:$AF$870,"&gt;="&amp;$B80)=0,0,9.99),SUMIFS($AD$3:$AD$870,$AC$3:$AC$870,G$23,$AE$3:$AE$870,"&lt;="&amp;$B80,$AF$3:$AF$870,"&gt;="&amp;$B80)/INDEX('01_INPUTS'!$E$17:$E$31,MATCH(G$23,'01_INPUTS'!$B$17:$B$31,0)))</f>
        <v>0</v>
      </c>
      <c r="H80" s="61">
        <f>IF(INDEX('01_INPUTS'!$E$17:$E$31,MATCH(H$23,'01_INPUTS'!$B$17:$B$31,0))=0,IF(SUMIFS($AD$3:$AD$870,$AC$3:$AC$870,H$23,$AE$3:$AE$870,"&lt;="&amp;$B80,$AF$3:$AF$870,"&gt;="&amp;$B80)=0,0,9.99),SUMIFS($AD$3:$AD$870,$AC$3:$AC$870,H$23,$AE$3:$AE$870,"&lt;="&amp;$B80,$AF$3:$AF$870,"&gt;="&amp;$B80)/INDEX('01_INPUTS'!$E$17:$E$31,MATCH(H$23,'01_INPUTS'!$B$17:$B$31,0)))</f>
        <v>1</v>
      </c>
      <c r="I80" s="61">
        <f>IF(INDEX('01_INPUTS'!$E$17:$E$31,MATCH(I$23,'01_INPUTS'!$B$17:$B$31,0))=0,IF(SUMIFS($AD$3:$AD$870,$AC$3:$AC$870,I$23,$AE$3:$AE$870,"&lt;="&amp;$B80,$AF$3:$AF$870,"&gt;="&amp;$B80)=0,0,9.99),SUMIFS($AD$3:$AD$870,$AC$3:$AC$870,I$23,$AE$3:$AE$870,"&lt;="&amp;$B80,$AF$3:$AF$870,"&gt;="&amp;$B80)/INDEX('01_INPUTS'!$E$17:$E$31,MATCH(I$23,'01_INPUTS'!$B$17:$B$31,0)))</f>
        <v>0</v>
      </c>
      <c r="J80" s="61">
        <f>IF(INDEX('01_INPUTS'!$E$17:$E$31,MATCH(J$23,'01_INPUTS'!$B$17:$B$31,0))=0,IF(SUMIFS($AD$3:$AD$870,$AC$3:$AC$870,J$23,$AE$3:$AE$870,"&lt;="&amp;$B80,$AF$3:$AF$870,"&gt;="&amp;$B80)=0,0,9.99),SUMIFS($AD$3:$AD$870,$AC$3:$AC$870,J$23,$AE$3:$AE$870,"&lt;="&amp;$B80,$AF$3:$AF$870,"&gt;="&amp;$B80)/INDEX('01_INPUTS'!$E$17:$E$31,MATCH(J$23,'01_INPUTS'!$B$17:$B$31,0)))</f>
        <v>1</v>
      </c>
      <c r="K80" s="61">
        <f>IF(INDEX('01_INPUTS'!$E$17:$E$31,MATCH(K$23,'01_INPUTS'!$B$17:$B$31,0))=0,IF(SUMIFS($AD$3:$AD$870,$AC$3:$AC$870,K$23,$AE$3:$AE$870,"&lt;="&amp;$B80,$AF$3:$AF$870,"&gt;="&amp;$B80)=0,0,9.99),SUMIFS($AD$3:$AD$870,$AC$3:$AC$870,K$23,$AE$3:$AE$870,"&lt;="&amp;$B80,$AF$3:$AF$870,"&gt;="&amp;$B80)/INDEX('01_INPUTS'!$E$17:$E$31,MATCH(K$23,'01_INPUTS'!$B$17:$B$31,0)))</f>
        <v>1</v>
      </c>
      <c r="L80" s="61">
        <f>IF(INDEX('01_INPUTS'!$E$17:$E$31,MATCH(L$23,'01_INPUTS'!$B$17:$B$31,0))=0,IF(SUMIFS($AD$3:$AD$870,$AC$3:$AC$870,L$23,$AE$3:$AE$870,"&lt;="&amp;$B80,$AF$3:$AF$870,"&gt;="&amp;$B80)=0,0,9.99),SUMIFS($AD$3:$AD$870,$AC$3:$AC$870,L$23,$AE$3:$AE$870,"&lt;="&amp;$B80,$AF$3:$AF$870,"&gt;="&amp;$B80)/INDEX('01_INPUTS'!$E$17:$E$31,MATCH(L$23,'01_INPUTS'!$B$17:$B$31,0)))</f>
        <v>1</v>
      </c>
      <c r="M80" s="61">
        <f>IF(INDEX('01_INPUTS'!$E$17:$E$31,MATCH(M$23,'01_INPUTS'!$B$17:$B$31,0))=0,IF(SUMIFS($AD$3:$AD$870,$AC$3:$AC$870,M$23,$AE$3:$AE$870,"&lt;="&amp;$B80,$AF$3:$AF$870,"&gt;="&amp;$B80)=0,0,9.99),SUMIFS($AD$3:$AD$870,$AC$3:$AC$870,M$23,$AE$3:$AE$870,"&lt;="&amp;$B80,$AF$3:$AF$870,"&gt;="&amp;$B80)/INDEX('01_INPUTS'!$E$17:$E$31,MATCH(M$23,'01_INPUTS'!$B$17:$B$31,0)))</f>
        <v>1</v>
      </c>
      <c r="N80" s="61">
        <f>IF(INDEX('01_INPUTS'!$E$17:$E$31,MATCH(N$23,'01_INPUTS'!$B$17:$B$31,0))=0,IF(SUMIFS($AD$3:$AD$870,$AC$3:$AC$870,N$23,$AE$3:$AE$870,"&lt;="&amp;$B80,$AF$3:$AF$870,"&gt;="&amp;$B80)=0,0,9.99),SUMIFS($AD$3:$AD$870,$AC$3:$AC$870,N$23,$AE$3:$AE$870,"&lt;="&amp;$B80,$AF$3:$AF$870,"&gt;="&amp;$B80)/INDEX('01_INPUTS'!$E$17:$E$31,MATCH(N$23,'01_INPUTS'!$B$17:$B$31,0)))</f>
        <v>1</v>
      </c>
      <c r="O80" s="61">
        <f>IF(INDEX('01_INPUTS'!$E$17:$E$31,MATCH(O$23,'01_INPUTS'!$B$17:$B$31,0))=0,IF(SUMIFS($AD$3:$AD$870,$AC$3:$AC$870,O$23,$AE$3:$AE$870,"&lt;="&amp;$B80,$AF$3:$AF$870,"&gt;="&amp;$B80)=0,0,9.99),SUMIFS($AD$3:$AD$870,$AC$3:$AC$870,O$23,$AE$3:$AE$870,"&lt;="&amp;$B80,$AF$3:$AF$870,"&gt;="&amp;$B80)/INDEX('01_INPUTS'!$E$17:$E$31,MATCH(O$23,'01_INPUTS'!$B$17:$B$31,0)))</f>
        <v>1</v>
      </c>
      <c r="P80" s="61">
        <f>IF(INDEX('01_INPUTS'!$E$17:$E$31,MATCH(P$23,'01_INPUTS'!$B$17:$B$31,0))=0,IF(SUMIFS($AD$3:$AD$870,$AC$3:$AC$870,P$23,$AE$3:$AE$870,"&lt;="&amp;$B80,$AF$3:$AF$870,"&gt;="&amp;$B80)=0,0,9.99),SUMIFS($AD$3:$AD$870,$AC$3:$AC$870,P$23,$AE$3:$AE$870,"&lt;="&amp;$B80,$AF$3:$AF$870,"&gt;="&amp;$B80)/INDEX('01_INPUTS'!$E$17:$E$31,MATCH(P$23,'01_INPUTS'!$B$17:$B$31,0)))</f>
        <v>2</v>
      </c>
      <c r="Q80" s="61">
        <f>IF(INDEX('01_INPUTS'!$E$17:$E$31,MATCH(Q$23,'01_INPUTS'!$B$17:$B$31,0))=0,IF(SUMIFS($AD$3:$AD$870,$AC$3:$AC$870,Q$23,$AE$3:$AE$870,"&lt;="&amp;$B80,$AF$3:$AF$870,"&gt;="&amp;$B80)=0,0,9.99),SUMIFS($AD$3:$AD$870,$AC$3:$AC$870,Q$23,$AE$3:$AE$870,"&lt;="&amp;$B80,$AF$3:$AF$870,"&gt;="&amp;$B80)/INDEX('01_INPUTS'!$E$17:$E$31,MATCH(Q$23,'01_INPUTS'!$B$17:$B$31,0)))</f>
        <v>0</v>
      </c>
      <c r="R80" s="61">
        <f>IF(INDEX('01_INPUTS'!$E$17:$E$31,MATCH(R$23,'01_INPUTS'!$B$17:$B$31,0))=0,IF(SUMIFS($AD$3:$AD$870,$AC$3:$AC$870,R$23,$AE$3:$AE$870,"&lt;="&amp;$B80,$AF$3:$AF$870,"&gt;="&amp;$B80)=0,0,9.99),SUMIFS($AD$3:$AD$870,$AC$3:$AC$870,R$23,$AE$3:$AE$870,"&lt;="&amp;$B80,$AF$3:$AF$870,"&gt;="&amp;$B80)/INDEX('01_INPUTS'!$E$17:$E$31,MATCH(R$23,'01_INPUTS'!$B$17:$B$31,0)))</f>
        <v>0</v>
      </c>
      <c r="S80">
        <f t="shared" si="5"/>
        <v>12</v>
      </c>
      <c r="T80">
        <f>SUM('01_INPUTS'!$E$17:$E$31)</f>
        <v>20</v>
      </c>
      <c r="U80" s="61">
        <f t="shared" si="6"/>
        <v>0.6</v>
      </c>
      <c r="V80">
        <f t="shared" si="7"/>
        <v>1</v>
      </c>
      <c r="W80" t="str">
        <f t="shared" si="8"/>
        <v>ROJO</v>
      </c>
      <c r="AA80" s="51" t="str">
        <f>'Sites Master'!$B$3</f>
        <v>Site 02</v>
      </c>
      <c r="AB80" s="51" t="str">
        <f>'Phase-Resource Allocation'!$B$79</f>
        <v>Functional Review</v>
      </c>
      <c r="AC80" s="51" t="str">
        <f>'Phase-Resource Allocation'!$C$79</f>
        <v>SAP Integrations Specialist</v>
      </c>
      <c r="AD80" s="60">
        <f>'Phase-Resource Allocation'!$D$79</f>
        <v>0.5</v>
      </c>
      <c r="AE80" s="51">
        <f>IFERROR(INDEX('02_SCHEDULE'!$K$5:$K$124,MATCH(AA80&amp;"|"&amp;AB80,'02_SCHEDULE'!$M$5:$M$124,0)),0)</f>
        <v>6</v>
      </c>
      <c r="AF80" s="51">
        <f>IFERROR(INDEX('02_SCHEDULE'!$L$5:$L$124,MATCH(AA80&amp;"|"&amp;AB80,'02_SCHEDULE'!$M$5:$M$124,0)),0)</f>
        <v>6</v>
      </c>
      <c r="AG80" s="51">
        <f t="shared" si="9"/>
        <v>0.5</v>
      </c>
    </row>
    <row r="81" spans="2:33" x14ac:dyDescent="0.3">
      <c r="B81">
        <f>58</f>
        <v>58</v>
      </c>
      <c r="C81" s="55">
        <f>'01_INPUTS'!$C$7+(58-1)*7</f>
        <v>46650</v>
      </c>
      <c r="D81" s="61">
        <f>IF(INDEX('01_INPUTS'!$E$17:$E$31,MATCH(D$23,'01_INPUTS'!$B$17:$B$31,0))=0,IF(SUMIFS($AD$3:$AD$870,$AC$3:$AC$870,D$23,$AE$3:$AE$870,"&lt;="&amp;$B81,$AF$3:$AF$870,"&gt;="&amp;$B81)=0,0,9.99),SUMIFS($AD$3:$AD$870,$AC$3:$AC$870,D$23,$AE$3:$AE$870,"&lt;="&amp;$B81,$AF$3:$AF$870,"&gt;="&amp;$B81)/INDEX('01_INPUTS'!$E$17:$E$31,MATCH(D$23,'01_INPUTS'!$B$17:$B$31,0)))</f>
        <v>0.5</v>
      </c>
      <c r="E81" s="61">
        <f>IF(INDEX('01_INPUTS'!$E$17:$E$31,MATCH(E$23,'01_INPUTS'!$B$17:$B$31,0))=0,IF(SUMIFS($AD$3:$AD$870,$AC$3:$AC$870,E$23,$AE$3:$AE$870,"&lt;="&amp;$B81,$AF$3:$AF$870,"&gt;="&amp;$B81)=0,0,9.99),SUMIFS($AD$3:$AD$870,$AC$3:$AC$870,E$23,$AE$3:$AE$870,"&lt;="&amp;$B81,$AF$3:$AF$870,"&gt;="&amp;$B81)/INDEX('01_INPUTS'!$E$17:$E$31,MATCH(E$23,'01_INPUTS'!$B$17:$B$31,0)))</f>
        <v>0</v>
      </c>
      <c r="F81" s="61">
        <f>IF(INDEX('01_INPUTS'!$E$17:$E$31,MATCH(F$23,'01_INPUTS'!$B$17:$B$31,0))=0,IF(SUMIFS($AD$3:$AD$870,$AC$3:$AC$870,F$23,$AE$3:$AE$870,"&lt;="&amp;$B81,$AF$3:$AF$870,"&gt;="&amp;$B81)=0,0,9.99),SUMIFS($AD$3:$AD$870,$AC$3:$AC$870,F$23,$AE$3:$AE$870,"&lt;="&amp;$B81,$AF$3:$AF$870,"&gt;="&amp;$B81)/INDEX('01_INPUTS'!$E$17:$E$31,MATCH(F$23,'01_INPUTS'!$B$17:$B$31,0)))</f>
        <v>0</v>
      </c>
      <c r="G81" s="61">
        <f>IF(INDEX('01_INPUTS'!$E$17:$E$31,MATCH(G$23,'01_INPUTS'!$B$17:$B$31,0))=0,IF(SUMIFS($AD$3:$AD$870,$AC$3:$AC$870,G$23,$AE$3:$AE$870,"&lt;="&amp;$B81,$AF$3:$AF$870,"&gt;="&amp;$B81)=0,0,9.99),SUMIFS($AD$3:$AD$870,$AC$3:$AC$870,G$23,$AE$3:$AE$870,"&lt;="&amp;$B81,$AF$3:$AF$870,"&gt;="&amp;$B81)/INDEX('01_INPUTS'!$E$17:$E$31,MATCH(G$23,'01_INPUTS'!$B$17:$B$31,0)))</f>
        <v>0</v>
      </c>
      <c r="H81" s="61">
        <f>IF(INDEX('01_INPUTS'!$E$17:$E$31,MATCH(H$23,'01_INPUTS'!$B$17:$B$31,0))=0,IF(SUMIFS($AD$3:$AD$870,$AC$3:$AC$870,H$23,$AE$3:$AE$870,"&lt;="&amp;$B81,$AF$3:$AF$870,"&gt;="&amp;$B81)=0,0,9.99),SUMIFS($AD$3:$AD$870,$AC$3:$AC$870,H$23,$AE$3:$AE$870,"&lt;="&amp;$B81,$AF$3:$AF$870,"&gt;="&amp;$B81)/INDEX('01_INPUTS'!$E$17:$E$31,MATCH(H$23,'01_INPUTS'!$B$17:$B$31,0)))</f>
        <v>1</v>
      </c>
      <c r="I81" s="61">
        <f>IF(INDEX('01_INPUTS'!$E$17:$E$31,MATCH(I$23,'01_INPUTS'!$B$17:$B$31,0))=0,IF(SUMIFS($AD$3:$AD$870,$AC$3:$AC$870,I$23,$AE$3:$AE$870,"&lt;="&amp;$B81,$AF$3:$AF$870,"&gt;="&amp;$B81)=0,0,9.99),SUMIFS($AD$3:$AD$870,$AC$3:$AC$870,I$23,$AE$3:$AE$870,"&lt;="&amp;$B81,$AF$3:$AF$870,"&gt;="&amp;$B81)/INDEX('01_INPUTS'!$E$17:$E$31,MATCH(I$23,'01_INPUTS'!$B$17:$B$31,0)))</f>
        <v>0</v>
      </c>
      <c r="J81" s="61">
        <f>IF(INDEX('01_INPUTS'!$E$17:$E$31,MATCH(J$23,'01_INPUTS'!$B$17:$B$31,0))=0,IF(SUMIFS($AD$3:$AD$870,$AC$3:$AC$870,J$23,$AE$3:$AE$870,"&lt;="&amp;$B81,$AF$3:$AF$870,"&gt;="&amp;$B81)=0,0,9.99),SUMIFS($AD$3:$AD$870,$AC$3:$AC$870,J$23,$AE$3:$AE$870,"&lt;="&amp;$B81,$AF$3:$AF$870,"&gt;="&amp;$B81)/INDEX('01_INPUTS'!$E$17:$E$31,MATCH(J$23,'01_INPUTS'!$B$17:$B$31,0)))</f>
        <v>0.5</v>
      </c>
      <c r="K81" s="61">
        <f>IF(INDEX('01_INPUTS'!$E$17:$E$31,MATCH(K$23,'01_INPUTS'!$B$17:$B$31,0))=0,IF(SUMIFS($AD$3:$AD$870,$AC$3:$AC$870,K$23,$AE$3:$AE$870,"&lt;="&amp;$B81,$AF$3:$AF$870,"&gt;="&amp;$B81)=0,0,9.99),SUMIFS($AD$3:$AD$870,$AC$3:$AC$870,K$23,$AE$3:$AE$870,"&lt;="&amp;$B81,$AF$3:$AF$870,"&gt;="&amp;$B81)/INDEX('01_INPUTS'!$E$17:$E$31,MATCH(K$23,'01_INPUTS'!$B$17:$B$31,0)))</f>
        <v>0.5</v>
      </c>
      <c r="L81" s="61">
        <f>IF(INDEX('01_INPUTS'!$E$17:$E$31,MATCH(L$23,'01_INPUTS'!$B$17:$B$31,0))=0,IF(SUMIFS($AD$3:$AD$870,$AC$3:$AC$870,L$23,$AE$3:$AE$870,"&lt;="&amp;$B81,$AF$3:$AF$870,"&gt;="&amp;$B81)=0,0,9.99),SUMIFS($AD$3:$AD$870,$AC$3:$AC$870,L$23,$AE$3:$AE$870,"&lt;="&amp;$B81,$AF$3:$AF$870,"&gt;="&amp;$B81)/INDEX('01_INPUTS'!$E$17:$E$31,MATCH(L$23,'01_INPUTS'!$B$17:$B$31,0)))</f>
        <v>0.5</v>
      </c>
      <c r="M81" s="61">
        <f>IF(INDEX('01_INPUTS'!$E$17:$E$31,MATCH(M$23,'01_INPUTS'!$B$17:$B$31,0))=0,IF(SUMIFS($AD$3:$AD$870,$AC$3:$AC$870,M$23,$AE$3:$AE$870,"&lt;="&amp;$B81,$AF$3:$AF$870,"&gt;="&amp;$B81)=0,0,9.99),SUMIFS($AD$3:$AD$870,$AC$3:$AC$870,M$23,$AE$3:$AE$870,"&lt;="&amp;$B81,$AF$3:$AF$870,"&gt;="&amp;$B81)/INDEX('01_INPUTS'!$E$17:$E$31,MATCH(M$23,'01_INPUTS'!$B$17:$B$31,0)))</f>
        <v>0.5</v>
      </c>
      <c r="N81" s="61">
        <f>IF(INDEX('01_INPUTS'!$E$17:$E$31,MATCH(N$23,'01_INPUTS'!$B$17:$B$31,0))=0,IF(SUMIFS($AD$3:$AD$870,$AC$3:$AC$870,N$23,$AE$3:$AE$870,"&lt;="&amp;$B81,$AF$3:$AF$870,"&gt;="&amp;$B81)=0,0,9.99),SUMIFS($AD$3:$AD$870,$AC$3:$AC$870,N$23,$AE$3:$AE$870,"&lt;="&amp;$B81,$AF$3:$AF$870,"&gt;="&amp;$B81)/INDEX('01_INPUTS'!$E$17:$E$31,MATCH(N$23,'01_INPUTS'!$B$17:$B$31,0)))</f>
        <v>0.5</v>
      </c>
      <c r="O81" s="61">
        <f>IF(INDEX('01_INPUTS'!$E$17:$E$31,MATCH(O$23,'01_INPUTS'!$B$17:$B$31,0))=0,IF(SUMIFS($AD$3:$AD$870,$AC$3:$AC$870,O$23,$AE$3:$AE$870,"&lt;="&amp;$B81,$AF$3:$AF$870,"&gt;="&amp;$B81)=0,0,9.99),SUMIFS($AD$3:$AD$870,$AC$3:$AC$870,O$23,$AE$3:$AE$870,"&lt;="&amp;$B81,$AF$3:$AF$870,"&gt;="&amp;$B81)/INDEX('01_INPUTS'!$E$17:$E$31,MATCH(O$23,'01_INPUTS'!$B$17:$B$31,0)))</f>
        <v>0.5</v>
      </c>
      <c r="P81" s="61">
        <f>IF(INDEX('01_INPUTS'!$E$17:$E$31,MATCH(P$23,'01_INPUTS'!$B$17:$B$31,0))=0,IF(SUMIFS($AD$3:$AD$870,$AC$3:$AC$870,P$23,$AE$3:$AE$870,"&lt;="&amp;$B81,$AF$3:$AF$870,"&gt;="&amp;$B81)=0,0,9.99),SUMIFS($AD$3:$AD$870,$AC$3:$AC$870,P$23,$AE$3:$AE$870,"&lt;="&amp;$B81,$AF$3:$AF$870,"&gt;="&amp;$B81)/INDEX('01_INPUTS'!$E$17:$E$31,MATCH(P$23,'01_INPUTS'!$B$17:$B$31,0)))</f>
        <v>2</v>
      </c>
      <c r="Q81" s="61">
        <f>IF(INDEX('01_INPUTS'!$E$17:$E$31,MATCH(Q$23,'01_INPUTS'!$B$17:$B$31,0))=0,IF(SUMIFS($AD$3:$AD$870,$AC$3:$AC$870,Q$23,$AE$3:$AE$870,"&lt;="&amp;$B81,$AF$3:$AF$870,"&gt;="&amp;$B81)=0,0,9.99),SUMIFS($AD$3:$AD$870,$AC$3:$AC$870,Q$23,$AE$3:$AE$870,"&lt;="&amp;$B81,$AF$3:$AF$870,"&gt;="&amp;$B81)/INDEX('01_INPUTS'!$E$17:$E$31,MATCH(Q$23,'01_INPUTS'!$B$17:$B$31,0)))</f>
        <v>0</v>
      </c>
      <c r="R81" s="61">
        <f>IF(INDEX('01_INPUTS'!$E$17:$E$31,MATCH(R$23,'01_INPUTS'!$B$17:$B$31,0))=0,IF(SUMIFS($AD$3:$AD$870,$AC$3:$AC$870,R$23,$AE$3:$AE$870,"&lt;="&amp;$B81,$AF$3:$AF$870,"&gt;="&amp;$B81)=0,0,9.99),SUMIFS($AD$3:$AD$870,$AC$3:$AC$870,R$23,$AE$3:$AE$870,"&lt;="&amp;$B81,$AF$3:$AF$870,"&gt;="&amp;$B81)/INDEX('01_INPUTS'!$E$17:$E$31,MATCH(R$23,'01_INPUTS'!$B$17:$B$31,0)))</f>
        <v>0</v>
      </c>
      <c r="S81">
        <f t="shared" si="5"/>
        <v>8</v>
      </c>
      <c r="T81">
        <f>SUM('01_INPUTS'!$E$17:$E$31)</f>
        <v>20</v>
      </c>
      <c r="U81" s="61">
        <f t="shared" si="6"/>
        <v>0.4</v>
      </c>
      <c r="V81">
        <f t="shared" si="7"/>
        <v>1</v>
      </c>
      <c r="W81" t="str">
        <f t="shared" si="8"/>
        <v>ROJO</v>
      </c>
      <c r="AA81" s="51" t="str">
        <f>'Sites Master'!$B$3</f>
        <v>Site 02</v>
      </c>
      <c r="AB81" s="51" t="str">
        <f>'Phase-Resource Allocation'!$B$80</f>
        <v>Functional Review</v>
      </c>
      <c r="AC81" s="51" t="str">
        <f>'Phase-Resource Allocation'!$C$80</f>
        <v>Azure Lead</v>
      </c>
      <c r="AD81" s="60">
        <f>'Phase-Resource Allocation'!$D$80</f>
        <v>0.5</v>
      </c>
      <c r="AE81" s="51">
        <f>IFERROR(INDEX('02_SCHEDULE'!$K$5:$K$124,MATCH(AA81&amp;"|"&amp;AB81,'02_SCHEDULE'!$M$5:$M$124,0)),0)</f>
        <v>6</v>
      </c>
      <c r="AF81" s="51">
        <f>IFERROR(INDEX('02_SCHEDULE'!$L$5:$L$124,MATCH(AA81&amp;"|"&amp;AB81,'02_SCHEDULE'!$M$5:$M$124,0)),0)</f>
        <v>6</v>
      </c>
      <c r="AG81" s="51">
        <f t="shared" si="9"/>
        <v>0.5</v>
      </c>
    </row>
    <row r="82" spans="2:33" x14ac:dyDescent="0.3">
      <c r="B82">
        <f>59</f>
        <v>59</v>
      </c>
      <c r="C82" s="55">
        <f>'01_INPUTS'!$C$7+(59-1)*7</f>
        <v>46657</v>
      </c>
      <c r="D82" s="61">
        <f>IF(INDEX('01_INPUTS'!$E$17:$E$31,MATCH(D$23,'01_INPUTS'!$B$17:$B$31,0))=0,IF(SUMIFS($AD$3:$AD$870,$AC$3:$AC$870,D$23,$AE$3:$AE$870,"&lt;="&amp;$B82,$AF$3:$AF$870,"&gt;="&amp;$B82)=0,0,9.99),SUMIFS($AD$3:$AD$870,$AC$3:$AC$870,D$23,$AE$3:$AE$870,"&lt;="&amp;$B82,$AF$3:$AF$870,"&gt;="&amp;$B82)/INDEX('01_INPUTS'!$E$17:$E$31,MATCH(D$23,'01_INPUTS'!$B$17:$B$31,0)))</f>
        <v>0</v>
      </c>
      <c r="E82" s="61">
        <f>IF(INDEX('01_INPUTS'!$E$17:$E$31,MATCH(E$23,'01_INPUTS'!$B$17:$B$31,0))=0,IF(SUMIFS($AD$3:$AD$870,$AC$3:$AC$870,E$23,$AE$3:$AE$870,"&lt;="&amp;$B82,$AF$3:$AF$870,"&gt;="&amp;$B82)=0,0,9.99),SUMIFS($AD$3:$AD$870,$AC$3:$AC$870,E$23,$AE$3:$AE$870,"&lt;="&amp;$B82,$AF$3:$AF$870,"&gt;="&amp;$B82)/INDEX('01_INPUTS'!$E$17:$E$31,MATCH(E$23,'01_INPUTS'!$B$17:$B$31,0)))</f>
        <v>0</v>
      </c>
      <c r="F82" s="61">
        <f>IF(INDEX('01_INPUTS'!$E$17:$E$31,MATCH(F$23,'01_INPUTS'!$B$17:$B$31,0))=0,IF(SUMIFS($AD$3:$AD$870,$AC$3:$AC$870,F$23,$AE$3:$AE$870,"&lt;="&amp;$B82,$AF$3:$AF$870,"&gt;="&amp;$B82)=0,0,9.99),SUMIFS($AD$3:$AD$870,$AC$3:$AC$870,F$23,$AE$3:$AE$870,"&lt;="&amp;$B82,$AF$3:$AF$870,"&gt;="&amp;$B82)/INDEX('01_INPUTS'!$E$17:$E$31,MATCH(F$23,'01_INPUTS'!$B$17:$B$31,0)))</f>
        <v>0</v>
      </c>
      <c r="G82" s="61">
        <f>IF(INDEX('01_INPUTS'!$E$17:$E$31,MATCH(G$23,'01_INPUTS'!$B$17:$B$31,0))=0,IF(SUMIFS($AD$3:$AD$870,$AC$3:$AC$870,G$23,$AE$3:$AE$870,"&lt;="&amp;$B82,$AF$3:$AF$870,"&gt;="&amp;$B82)=0,0,9.99),SUMIFS($AD$3:$AD$870,$AC$3:$AC$870,G$23,$AE$3:$AE$870,"&lt;="&amp;$B82,$AF$3:$AF$870,"&gt;="&amp;$B82)/INDEX('01_INPUTS'!$E$17:$E$31,MATCH(G$23,'01_INPUTS'!$B$17:$B$31,0)))</f>
        <v>0</v>
      </c>
      <c r="H82" s="61">
        <f>IF(INDEX('01_INPUTS'!$E$17:$E$31,MATCH(H$23,'01_INPUTS'!$B$17:$B$31,0))=0,IF(SUMIFS($AD$3:$AD$870,$AC$3:$AC$870,H$23,$AE$3:$AE$870,"&lt;="&amp;$B82,$AF$3:$AF$870,"&gt;="&amp;$B82)=0,0,9.99),SUMIFS($AD$3:$AD$870,$AC$3:$AC$870,H$23,$AE$3:$AE$870,"&lt;="&amp;$B82,$AF$3:$AF$870,"&gt;="&amp;$B82)/INDEX('01_INPUTS'!$E$17:$E$31,MATCH(H$23,'01_INPUTS'!$B$17:$B$31,0)))</f>
        <v>1</v>
      </c>
      <c r="I82" s="61">
        <f>IF(INDEX('01_INPUTS'!$E$17:$E$31,MATCH(I$23,'01_INPUTS'!$B$17:$B$31,0))=0,IF(SUMIFS($AD$3:$AD$870,$AC$3:$AC$870,I$23,$AE$3:$AE$870,"&lt;="&amp;$B82,$AF$3:$AF$870,"&gt;="&amp;$B82)=0,0,9.99),SUMIFS($AD$3:$AD$870,$AC$3:$AC$870,I$23,$AE$3:$AE$870,"&lt;="&amp;$B82,$AF$3:$AF$870,"&gt;="&amp;$B82)/INDEX('01_INPUTS'!$E$17:$E$31,MATCH(I$23,'01_INPUTS'!$B$17:$B$31,0)))</f>
        <v>0</v>
      </c>
      <c r="J82" s="61">
        <f>IF(INDEX('01_INPUTS'!$E$17:$E$31,MATCH(J$23,'01_INPUTS'!$B$17:$B$31,0))=0,IF(SUMIFS($AD$3:$AD$870,$AC$3:$AC$870,J$23,$AE$3:$AE$870,"&lt;="&amp;$B82,$AF$3:$AF$870,"&gt;="&amp;$B82)=0,0,9.99),SUMIFS($AD$3:$AD$870,$AC$3:$AC$870,J$23,$AE$3:$AE$870,"&lt;="&amp;$B82,$AF$3:$AF$870,"&gt;="&amp;$B82)/INDEX('01_INPUTS'!$E$17:$E$31,MATCH(J$23,'01_INPUTS'!$B$17:$B$31,0)))</f>
        <v>0</v>
      </c>
      <c r="K82" s="61">
        <f>IF(INDEX('01_INPUTS'!$E$17:$E$31,MATCH(K$23,'01_INPUTS'!$B$17:$B$31,0))=0,IF(SUMIFS($AD$3:$AD$870,$AC$3:$AC$870,K$23,$AE$3:$AE$870,"&lt;="&amp;$B82,$AF$3:$AF$870,"&gt;="&amp;$B82)=0,0,9.99),SUMIFS($AD$3:$AD$870,$AC$3:$AC$870,K$23,$AE$3:$AE$870,"&lt;="&amp;$B82,$AF$3:$AF$870,"&gt;="&amp;$B82)/INDEX('01_INPUTS'!$E$17:$E$31,MATCH(K$23,'01_INPUTS'!$B$17:$B$31,0)))</f>
        <v>0</v>
      </c>
      <c r="L82" s="61">
        <f>IF(INDEX('01_INPUTS'!$E$17:$E$31,MATCH(L$23,'01_INPUTS'!$B$17:$B$31,0))=0,IF(SUMIFS($AD$3:$AD$870,$AC$3:$AC$870,L$23,$AE$3:$AE$870,"&lt;="&amp;$B82,$AF$3:$AF$870,"&gt;="&amp;$B82)=0,0,9.99),SUMIFS($AD$3:$AD$870,$AC$3:$AC$870,L$23,$AE$3:$AE$870,"&lt;="&amp;$B82,$AF$3:$AF$870,"&gt;="&amp;$B82)/INDEX('01_INPUTS'!$E$17:$E$31,MATCH(L$23,'01_INPUTS'!$B$17:$B$31,0)))</f>
        <v>0</v>
      </c>
      <c r="M82" s="61">
        <f>IF(INDEX('01_INPUTS'!$E$17:$E$31,MATCH(M$23,'01_INPUTS'!$B$17:$B$31,0))=0,IF(SUMIFS($AD$3:$AD$870,$AC$3:$AC$870,M$23,$AE$3:$AE$870,"&lt;="&amp;$B82,$AF$3:$AF$870,"&gt;="&amp;$B82)=0,0,9.99),SUMIFS($AD$3:$AD$870,$AC$3:$AC$870,M$23,$AE$3:$AE$870,"&lt;="&amp;$B82,$AF$3:$AF$870,"&gt;="&amp;$B82)/INDEX('01_INPUTS'!$E$17:$E$31,MATCH(M$23,'01_INPUTS'!$B$17:$B$31,0)))</f>
        <v>0</v>
      </c>
      <c r="N82" s="61">
        <f>IF(INDEX('01_INPUTS'!$E$17:$E$31,MATCH(N$23,'01_INPUTS'!$B$17:$B$31,0))=0,IF(SUMIFS($AD$3:$AD$870,$AC$3:$AC$870,N$23,$AE$3:$AE$870,"&lt;="&amp;$B82,$AF$3:$AF$870,"&gt;="&amp;$B82)=0,0,9.99),SUMIFS($AD$3:$AD$870,$AC$3:$AC$870,N$23,$AE$3:$AE$870,"&lt;="&amp;$B82,$AF$3:$AF$870,"&gt;="&amp;$B82)/INDEX('01_INPUTS'!$E$17:$E$31,MATCH(N$23,'01_INPUTS'!$B$17:$B$31,0)))</f>
        <v>0</v>
      </c>
      <c r="O82" s="61">
        <f>IF(INDEX('01_INPUTS'!$E$17:$E$31,MATCH(O$23,'01_INPUTS'!$B$17:$B$31,0))=0,IF(SUMIFS($AD$3:$AD$870,$AC$3:$AC$870,O$23,$AE$3:$AE$870,"&lt;="&amp;$B82,$AF$3:$AF$870,"&gt;="&amp;$B82)=0,0,9.99),SUMIFS($AD$3:$AD$870,$AC$3:$AC$870,O$23,$AE$3:$AE$870,"&lt;="&amp;$B82,$AF$3:$AF$870,"&gt;="&amp;$B82)/INDEX('01_INPUTS'!$E$17:$E$31,MATCH(O$23,'01_INPUTS'!$B$17:$B$31,0)))</f>
        <v>0</v>
      </c>
      <c r="P82" s="61">
        <f>IF(INDEX('01_INPUTS'!$E$17:$E$31,MATCH(P$23,'01_INPUTS'!$B$17:$B$31,0))=0,IF(SUMIFS($AD$3:$AD$870,$AC$3:$AC$870,P$23,$AE$3:$AE$870,"&lt;="&amp;$B82,$AF$3:$AF$870,"&gt;="&amp;$B82)=0,0,9.99),SUMIFS($AD$3:$AD$870,$AC$3:$AC$870,P$23,$AE$3:$AE$870,"&lt;="&amp;$B82,$AF$3:$AF$870,"&gt;="&amp;$B82)/INDEX('01_INPUTS'!$E$17:$E$31,MATCH(P$23,'01_INPUTS'!$B$17:$B$31,0)))</f>
        <v>2</v>
      </c>
      <c r="Q82" s="61">
        <f>IF(INDEX('01_INPUTS'!$E$17:$E$31,MATCH(Q$23,'01_INPUTS'!$B$17:$B$31,0))=0,IF(SUMIFS($AD$3:$AD$870,$AC$3:$AC$870,Q$23,$AE$3:$AE$870,"&lt;="&amp;$B82,$AF$3:$AF$870,"&gt;="&amp;$B82)=0,0,9.99),SUMIFS($AD$3:$AD$870,$AC$3:$AC$870,Q$23,$AE$3:$AE$870,"&lt;="&amp;$B82,$AF$3:$AF$870,"&gt;="&amp;$B82)/INDEX('01_INPUTS'!$E$17:$E$31,MATCH(Q$23,'01_INPUTS'!$B$17:$B$31,0)))</f>
        <v>0</v>
      </c>
      <c r="R82" s="61">
        <f>IF(INDEX('01_INPUTS'!$E$17:$E$31,MATCH(R$23,'01_INPUTS'!$B$17:$B$31,0))=0,IF(SUMIFS($AD$3:$AD$870,$AC$3:$AC$870,R$23,$AE$3:$AE$870,"&lt;="&amp;$B82,$AF$3:$AF$870,"&gt;="&amp;$B82)=0,0,9.99),SUMIFS($AD$3:$AD$870,$AC$3:$AC$870,R$23,$AE$3:$AE$870,"&lt;="&amp;$B82,$AF$3:$AF$870,"&gt;="&amp;$B82)/INDEX('01_INPUTS'!$E$17:$E$31,MATCH(R$23,'01_INPUTS'!$B$17:$B$31,0)))</f>
        <v>0</v>
      </c>
      <c r="S82">
        <f t="shared" si="5"/>
        <v>4</v>
      </c>
      <c r="T82">
        <f>SUM('01_INPUTS'!$E$17:$E$31)</f>
        <v>20</v>
      </c>
      <c r="U82" s="61">
        <f t="shared" si="6"/>
        <v>0.2</v>
      </c>
      <c r="V82">
        <f t="shared" si="7"/>
        <v>1</v>
      </c>
      <c r="W82" t="str">
        <f t="shared" si="8"/>
        <v>ROJO</v>
      </c>
      <c r="AA82" s="51" t="str">
        <f>'Sites Master'!$B$3</f>
        <v>Site 02</v>
      </c>
      <c r="AB82" s="51" t="str">
        <f>'Phase-Resource Allocation'!$B$81</f>
        <v>Functional Review</v>
      </c>
      <c r="AC82" s="51" t="str">
        <f>'Phase-Resource Allocation'!$C$81</f>
        <v>Azure Specialist</v>
      </c>
      <c r="AD82" s="60">
        <f>'Phase-Resource Allocation'!$D$81</f>
        <v>0.5</v>
      </c>
      <c r="AE82" s="51">
        <f>IFERROR(INDEX('02_SCHEDULE'!$K$5:$K$124,MATCH(AA82&amp;"|"&amp;AB82,'02_SCHEDULE'!$M$5:$M$124,0)),0)</f>
        <v>6</v>
      </c>
      <c r="AF82" s="51">
        <f>IFERROR(INDEX('02_SCHEDULE'!$L$5:$L$124,MATCH(AA82&amp;"|"&amp;AB82,'02_SCHEDULE'!$M$5:$M$124,0)),0)</f>
        <v>6</v>
      </c>
      <c r="AG82" s="51">
        <f t="shared" si="9"/>
        <v>0.5</v>
      </c>
    </row>
    <row r="83" spans="2:33" x14ac:dyDescent="0.3">
      <c r="B83">
        <f>60</f>
        <v>60</v>
      </c>
      <c r="C83" s="55">
        <f>'01_INPUTS'!$C$7+(60-1)*7</f>
        <v>46664</v>
      </c>
      <c r="D83" s="61">
        <f>IF(INDEX('01_INPUTS'!$E$17:$E$31,MATCH(D$23,'01_INPUTS'!$B$17:$B$31,0))=0,IF(SUMIFS($AD$3:$AD$870,$AC$3:$AC$870,D$23,$AE$3:$AE$870,"&lt;="&amp;$B83,$AF$3:$AF$870,"&gt;="&amp;$B83)=0,0,9.99),SUMIFS($AD$3:$AD$870,$AC$3:$AC$870,D$23,$AE$3:$AE$870,"&lt;="&amp;$B83,$AF$3:$AF$870,"&gt;="&amp;$B83)/INDEX('01_INPUTS'!$E$17:$E$31,MATCH(D$23,'01_INPUTS'!$B$17:$B$31,0)))</f>
        <v>0.5</v>
      </c>
      <c r="E83" s="61">
        <f>IF(INDEX('01_INPUTS'!$E$17:$E$31,MATCH(E$23,'01_INPUTS'!$B$17:$B$31,0))=0,IF(SUMIFS($AD$3:$AD$870,$AC$3:$AC$870,E$23,$AE$3:$AE$870,"&lt;="&amp;$B83,$AF$3:$AF$870,"&gt;="&amp;$B83)=0,0,9.99),SUMIFS($AD$3:$AD$870,$AC$3:$AC$870,E$23,$AE$3:$AE$870,"&lt;="&amp;$B83,$AF$3:$AF$870,"&gt;="&amp;$B83)/INDEX('01_INPUTS'!$E$17:$E$31,MATCH(E$23,'01_INPUTS'!$B$17:$B$31,0)))</f>
        <v>0</v>
      </c>
      <c r="F83" s="61">
        <f>IF(INDEX('01_INPUTS'!$E$17:$E$31,MATCH(F$23,'01_INPUTS'!$B$17:$B$31,0))=0,IF(SUMIFS($AD$3:$AD$870,$AC$3:$AC$870,F$23,$AE$3:$AE$870,"&lt;="&amp;$B83,$AF$3:$AF$870,"&gt;="&amp;$B83)=0,0,9.99),SUMIFS($AD$3:$AD$870,$AC$3:$AC$870,F$23,$AE$3:$AE$870,"&lt;="&amp;$B83,$AF$3:$AF$870,"&gt;="&amp;$B83)/INDEX('01_INPUTS'!$E$17:$E$31,MATCH(F$23,'01_INPUTS'!$B$17:$B$31,0)))</f>
        <v>0</v>
      </c>
      <c r="G83" s="61">
        <f>IF(INDEX('01_INPUTS'!$E$17:$E$31,MATCH(G$23,'01_INPUTS'!$B$17:$B$31,0))=0,IF(SUMIFS($AD$3:$AD$870,$AC$3:$AC$870,G$23,$AE$3:$AE$870,"&lt;="&amp;$B83,$AF$3:$AF$870,"&gt;="&amp;$B83)=0,0,9.99),SUMIFS($AD$3:$AD$870,$AC$3:$AC$870,G$23,$AE$3:$AE$870,"&lt;="&amp;$B83,$AF$3:$AF$870,"&gt;="&amp;$B83)/INDEX('01_INPUTS'!$E$17:$E$31,MATCH(G$23,'01_INPUTS'!$B$17:$B$31,0)))</f>
        <v>0</v>
      </c>
      <c r="H83" s="61">
        <f>IF(INDEX('01_INPUTS'!$E$17:$E$31,MATCH(H$23,'01_INPUTS'!$B$17:$B$31,0))=0,IF(SUMIFS($AD$3:$AD$870,$AC$3:$AC$870,H$23,$AE$3:$AE$870,"&lt;="&amp;$B83,$AF$3:$AF$870,"&gt;="&amp;$B83)=0,0,9.99),SUMIFS($AD$3:$AD$870,$AC$3:$AC$870,H$23,$AE$3:$AE$870,"&lt;="&amp;$B83,$AF$3:$AF$870,"&gt;="&amp;$B83)/INDEX('01_INPUTS'!$E$17:$E$31,MATCH(H$23,'01_INPUTS'!$B$17:$B$31,0)))</f>
        <v>1</v>
      </c>
      <c r="I83" s="61">
        <f>IF(INDEX('01_INPUTS'!$E$17:$E$31,MATCH(I$23,'01_INPUTS'!$B$17:$B$31,0))=0,IF(SUMIFS($AD$3:$AD$870,$AC$3:$AC$870,I$23,$AE$3:$AE$870,"&lt;="&amp;$B83,$AF$3:$AF$870,"&gt;="&amp;$B83)=0,0,9.99),SUMIFS($AD$3:$AD$870,$AC$3:$AC$870,I$23,$AE$3:$AE$870,"&lt;="&amp;$B83,$AF$3:$AF$870,"&gt;="&amp;$B83)/INDEX('01_INPUTS'!$E$17:$E$31,MATCH(I$23,'01_INPUTS'!$B$17:$B$31,0)))</f>
        <v>0</v>
      </c>
      <c r="J83" s="61">
        <f>IF(INDEX('01_INPUTS'!$E$17:$E$31,MATCH(J$23,'01_INPUTS'!$B$17:$B$31,0))=0,IF(SUMIFS($AD$3:$AD$870,$AC$3:$AC$870,J$23,$AE$3:$AE$870,"&lt;="&amp;$B83,$AF$3:$AF$870,"&gt;="&amp;$B83)=0,0,9.99),SUMIFS($AD$3:$AD$870,$AC$3:$AC$870,J$23,$AE$3:$AE$870,"&lt;="&amp;$B83,$AF$3:$AF$870,"&gt;="&amp;$B83)/INDEX('01_INPUTS'!$E$17:$E$31,MATCH(J$23,'01_INPUTS'!$B$17:$B$31,0)))</f>
        <v>0.5</v>
      </c>
      <c r="K83" s="61">
        <f>IF(INDEX('01_INPUTS'!$E$17:$E$31,MATCH(K$23,'01_INPUTS'!$B$17:$B$31,0))=0,IF(SUMIFS($AD$3:$AD$870,$AC$3:$AC$870,K$23,$AE$3:$AE$870,"&lt;="&amp;$B83,$AF$3:$AF$870,"&gt;="&amp;$B83)=0,0,9.99),SUMIFS($AD$3:$AD$870,$AC$3:$AC$870,K$23,$AE$3:$AE$870,"&lt;="&amp;$B83,$AF$3:$AF$870,"&gt;="&amp;$B83)/INDEX('01_INPUTS'!$E$17:$E$31,MATCH(K$23,'01_INPUTS'!$B$17:$B$31,0)))</f>
        <v>0</v>
      </c>
      <c r="L83" s="61">
        <f>IF(INDEX('01_INPUTS'!$E$17:$E$31,MATCH(L$23,'01_INPUTS'!$B$17:$B$31,0))=0,IF(SUMIFS($AD$3:$AD$870,$AC$3:$AC$870,L$23,$AE$3:$AE$870,"&lt;="&amp;$B83,$AF$3:$AF$870,"&gt;="&amp;$B83)=0,0,9.99),SUMIFS($AD$3:$AD$870,$AC$3:$AC$870,L$23,$AE$3:$AE$870,"&lt;="&amp;$B83,$AF$3:$AF$870,"&gt;="&amp;$B83)/INDEX('01_INPUTS'!$E$17:$E$31,MATCH(L$23,'01_INPUTS'!$B$17:$B$31,0)))</f>
        <v>0</v>
      </c>
      <c r="M83" s="61">
        <f>IF(INDEX('01_INPUTS'!$E$17:$E$31,MATCH(M$23,'01_INPUTS'!$B$17:$B$31,0))=0,IF(SUMIFS($AD$3:$AD$870,$AC$3:$AC$870,M$23,$AE$3:$AE$870,"&lt;="&amp;$B83,$AF$3:$AF$870,"&gt;="&amp;$B83)=0,0,9.99),SUMIFS($AD$3:$AD$870,$AC$3:$AC$870,M$23,$AE$3:$AE$870,"&lt;="&amp;$B83,$AF$3:$AF$870,"&gt;="&amp;$B83)/INDEX('01_INPUTS'!$E$17:$E$31,MATCH(M$23,'01_INPUTS'!$B$17:$B$31,0)))</f>
        <v>0.75</v>
      </c>
      <c r="N83" s="61">
        <f>IF(INDEX('01_INPUTS'!$E$17:$E$31,MATCH(N$23,'01_INPUTS'!$B$17:$B$31,0))=0,IF(SUMIFS($AD$3:$AD$870,$AC$3:$AC$870,N$23,$AE$3:$AE$870,"&lt;="&amp;$B83,$AF$3:$AF$870,"&gt;="&amp;$B83)=0,0,9.99),SUMIFS($AD$3:$AD$870,$AC$3:$AC$870,N$23,$AE$3:$AE$870,"&lt;="&amp;$B83,$AF$3:$AF$870,"&gt;="&amp;$B83)/INDEX('01_INPUTS'!$E$17:$E$31,MATCH(N$23,'01_INPUTS'!$B$17:$B$31,0)))</f>
        <v>0.75</v>
      </c>
      <c r="O83" s="61">
        <f>IF(INDEX('01_INPUTS'!$E$17:$E$31,MATCH(O$23,'01_INPUTS'!$B$17:$B$31,0))=0,IF(SUMIFS($AD$3:$AD$870,$AC$3:$AC$870,O$23,$AE$3:$AE$870,"&lt;="&amp;$B83,$AF$3:$AF$870,"&gt;="&amp;$B83)=0,0,9.99),SUMIFS($AD$3:$AD$870,$AC$3:$AC$870,O$23,$AE$3:$AE$870,"&lt;="&amp;$B83,$AF$3:$AF$870,"&gt;="&amp;$B83)/INDEX('01_INPUTS'!$E$17:$E$31,MATCH(O$23,'01_INPUTS'!$B$17:$B$31,0)))</f>
        <v>0</v>
      </c>
      <c r="P83" s="61">
        <f>IF(INDEX('01_INPUTS'!$E$17:$E$31,MATCH(P$23,'01_INPUTS'!$B$17:$B$31,0))=0,IF(SUMIFS($AD$3:$AD$870,$AC$3:$AC$870,P$23,$AE$3:$AE$870,"&lt;="&amp;$B83,$AF$3:$AF$870,"&gt;="&amp;$B83)=0,0,9.99),SUMIFS($AD$3:$AD$870,$AC$3:$AC$870,P$23,$AE$3:$AE$870,"&lt;="&amp;$B83,$AF$3:$AF$870,"&gt;="&amp;$B83)/INDEX('01_INPUTS'!$E$17:$E$31,MATCH(P$23,'01_INPUTS'!$B$17:$B$31,0)))</f>
        <v>2</v>
      </c>
      <c r="Q83" s="61">
        <f>IF(INDEX('01_INPUTS'!$E$17:$E$31,MATCH(Q$23,'01_INPUTS'!$B$17:$B$31,0))=0,IF(SUMIFS($AD$3:$AD$870,$AC$3:$AC$870,Q$23,$AE$3:$AE$870,"&lt;="&amp;$B83,$AF$3:$AF$870,"&gt;="&amp;$B83)=0,0,9.99),SUMIFS($AD$3:$AD$870,$AC$3:$AC$870,Q$23,$AE$3:$AE$870,"&lt;="&amp;$B83,$AF$3:$AF$870,"&gt;="&amp;$B83)/INDEX('01_INPUTS'!$E$17:$E$31,MATCH(Q$23,'01_INPUTS'!$B$17:$B$31,0)))</f>
        <v>0.5</v>
      </c>
      <c r="R83" s="61">
        <f>IF(INDEX('01_INPUTS'!$E$17:$E$31,MATCH(R$23,'01_INPUTS'!$B$17:$B$31,0))=0,IF(SUMIFS($AD$3:$AD$870,$AC$3:$AC$870,R$23,$AE$3:$AE$870,"&lt;="&amp;$B83,$AF$3:$AF$870,"&gt;="&amp;$B83)=0,0,9.99),SUMIFS($AD$3:$AD$870,$AC$3:$AC$870,R$23,$AE$3:$AE$870,"&lt;="&amp;$B83,$AF$3:$AF$870,"&gt;="&amp;$B83)/INDEX('01_INPUTS'!$E$17:$E$31,MATCH(R$23,'01_INPUTS'!$B$17:$B$31,0)))</f>
        <v>0</v>
      </c>
      <c r="S83">
        <f t="shared" si="5"/>
        <v>8</v>
      </c>
      <c r="T83">
        <f>SUM('01_INPUTS'!$E$17:$E$31)</f>
        <v>20</v>
      </c>
      <c r="U83" s="61">
        <f t="shared" si="6"/>
        <v>0.4</v>
      </c>
      <c r="V83">
        <f t="shared" si="7"/>
        <v>1</v>
      </c>
      <c r="W83" t="str">
        <f t="shared" si="8"/>
        <v>ROJO</v>
      </c>
      <c r="AA83" s="51" t="str">
        <f>'Sites Master'!$B$3</f>
        <v>Site 02</v>
      </c>
      <c r="AB83" s="51" t="str">
        <f>'Phase-Resource Allocation'!$B$82</f>
        <v>Functional Review</v>
      </c>
      <c r="AC83" s="51" t="str">
        <f>'Phase-Resource Allocation'!$C$82</f>
        <v>Testing Lead</v>
      </c>
      <c r="AD83" s="60">
        <f>'Phase-Resource Allocation'!$D$82</f>
        <v>0.5</v>
      </c>
      <c r="AE83" s="51">
        <f>IFERROR(INDEX('02_SCHEDULE'!$K$5:$K$124,MATCH(AA83&amp;"|"&amp;AB83,'02_SCHEDULE'!$M$5:$M$124,0)),0)</f>
        <v>6</v>
      </c>
      <c r="AF83" s="51">
        <f>IFERROR(INDEX('02_SCHEDULE'!$L$5:$L$124,MATCH(AA83&amp;"|"&amp;AB83,'02_SCHEDULE'!$M$5:$M$124,0)),0)</f>
        <v>6</v>
      </c>
      <c r="AG83" s="51">
        <f t="shared" si="9"/>
        <v>0.5</v>
      </c>
    </row>
    <row r="84" spans="2:33" x14ac:dyDescent="0.3">
      <c r="B84">
        <f>61</f>
        <v>61</v>
      </c>
      <c r="C84" s="55">
        <f>'01_INPUTS'!$C$7+(61-1)*7</f>
        <v>46671</v>
      </c>
      <c r="D84" s="61">
        <f>IF(INDEX('01_INPUTS'!$E$17:$E$31,MATCH(D$23,'01_INPUTS'!$B$17:$B$31,0))=0,IF(SUMIFS($AD$3:$AD$870,$AC$3:$AC$870,D$23,$AE$3:$AE$870,"&lt;="&amp;$B84,$AF$3:$AF$870,"&gt;="&amp;$B84)=0,0,9.99),SUMIFS($AD$3:$AD$870,$AC$3:$AC$870,D$23,$AE$3:$AE$870,"&lt;="&amp;$B84,$AF$3:$AF$870,"&gt;="&amp;$B84)/INDEX('01_INPUTS'!$E$17:$E$31,MATCH(D$23,'01_INPUTS'!$B$17:$B$31,0)))</f>
        <v>1</v>
      </c>
      <c r="E84" s="61">
        <f>IF(INDEX('01_INPUTS'!$E$17:$E$31,MATCH(E$23,'01_INPUTS'!$B$17:$B$31,0))=0,IF(SUMIFS($AD$3:$AD$870,$AC$3:$AC$870,E$23,$AE$3:$AE$870,"&lt;="&amp;$B84,$AF$3:$AF$870,"&gt;="&amp;$B84)=0,0,9.99),SUMIFS($AD$3:$AD$870,$AC$3:$AC$870,E$23,$AE$3:$AE$870,"&lt;="&amp;$B84,$AF$3:$AF$870,"&gt;="&amp;$B84)/INDEX('01_INPUTS'!$E$17:$E$31,MATCH(E$23,'01_INPUTS'!$B$17:$B$31,0)))</f>
        <v>0</v>
      </c>
      <c r="F84" s="61">
        <f>IF(INDEX('01_INPUTS'!$E$17:$E$31,MATCH(F$23,'01_INPUTS'!$B$17:$B$31,0))=0,IF(SUMIFS($AD$3:$AD$870,$AC$3:$AC$870,F$23,$AE$3:$AE$870,"&lt;="&amp;$B84,$AF$3:$AF$870,"&gt;="&amp;$B84)=0,0,9.99),SUMIFS($AD$3:$AD$870,$AC$3:$AC$870,F$23,$AE$3:$AE$870,"&lt;="&amp;$B84,$AF$3:$AF$870,"&gt;="&amp;$B84)/INDEX('01_INPUTS'!$E$17:$E$31,MATCH(F$23,'01_INPUTS'!$B$17:$B$31,0)))</f>
        <v>0</v>
      </c>
      <c r="G84" s="61">
        <f>IF(INDEX('01_INPUTS'!$E$17:$E$31,MATCH(G$23,'01_INPUTS'!$B$17:$B$31,0))=0,IF(SUMIFS($AD$3:$AD$870,$AC$3:$AC$870,G$23,$AE$3:$AE$870,"&lt;="&amp;$B84,$AF$3:$AF$870,"&gt;="&amp;$B84)=0,0,9.99),SUMIFS($AD$3:$AD$870,$AC$3:$AC$870,G$23,$AE$3:$AE$870,"&lt;="&amp;$B84,$AF$3:$AF$870,"&gt;="&amp;$B84)/INDEX('01_INPUTS'!$E$17:$E$31,MATCH(G$23,'01_INPUTS'!$B$17:$B$31,0)))</f>
        <v>0</v>
      </c>
      <c r="H84" s="61">
        <f>IF(INDEX('01_INPUTS'!$E$17:$E$31,MATCH(H$23,'01_INPUTS'!$B$17:$B$31,0))=0,IF(SUMIFS($AD$3:$AD$870,$AC$3:$AC$870,H$23,$AE$3:$AE$870,"&lt;="&amp;$B84,$AF$3:$AF$870,"&gt;="&amp;$B84)=0,0,9.99),SUMIFS($AD$3:$AD$870,$AC$3:$AC$870,H$23,$AE$3:$AE$870,"&lt;="&amp;$B84,$AF$3:$AF$870,"&gt;="&amp;$B84)/INDEX('01_INPUTS'!$E$17:$E$31,MATCH(H$23,'01_INPUTS'!$B$17:$B$31,0)))</f>
        <v>1</v>
      </c>
      <c r="I84" s="61">
        <f>IF(INDEX('01_INPUTS'!$E$17:$E$31,MATCH(I$23,'01_INPUTS'!$B$17:$B$31,0))=0,IF(SUMIFS($AD$3:$AD$870,$AC$3:$AC$870,I$23,$AE$3:$AE$870,"&lt;="&amp;$B84,$AF$3:$AF$870,"&gt;="&amp;$B84)=0,0,9.99),SUMIFS($AD$3:$AD$870,$AC$3:$AC$870,I$23,$AE$3:$AE$870,"&lt;="&amp;$B84,$AF$3:$AF$870,"&gt;="&amp;$B84)/INDEX('01_INPUTS'!$E$17:$E$31,MATCH(I$23,'01_INPUTS'!$B$17:$B$31,0)))</f>
        <v>0.5</v>
      </c>
      <c r="J84" s="61">
        <f>IF(INDEX('01_INPUTS'!$E$17:$E$31,MATCH(J$23,'01_INPUTS'!$B$17:$B$31,0))=0,IF(SUMIFS($AD$3:$AD$870,$AC$3:$AC$870,J$23,$AE$3:$AE$870,"&lt;="&amp;$B84,$AF$3:$AF$870,"&gt;="&amp;$B84)=0,0,9.99),SUMIFS($AD$3:$AD$870,$AC$3:$AC$870,J$23,$AE$3:$AE$870,"&lt;="&amp;$B84,$AF$3:$AF$870,"&gt;="&amp;$B84)/INDEX('01_INPUTS'!$E$17:$E$31,MATCH(J$23,'01_INPUTS'!$B$17:$B$31,0)))</f>
        <v>0.5</v>
      </c>
      <c r="K84" s="61">
        <f>IF(INDEX('01_INPUTS'!$E$17:$E$31,MATCH(K$23,'01_INPUTS'!$B$17:$B$31,0))=0,IF(SUMIFS($AD$3:$AD$870,$AC$3:$AC$870,K$23,$AE$3:$AE$870,"&lt;="&amp;$B84,$AF$3:$AF$870,"&gt;="&amp;$B84)=0,0,9.99),SUMIFS($AD$3:$AD$870,$AC$3:$AC$870,K$23,$AE$3:$AE$870,"&lt;="&amp;$B84,$AF$3:$AF$870,"&gt;="&amp;$B84)/INDEX('01_INPUTS'!$E$17:$E$31,MATCH(K$23,'01_INPUTS'!$B$17:$B$31,0)))</f>
        <v>1</v>
      </c>
      <c r="L84" s="61">
        <f>IF(INDEX('01_INPUTS'!$E$17:$E$31,MATCH(L$23,'01_INPUTS'!$B$17:$B$31,0))=0,IF(SUMIFS($AD$3:$AD$870,$AC$3:$AC$870,L$23,$AE$3:$AE$870,"&lt;="&amp;$B84,$AF$3:$AF$870,"&gt;="&amp;$B84)=0,0,9.99),SUMIFS($AD$3:$AD$870,$AC$3:$AC$870,L$23,$AE$3:$AE$870,"&lt;="&amp;$B84,$AF$3:$AF$870,"&gt;="&amp;$B84)/INDEX('01_INPUTS'!$E$17:$E$31,MATCH(L$23,'01_INPUTS'!$B$17:$B$31,0)))</f>
        <v>1</v>
      </c>
      <c r="M84" s="61">
        <f>IF(INDEX('01_INPUTS'!$E$17:$E$31,MATCH(M$23,'01_INPUTS'!$B$17:$B$31,0))=0,IF(SUMIFS($AD$3:$AD$870,$AC$3:$AC$870,M$23,$AE$3:$AE$870,"&lt;="&amp;$B84,$AF$3:$AF$870,"&gt;="&amp;$B84)=0,0,9.99),SUMIFS($AD$3:$AD$870,$AC$3:$AC$870,M$23,$AE$3:$AE$870,"&lt;="&amp;$B84,$AF$3:$AF$870,"&gt;="&amp;$B84)/INDEX('01_INPUTS'!$E$17:$E$31,MATCH(M$23,'01_INPUTS'!$B$17:$B$31,0)))</f>
        <v>1</v>
      </c>
      <c r="N84" s="61">
        <f>IF(INDEX('01_INPUTS'!$E$17:$E$31,MATCH(N$23,'01_INPUTS'!$B$17:$B$31,0))=0,IF(SUMIFS($AD$3:$AD$870,$AC$3:$AC$870,N$23,$AE$3:$AE$870,"&lt;="&amp;$B84,$AF$3:$AF$870,"&gt;="&amp;$B84)=0,0,9.99),SUMIFS($AD$3:$AD$870,$AC$3:$AC$870,N$23,$AE$3:$AE$870,"&lt;="&amp;$B84,$AF$3:$AF$870,"&gt;="&amp;$B84)/INDEX('01_INPUTS'!$E$17:$E$31,MATCH(N$23,'01_INPUTS'!$B$17:$B$31,0)))</f>
        <v>1</v>
      </c>
      <c r="O84" s="61">
        <f>IF(INDEX('01_INPUTS'!$E$17:$E$31,MATCH(O$23,'01_INPUTS'!$B$17:$B$31,0))=0,IF(SUMIFS($AD$3:$AD$870,$AC$3:$AC$870,O$23,$AE$3:$AE$870,"&lt;="&amp;$B84,$AF$3:$AF$870,"&gt;="&amp;$B84)=0,0,9.99),SUMIFS($AD$3:$AD$870,$AC$3:$AC$870,O$23,$AE$3:$AE$870,"&lt;="&amp;$B84,$AF$3:$AF$870,"&gt;="&amp;$B84)/INDEX('01_INPUTS'!$E$17:$E$31,MATCH(O$23,'01_INPUTS'!$B$17:$B$31,0)))</f>
        <v>0</v>
      </c>
      <c r="P84" s="61">
        <f>IF(INDEX('01_INPUTS'!$E$17:$E$31,MATCH(P$23,'01_INPUTS'!$B$17:$B$31,0))=0,IF(SUMIFS($AD$3:$AD$870,$AC$3:$AC$870,P$23,$AE$3:$AE$870,"&lt;="&amp;$B84,$AF$3:$AF$870,"&gt;="&amp;$B84)=0,0,9.99),SUMIFS($AD$3:$AD$870,$AC$3:$AC$870,P$23,$AE$3:$AE$870,"&lt;="&amp;$B84,$AF$3:$AF$870,"&gt;="&amp;$B84)/INDEX('01_INPUTS'!$E$17:$E$31,MATCH(P$23,'01_INPUTS'!$B$17:$B$31,0)))</f>
        <v>2</v>
      </c>
      <c r="Q84" s="61">
        <f>IF(INDEX('01_INPUTS'!$E$17:$E$31,MATCH(Q$23,'01_INPUTS'!$B$17:$B$31,0))=0,IF(SUMIFS($AD$3:$AD$870,$AC$3:$AC$870,Q$23,$AE$3:$AE$870,"&lt;="&amp;$B84,$AF$3:$AF$870,"&gt;="&amp;$B84)=0,0,9.99),SUMIFS($AD$3:$AD$870,$AC$3:$AC$870,Q$23,$AE$3:$AE$870,"&lt;="&amp;$B84,$AF$3:$AF$870,"&gt;="&amp;$B84)/INDEX('01_INPUTS'!$E$17:$E$31,MATCH(Q$23,'01_INPUTS'!$B$17:$B$31,0)))</f>
        <v>0.5</v>
      </c>
      <c r="R84" s="61">
        <f>IF(INDEX('01_INPUTS'!$E$17:$E$31,MATCH(R$23,'01_INPUTS'!$B$17:$B$31,0))=0,IF(SUMIFS($AD$3:$AD$870,$AC$3:$AC$870,R$23,$AE$3:$AE$870,"&lt;="&amp;$B84,$AF$3:$AF$870,"&gt;="&amp;$B84)=0,0,9.99),SUMIFS($AD$3:$AD$870,$AC$3:$AC$870,R$23,$AE$3:$AE$870,"&lt;="&amp;$B84,$AF$3:$AF$870,"&gt;="&amp;$B84)/INDEX('01_INPUTS'!$E$17:$E$31,MATCH(R$23,'01_INPUTS'!$B$17:$B$31,0)))</f>
        <v>0</v>
      </c>
      <c r="S84">
        <f t="shared" si="5"/>
        <v>12</v>
      </c>
      <c r="T84">
        <f>SUM('01_INPUTS'!$E$17:$E$31)</f>
        <v>20</v>
      </c>
      <c r="U84" s="61">
        <f t="shared" si="6"/>
        <v>0.6</v>
      </c>
      <c r="V84">
        <f t="shared" si="7"/>
        <v>1</v>
      </c>
      <c r="W84" t="str">
        <f t="shared" si="8"/>
        <v>ROJO</v>
      </c>
      <c r="AA84" s="51" t="str">
        <f>'Sites Master'!$B$3</f>
        <v>Site 02</v>
      </c>
      <c r="AB84" s="51" t="str">
        <f>'Phase-Resource Allocation'!$B$83</f>
        <v>Functional Review</v>
      </c>
      <c r="AC84" s="51" t="str">
        <f>'Phase-Resource Allocation'!$C$83</f>
        <v>Functional Lead</v>
      </c>
      <c r="AD84" s="60">
        <f>'Phase-Resource Allocation'!$D$83</f>
        <v>1</v>
      </c>
      <c r="AE84" s="51">
        <f>IFERROR(INDEX('02_SCHEDULE'!$K$5:$K$124,MATCH(AA84&amp;"|"&amp;AB84,'02_SCHEDULE'!$M$5:$M$124,0)),0)</f>
        <v>6</v>
      </c>
      <c r="AF84" s="51">
        <f>IFERROR(INDEX('02_SCHEDULE'!$L$5:$L$124,MATCH(AA84&amp;"|"&amp;AB84,'02_SCHEDULE'!$M$5:$M$124,0)),0)</f>
        <v>6</v>
      </c>
      <c r="AG84" s="51">
        <f t="shared" si="9"/>
        <v>1</v>
      </c>
    </row>
    <row r="85" spans="2:33" x14ac:dyDescent="0.3">
      <c r="B85">
        <f>62</f>
        <v>62</v>
      </c>
      <c r="C85" s="55">
        <f>'01_INPUTS'!$C$7+(62-1)*7</f>
        <v>46678</v>
      </c>
      <c r="D85" s="61">
        <f>IF(INDEX('01_INPUTS'!$E$17:$E$31,MATCH(D$23,'01_INPUTS'!$B$17:$B$31,0))=0,IF(SUMIFS($AD$3:$AD$870,$AC$3:$AC$870,D$23,$AE$3:$AE$870,"&lt;="&amp;$B85,$AF$3:$AF$870,"&gt;="&amp;$B85)=0,0,9.99),SUMIFS($AD$3:$AD$870,$AC$3:$AC$870,D$23,$AE$3:$AE$870,"&lt;="&amp;$B85,$AF$3:$AF$870,"&gt;="&amp;$B85)/INDEX('01_INPUTS'!$E$17:$E$31,MATCH(D$23,'01_INPUTS'!$B$17:$B$31,0)))</f>
        <v>1</v>
      </c>
      <c r="E85" s="61">
        <f>IF(INDEX('01_INPUTS'!$E$17:$E$31,MATCH(E$23,'01_INPUTS'!$B$17:$B$31,0))=0,IF(SUMIFS($AD$3:$AD$870,$AC$3:$AC$870,E$23,$AE$3:$AE$870,"&lt;="&amp;$B85,$AF$3:$AF$870,"&gt;="&amp;$B85)=0,0,9.99),SUMIFS($AD$3:$AD$870,$AC$3:$AC$870,E$23,$AE$3:$AE$870,"&lt;="&amp;$B85,$AF$3:$AF$870,"&gt;="&amp;$B85)/INDEX('01_INPUTS'!$E$17:$E$31,MATCH(E$23,'01_INPUTS'!$B$17:$B$31,0)))</f>
        <v>0</v>
      </c>
      <c r="F85" s="61">
        <f>IF(INDEX('01_INPUTS'!$E$17:$E$31,MATCH(F$23,'01_INPUTS'!$B$17:$B$31,0))=0,IF(SUMIFS($AD$3:$AD$870,$AC$3:$AC$870,F$23,$AE$3:$AE$870,"&lt;="&amp;$B85,$AF$3:$AF$870,"&gt;="&amp;$B85)=0,0,9.99),SUMIFS($AD$3:$AD$870,$AC$3:$AC$870,F$23,$AE$3:$AE$870,"&lt;="&amp;$B85,$AF$3:$AF$870,"&gt;="&amp;$B85)/INDEX('01_INPUTS'!$E$17:$E$31,MATCH(F$23,'01_INPUTS'!$B$17:$B$31,0)))</f>
        <v>0</v>
      </c>
      <c r="G85" s="61">
        <f>IF(INDEX('01_INPUTS'!$E$17:$E$31,MATCH(G$23,'01_INPUTS'!$B$17:$B$31,0))=0,IF(SUMIFS($AD$3:$AD$870,$AC$3:$AC$870,G$23,$AE$3:$AE$870,"&lt;="&amp;$B85,$AF$3:$AF$870,"&gt;="&amp;$B85)=0,0,9.99),SUMIFS($AD$3:$AD$870,$AC$3:$AC$870,G$23,$AE$3:$AE$870,"&lt;="&amp;$B85,$AF$3:$AF$870,"&gt;="&amp;$B85)/INDEX('01_INPUTS'!$E$17:$E$31,MATCH(G$23,'01_INPUTS'!$B$17:$B$31,0)))</f>
        <v>0</v>
      </c>
      <c r="H85" s="61">
        <f>IF(INDEX('01_INPUTS'!$E$17:$E$31,MATCH(H$23,'01_INPUTS'!$B$17:$B$31,0))=0,IF(SUMIFS($AD$3:$AD$870,$AC$3:$AC$870,H$23,$AE$3:$AE$870,"&lt;="&amp;$B85,$AF$3:$AF$870,"&gt;="&amp;$B85)=0,0,9.99),SUMIFS($AD$3:$AD$870,$AC$3:$AC$870,H$23,$AE$3:$AE$870,"&lt;="&amp;$B85,$AF$3:$AF$870,"&gt;="&amp;$B85)/INDEX('01_INPUTS'!$E$17:$E$31,MATCH(H$23,'01_INPUTS'!$B$17:$B$31,0)))</f>
        <v>1</v>
      </c>
      <c r="I85" s="61">
        <f>IF(INDEX('01_INPUTS'!$E$17:$E$31,MATCH(I$23,'01_INPUTS'!$B$17:$B$31,0))=0,IF(SUMIFS($AD$3:$AD$870,$AC$3:$AC$870,I$23,$AE$3:$AE$870,"&lt;="&amp;$B85,$AF$3:$AF$870,"&gt;="&amp;$B85)=0,0,9.99),SUMIFS($AD$3:$AD$870,$AC$3:$AC$870,I$23,$AE$3:$AE$870,"&lt;="&amp;$B85,$AF$3:$AF$870,"&gt;="&amp;$B85)/INDEX('01_INPUTS'!$E$17:$E$31,MATCH(I$23,'01_INPUTS'!$B$17:$B$31,0)))</f>
        <v>1</v>
      </c>
      <c r="J85" s="61">
        <f>IF(INDEX('01_INPUTS'!$E$17:$E$31,MATCH(J$23,'01_INPUTS'!$B$17:$B$31,0))=0,IF(SUMIFS($AD$3:$AD$870,$AC$3:$AC$870,J$23,$AE$3:$AE$870,"&lt;="&amp;$B85,$AF$3:$AF$870,"&gt;="&amp;$B85)=0,0,9.99),SUMIFS($AD$3:$AD$870,$AC$3:$AC$870,J$23,$AE$3:$AE$870,"&lt;="&amp;$B85,$AF$3:$AF$870,"&gt;="&amp;$B85)/INDEX('01_INPUTS'!$E$17:$E$31,MATCH(J$23,'01_INPUTS'!$B$17:$B$31,0)))</f>
        <v>1.5</v>
      </c>
      <c r="K85" s="61">
        <f>IF(INDEX('01_INPUTS'!$E$17:$E$31,MATCH(K$23,'01_INPUTS'!$B$17:$B$31,0))=0,IF(SUMIFS($AD$3:$AD$870,$AC$3:$AC$870,K$23,$AE$3:$AE$870,"&lt;="&amp;$B85,$AF$3:$AF$870,"&gt;="&amp;$B85)=0,0,9.99),SUMIFS($AD$3:$AD$870,$AC$3:$AC$870,K$23,$AE$3:$AE$870,"&lt;="&amp;$B85,$AF$3:$AF$870,"&gt;="&amp;$B85)/INDEX('01_INPUTS'!$E$17:$E$31,MATCH(K$23,'01_INPUTS'!$B$17:$B$31,0)))</f>
        <v>1</v>
      </c>
      <c r="L85" s="61">
        <f>IF(INDEX('01_INPUTS'!$E$17:$E$31,MATCH(L$23,'01_INPUTS'!$B$17:$B$31,0))=0,IF(SUMIFS($AD$3:$AD$870,$AC$3:$AC$870,L$23,$AE$3:$AE$870,"&lt;="&amp;$B85,$AF$3:$AF$870,"&gt;="&amp;$B85)=0,0,9.99),SUMIFS($AD$3:$AD$870,$AC$3:$AC$870,L$23,$AE$3:$AE$870,"&lt;="&amp;$B85,$AF$3:$AF$870,"&gt;="&amp;$B85)/INDEX('01_INPUTS'!$E$17:$E$31,MATCH(L$23,'01_INPUTS'!$B$17:$B$31,0)))</f>
        <v>0.5</v>
      </c>
      <c r="M85" s="61">
        <f>IF(INDEX('01_INPUTS'!$E$17:$E$31,MATCH(M$23,'01_INPUTS'!$B$17:$B$31,0))=0,IF(SUMIFS($AD$3:$AD$870,$AC$3:$AC$870,M$23,$AE$3:$AE$870,"&lt;="&amp;$B85,$AF$3:$AF$870,"&gt;="&amp;$B85)=0,0,9.99),SUMIFS($AD$3:$AD$870,$AC$3:$AC$870,M$23,$AE$3:$AE$870,"&lt;="&amp;$B85,$AF$3:$AF$870,"&gt;="&amp;$B85)/INDEX('01_INPUTS'!$E$17:$E$31,MATCH(M$23,'01_INPUTS'!$B$17:$B$31,0)))</f>
        <v>1.25</v>
      </c>
      <c r="N85" s="61">
        <f>IF(INDEX('01_INPUTS'!$E$17:$E$31,MATCH(N$23,'01_INPUTS'!$B$17:$B$31,0))=0,IF(SUMIFS($AD$3:$AD$870,$AC$3:$AC$870,N$23,$AE$3:$AE$870,"&lt;="&amp;$B85,$AF$3:$AF$870,"&gt;="&amp;$B85)=0,0,9.99),SUMIFS($AD$3:$AD$870,$AC$3:$AC$870,N$23,$AE$3:$AE$870,"&lt;="&amp;$B85,$AF$3:$AF$870,"&gt;="&amp;$B85)/INDEX('01_INPUTS'!$E$17:$E$31,MATCH(N$23,'01_INPUTS'!$B$17:$B$31,0)))</f>
        <v>1.25</v>
      </c>
      <c r="O85" s="61">
        <f>IF(INDEX('01_INPUTS'!$E$17:$E$31,MATCH(O$23,'01_INPUTS'!$B$17:$B$31,0))=0,IF(SUMIFS($AD$3:$AD$870,$AC$3:$AC$870,O$23,$AE$3:$AE$870,"&lt;="&amp;$B85,$AF$3:$AF$870,"&gt;="&amp;$B85)=0,0,9.99),SUMIFS($AD$3:$AD$870,$AC$3:$AC$870,O$23,$AE$3:$AE$870,"&lt;="&amp;$B85,$AF$3:$AF$870,"&gt;="&amp;$B85)/INDEX('01_INPUTS'!$E$17:$E$31,MATCH(O$23,'01_INPUTS'!$B$17:$B$31,0)))</f>
        <v>0</v>
      </c>
      <c r="P85" s="61">
        <f>IF(INDEX('01_INPUTS'!$E$17:$E$31,MATCH(P$23,'01_INPUTS'!$B$17:$B$31,0))=0,IF(SUMIFS($AD$3:$AD$870,$AC$3:$AC$870,P$23,$AE$3:$AE$870,"&lt;="&amp;$B85,$AF$3:$AF$870,"&gt;="&amp;$B85)=0,0,9.99),SUMIFS($AD$3:$AD$870,$AC$3:$AC$870,P$23,$AE$3:$AE$870,"&lt;="&amp;$B85,$AF$3:$AF$870,"&gt;="&amp;$B85)/INDEX('01_INPUTS'!$E$17:$E$31,MATCH(P$23,'01_INPUTS'!$B$17:$B$31,0)))</f>
        <v>4</v>
      </c>
      <c r="Q85" s="61">
        <f>IF(INDEX('01_INPUTS'!$E$17:$E$31,MATCH(Q$23,'01_INPUTS'!$B$17:$B$31,0))=0,IF(SUMIFS($AD$3:$AD$870,$AC$3:$AC$870,Q$23,$AE$3:$AE$870,"&lt;="&amp;$B85,$AF$3:$AF$870,"&gt;="&amp;$B85)=0,0,9.99),SUMIFS($AD$3:$AD$870,$AC$3:$AC$870,Q$23,$AE$3:$AE$870,"&lt;="&amp;$B85,$AF$3:$AF$870,"&gt;="&amp;$B85)/INDEX('01_INPUTS'!$E$17:$E$31,MATCH(Q$23,'01_INPUTS'!$B$17:$B$31,0)))</f>
        <v>0.75</v>
      </c>
      <c r="R85" s="61">
        <f>IF(INDEX('01_INPUTS'!$E$17:$E$31,MATCH(R$23,'01_INPUTS'!$B$17:$B$31,0))=0,IF(SUMIFS($AD$3:$AD$870,$AC$3:$AC$870,R$23,$AE$3:$AE$870,"&lt;="&amp;$B85,$AF$3:$AF$870,"&gt;="&amp;$B85)=0,0,9.99),SUMIFS($AD$3:$AD$870,$AC$3:$AC$870,R$23,$AE$3:$AE$870,"&lt;="&amp;$B85,$AF$3:$AF$870,"&gt;="&amp;$B85)/INDEX('01_INPUTS'!$E$17:$E$31,MATCH(R$23,'01_INPUTS'!$B$17:$B$31,0)))</f>
        <v>0</v>
      </c>
      <c r="S85">
        <f t="shared" si="5"/>
        <v>17.5</v>
      </c>
      <c r="T85">
        <f>SUM('01_INPUTS'!$E$17:$E$31)</f>
        <v>20</v>
      </c>
      <c r="U85" s="61">
        <f t="shared" si="6"/>
        <v>0.875</v>
      </c>
      <c r="V85">
        <f t="shared" si="7"/>
        <v>4</v>
      </c>
      <c r="W85" t="str">
        <f t="shared" si="8"/>
        <v>ROJO</v>
      </c>
      <c r="AA85" s="51" t="str">
        <f>'Sites Master'!$B$3</f>
        <v>Site 02</v>
      </c>
      <c r="AB85" s="51" t="str">
        <f>'Phase-Resource Allocation'!$B$84</f>
        <v>Functional Review</v>
      </c>
      <c r="AC85" s="51" t="str">
        <f>'Phase-Resource Allocation'!$C$84</f>
        <v>Trainers</v>
      </c>
      <c r="AD85" s="60">
        <f>'Phase-Resource Allocation'!$D$84</f>
        <v>1</v>
      </c>
      <c r="AE85" s="51">
        <f>IFERROR(INDEX('02_SCHEDULE'!$K$5:$K$124,MATCH(AA85&amp;"|"&amp;AB85,'02_SCHEDULE'!$M$5:$M$124,0)),0)</f>
        <v>6</v>
      </c>
      <c r="AF85" s="51">
        <f>IFERROR(INDEX('02_SCHEDULE'!$L$5:$L$124,MATCH(AA85&amp;"|"&amp;AB85,'02_SCHEDULE'!$M$5:$M$124,0)),0)</f>
        <v>6</v>
      </c>
      <c r="AG85" s="51">
        <f t="shared" si="9"/>
        <v>1</v>
      </c>
    </row>
    <row r="86" spans="2:33" x14ac:dyDescent="0.3">
      <c r="B86">
        <f>63</f>
        <v>63</v>
      </c>
      <c r="C86" s="55">
        <f>'01_INPUTS'!$C$7+(63-1)*7</f>
        <v>46685</v>
      </c>
      <c r="D86" s="61">
        <f>IF(INDEX('01_INPUTS'!$E$17:$E$31,MATCH(D$23,'01_INPUTS'!$B$17:$B$31,0))=0,IF(SUMIFS($AD$3:$AD$870,$AC$3:$AC$870,D$23,$AE$3:$AE$870,"&lt;="&amp;$B86,$AF$3:$AF$870,"&gt;="&amp;$B86)=0,0,9.99),SUMIFS($AD$3:$AD$870,$AC$3:$AC$870,D$23,$AE$3:$AE$870,"&lt;="&amp;$B86,$AF$3:$AF$870,"&gt;="&amp;$B86)/INDEX('01_INPUTS'!$E$17:$E$31,MATCH(D$23,'01_INPUTS'!$B$17:$B$31,0)))</f>
        <v>1.5</v>
      </c>
      <c r="E86" s="61">
        <f>IF(INDEX('01_INPUTS'!$E$17:$E$31,MATCH(E$23,'01_INPUTS'!$B$17:$B$31,0))=0,IF(SUMIFS($AD$3:$AD$870,$AC$3:$AC$870,E$23,$AE$3:$AE$870,"&lt;="&amp;$B86,$AF$3:$AF$870,"&gt;="&amp;$B86)=0,0,9.99),SUMIFS($AD$3:$AD$870,$AC$3:$AC$870,E$23,$AE$3:$AE$870,"&lt;="&amp;$B86,$AF$3:$AF$870,"&gt;="&amp;$B86)/INDEX('01_INPUTS'!$E$17:$E$31,MATCH(E$23,'01_INPUTS'!$B$17:$B$31,0)))</f>
        <v>0</v>
      </c>
      <c r="F86" s="61">
        <f>IF(INDEX('01_INPUTS'!$E$17:$E$31,MATCH(F$23,'01_INPUTS'!$B$17:$B$31,0))=0,IF(SUMIFS($AD$3:$AD$870,$AC$3:$AC$870,F$23,$AE$3:$AE$870,"&lt;="&amp;$B86,$AF$3:$AF$870,"&gt;="&amp;$B86)=0,0,9.99),SUMIFS($AD$3:$AD$870,$AC$3:$AC$870,F$23,$AE$3:$AE$870,"&lt;="&amp;$B86,$AF$3:$AF$870,"&gt;="&amp;$B86)/INDEX('01_INPUTS'!$E$17:$E$31,MATCH(F$23,'01_INPUTS'!$B$17:$B$31,0)))</f>
        <v>0</v>
      </c>
      <c r="G86" s="61">
        <f>IF(INDEX('01_INPUTS'!$E$17:$E$31,MATCH(G$23,'01_INPUTS'!$B$17:$B$31,0))=0,IF(SUMIFS($AD$3:$AD$870,$AC$3:$AC$870,G$23,$AE$3:$AE$870,"&lt;="&amp;$B86,$AF$3:$AF$870,"&gt;="&amp;$B86)=0,0,9.99),SUMIFS($AD$3:$AD$870,$AC$3:$AC$870,G$23,$AE$3:$AE$870,"&lt;="&amp;$B86,$AF$3:$AF$870,"&gt;="&amp;$B86)/INDEX('01_INPUTS'!$E$17:$E$31,MATCH(G$23,'01_INPUTS'!$B$17:$B$31,0)))</f>
        <v>0</v>
      </c>
      <c r="H86" s="61">
        <f>IF(INDEX('01_INPUTS'!$E$17:$E$31,MATCH(H$23,'01_INPUTS'!$B$17:$B$31,0))=0,IF(SUMIFS($AD$3:$AD$870,$AC$3:$AC$870,H$23,$AE$3:$AE$870,"&lt;="&amp;$B86,$AF$3:$AF$870,"&gt;="&amp;$B86)=0,0,9.99),SUMIFS($AD$3:$AD$870,$AC$3:$AC$870,H$23,$AE$3:$AE$870,"&lt;="&amp;$B86,$AF$3:$AF$870,"&gt;="&amp;$B86)/INDEX('01_INPUTS'!$E$17:$E$31,MATCH(H$23,'01_INPUTS'!$B$17:$B$31,0)))</f>
        <v>1</v>
      </c>
      <c r="I86" s="61">
        <f>IF(INDEX('01_INPUTS'!$E$17:$E$31,MATCH(I$23,'01_INPUTS'!$B$17:$B$31,0))=0,IF(SUMIFS($AD$3:$AD$870,$AC$3:$AC$870,I$23,$AE$3:$AE$870,"&lt;="&amp;$B86,$AF$3:$AF$870,"&gt;="&amp;$B86)=0,0,9.99),SUMIFS($AD$3:$AD$870,$AC$3:$AC$870,I$23,$AE$3:$AE$870,"&lt;="&amp;$B86,$AF$3:$AF$870,"&gt;="&amp;$B86)/INDEX('01_INPUTS'!$E$17:$E$31,MATCH(I$23,'01_INPUTS'!$B$17:$B$31,0)))</f>
        <v>1.5</v>
      </c>
      <c r="J86" s="61">
        <f>IF(INDEX('01_INPUTS'!$E$17:$E$31,MATCH(J$23,'01_INPUTS'!$B$17:$B$31,0))=0,IF(SUMIFS($AD$3:$AD$870,$AC$3:$AC$870,J$23,$AE$3:$AE$870,"&lt;="&amp;$B86,$AF$3:$AF$870,"&gt;="&amp;$B86)=0,0,9.99),SUMIFS($AD$3:$AD$870,$AC$3:$AC$870,J$23,$AE$3:$AE$870,"&lt;="&amp;$B86,$AF$3:$AF$870,"&gt;="&amp;$B86)/INDEX('01_INPUTS'!$E$17:$E$31,MATCH(J$23,'01_INPUTS'!$B$17:$B$31,0)))</f>
        <v>1.5</v>
      </c>
      <c r="K86" s="61">
        <f>IF(INDEX('01_INPUTS'!$E$17:$E$31,MATCH(K$23,'01_INPUTS'!$B$17:$B$31,0))=0,IF(SUMIFS($AD$3:$AD$870,$AC$3:$AC$870,K$23,$AE$3:$AE$870,"&lt;="&amp;$B86,$AF$3:$AF$870,"&gt;="&amp;$B86)=0,0,9.99),SUMIFS($AD$3:$AD$870,$AC$3:$AC$870,K$23,$AE$3:$AE$870,"&lt;="&amp;$B86,$AF$3:$AF$870,"&gt;="&amp;$B86)/INDEX('01_INPUTS'!$E$17:$E$31,MATCH(K$23,'01_INPUTS'!$B$17:$B$31,0)))</f>
        <v>2</v>
      </c>
      <c r="L86" s="61">
        <f>IF(INDEX('01_INPUTS'!$E$17:$E$31,MATCH(L$23,'01_INPUTS'!$B$17:$B$31,0))=0,IF(SUMIFS($AD$3:$AD$870,$AC$3:$AC$870,L$23,$AE$3:$AE$870,"&lt;="&amp;$B86,$AF$3:$AF$870,"&gt;="&amp;$B86)=0,0,9.99),SUMIFS($AD$3:$AD$870,$AC$3:$AC$870,L$23,$AE$3:$AE$870,"&lt;="&amp;$B86,$AF$3:$AF$870,"&gt;="&amp;$B86)/INDEX('01_INPUTS'!$E$17:$E$31,MATCH(L$23,'01_INPUTS'!$B$17:$B$31,0)))</f>
        <v>1.5</v>
      </c>
      <c r="M86" s="61">
        <f>IF(INDEX('01_INPUTS'!$E$17:$E$31,MATCH(M$23,'01_INPUTS'!$B$17:$B$31,0))=0,IF(SUMIFS($AD$3:$AD$870,$AC$3:$AC$870,M$23,$AE$3:$AE$870,"&lt;="&amp;$B86,$AF$3:$AF$870,"&gt;="&amp;$B86)=0,0,9.99),SUMIFS($AD$3:$AD$870,$AC$3:$AC$870,M$23,$AE$3:$AE$870,"&lt;="&amp;$B86,$AF$3:$AF$870,"&gt;="&amp;$B86)/INDEX('01_INPUTS'!$E$17:$E$31,MATCH(M$23,'01_INPUTS'!$B$17:$B$31,0)))</f>
        <v>1.5</v>
      </c>
      <c r="N86" s="61">
        <f>IF(INDEX('01_INPUTS'!$E$17:$E$31,MATCH(N$23,'01_INPUTS'!$B$17:$B$31,0))=0,IF(SUMIFS($AD$3:$AD$870,$AC$3:$AC$870,N$23,$AE$3:$AE$870,"&lt;="&amp;$B86,$AF$3:$AF$870,"&gt;="&amp;$B86)=0,0,9.99),SUMIFS($AD$3:$AD$870,$AC$3:$AC$870,N$23,$AE$3:$AE$870,"&lt;="&amp;$B86,$AF$3:$AF$870,"&gt;="&amp;$B86)/INDEX('01_INPUTS'!$E$17:$E$31,MATCH(N$23,'01_INPUTS'!$B$17:$B$31,0)))</f>
        <v>1.5</v>
      </c>
      <c r="O86" s="61">
        <f>IF(INDEX('01_INPUTS'!$E$17:$E$31,MATCH(O$23,'01_INPUTS'!$B$17:$B$31,0))=0,IF(SUMIFS($AD$3:$AD$870,$AC$3:$AC$870,O$23,$AE$3:$AE$870,"&lt;="&amp;$B86,$AF$3:$AF$870,"&gt;="&amp;$B86)=0,0,9.99),SUMIFS($AD$3:$AD$870,$AC$3:$AC$870,O$23,$AE$3:$AE$870,"&lt;="&amp;$B86,$AF$3:$AF$870,"&gt;="&amp;$B86)/INDEX('01_INPUTS'!$E$17:$E$31,MATCH(O$23,'01_INPUTS'!$B$17:$B$31,0)))</f>
        <v>0</v>
      </c>
      <c r="P86" s="61">
        <f>IF(INDEX('01_INPUTS'!$E$17:$E$31,MATCH(P$23,'01_INPUTS'!$B$17:$B$31,0))=0,IF(SUMIFS($AD$3:$AD$870,$AC$3:$AC$870,P$23,$AE$3:$AE$870,"&lt;="&amp;$B86,$AF$3:$AF$870,"&gt;="&amp;$B86)=0,0,9.99),SUMIFS($AD$3:$AD$870,$AC$3:$AC$870,P$23,$AE$3:$AE$870,"&lt;="&amp;$B86,$AF$3:$AF$870,"&gt;="&amp;$B86)/INDEX('01_INPUTS'!$E$17:$E$31,MATCH(P$23,'01_INPUTS'!$B$17:$B$31,0)))</f>
        <v>4</v>
      </c>
      <c r="Q86" s="61">
        <f>IF(INDEX('01_INPUTS'!$E$17:$E$31,MATCH(Q$23,'01_INPUTS'!$B$17:$B$31,0))=0,IF(SUMIFS($AD$3:$AD$870,$AC$3:$AC$870,Q$23,$AE$3:$AE$870,"&lt;="&amp;$B86,$AF$3:$AF$870,"&gt;="&amp;$B86)=0,0,9.99),SUMIFS($AD$3:$AD$870,$AC$3:$AC$870,Q$23,$AE$3:$AE$870,"&lt;="&amp;$B86,$AF$3:$AF$870,"&gt;="&amp;$B86)/INDEX('01_INPUTS'!$E$17:$E$31,MATCH(Q$23,'01_INPUTS'!$B$17:$B$31,0)))</f>
        <v>0.75</v>
      </c>
      <c r="R86" s="61">
        <f>IF(INDEX('01_INPUTS'!$E$17:$E$31,MATCH(R$23,'01_INPUTS'!$B$17:$B$31,0))=0,IF(SUMIFS($AD$3:$AD$870,$AC$3:$AC$870,R$23,$AE$3:$AE$870,"&lt;="&amp;$B86,$AF$3:$AF$870,"&gt;="&amp;$B86)=0,0,9.99),SUMIFS($AD$3:$AD$870,$AC$3:$AC$870,R$23,$AE$3:$AE$870,"&lt;="&amp;$B86,$AF$3:$AF$870,"&gt;="&amp;$B86)/INDEX('01_INPUTS'!$E$17:$E$31,MATCH(R$23,'01_INPUTS'!$B$17:$B$31,0)))</f>
        <v>0</v>
      </c>
      <c r="S86">
        <f t="shared" si="5"/>
        <v>21.5</v>
      </c>
      <c r="T86">
        <f>SUM('01_INPUTS'!$E$17:$E$31)</f>
        <v>20</v>
      </c>
      <c r="U86" s="61">
        <f t="shared" si="6"/>
        <v>1.075</v>
      </c>
      <c r="V86">
        <f t="shared" si="7"/>
        <v>8</v>
      </c>
      <c r="W86" t="str">
        <f t="shared" si="8"/>
        <v>ROJO</v>
      </c>
      <c r="AA86" s="51" t="str">
        <f>'Sites Master'!$B$3</f>
        <v>Site 02</v>
      </c>
      <c r="AB86" s="51" t="str">
        <f>'Phase-Resource Allocation'!$B$85</f>
        <v>UAT</v>
      </c>
      <c r="AC86" s="51" t="str">
        <f>'Phase-Resource Allocation'!$C$85</f>
        <v>Solution Architect</v>
      </c>
      <c r="AD86" s="60">
        <f>'Phase-Resource Allocation'!$D$85</f>
        <v>0.5</v>
      </c>
      <c r="AE86" s="51">
        <f>IFERROR(INDEX('02_SCHEDULE'!$K$5:$K$124,MATCH(AA86&amp;"|"&amp;AB86,'02_SCHEDULE'!$M$5:$M$124,0)),0)</f>
        <v>7</v>
      </c>
      <c r="AF86" s="51">
        <f>IFERROR(INDEX('02_SCHEDULE'!$L$5:$L$124,MATCH(AA86&amp;"|"&amp;AB86,'02_SCHEDULE'!$M$5:$M$124,0)),0)</f>
        <v>8</v>
      </c>
      <c r="AG86" s="51">
        <f t="shared" si="9"/>
        <v>1</v>
      </c>
    </row>
    <row r="87" spans="2:33" x14ac:dyDescent="0.3">
      <c r="B87">
        <f>64</f>
        <v>64</v>
      </c>
      <c r="C87" s="55">
        <f>'01_INPUTS'!$C$7+(64-1)*7</f>
        <v>46692</v>
      </c>
      <c r="D87" s="61">
        <f>IF(INDEX('01_INPUTS'!$E$17:$E$31,MATCH(D$23,'01_INPUTS'!$B$17:$B$31,0))=0,IF(SUMIFS($AD$3:$AD$870,$AC$3:$AC$870,D$23,$AE$3:$AE$870,"&lt;="&amp;$B87,$AF$3:$AF$870,"&gt;="&amp;$B87)=0,0,9.99),SUMIFS($AD$3:$AD$870,$AC$3:$AC$870,D$23,$AE$3:$AE$870,"&lt;="&amp;$B87,$AF$3:$AF$870,"&gt;="&amp;$B87)/INDEX('01_INPUTS'!$E$17:$E$31,MATCH(D$23,'01_INPUTS'!$B$17:$B$31,0)))</f>
        <v>1</v>
      </c>
      <c r="E87" s="61">
        <f>IF(INDEX('01_INPUTS'!$E$17:$E$31,MATCH(E$23,'01_INPUTS'!$B$17:$B$31,0))=0,IF(SUMIFS($AD$3:$AD$870,$AC$3:$AC$870,E$23,$AE$3:$AE$870,"&lt;="&amp;$B87,$AF$3:$AF$870,"&gt;="&amp;$B87)=0,0,9.99),SUMIFS($AD$3:$AD$870,$AC$3:$AC$870,E$23,$AE$3:$AE$870,"&lt;="&amp;$B87,$AF$3:$AF$870,"&gt;="&amp;$B87)/INDEX('01_INPUTS'!$E$17:$E$31,MATCH(E$23,'01_INPUTS'!$B$17:$B$31,0)))</f>
        <v>0</v>
      </c>
      <c r="F87" s="61">
        <f>IF(INDEX('01_INPUTS'!$E$17:$E$31,MATCH(F$23,'01_INPUTS'!$B$17:$B$31,0))=0,IF(SUMIFS($AD$3:$AD$870,$AC$3:$AC$870,F$23,$AE$3:$AE$870,"&lt;="&amp;$B87,$AF$3:$AF$870,"&gt;="&amp;$B87)=0,0,9.99),SUMIFS($AD$3:$AD$870,$AC$3:$AC$870,F$23,$AE$3:$AE$870,"&lt;="&amp;$B87,$AF$3:$AF$870,"&gt;="&amp;$B87)/INDEX('01_INPUTS'!$E$17:$E$31,MATCH(F$23,'01_INPUTS'!$B$17:$B$31,0)))</f>
        <v>0</v>
      </c>
      <c r="G87" s="61">
        <f>IF(INDEX('01_INPUTS'!$E$17:$E$31,MATCH(G$23,'01_INPUTS'!$B$17:$B$31,0))=0,IF(SUMIFS($AD$3:$AD$870,$AC$3:$AC$870,G$23,$AE$3:$AE$870,"&lt;="&amp;$B87,$AF$3:$AF$870,"&gt;="&amp;$B87)=0,0,9.99),SUMIFS($AD$3:$AD$870,$AC$3:$AC$870,G$23,$AE$3:$AE$870,"&lt;="&amp;$B87,$AF$3:$AF$870,"&gt;="&amp;$B87)/INDEX('01_INPUTS'!$E$17:$E$31,MATCH(G$23,'01_INPUTS'!$B$17:$B$31,0)))</f>
        <v>0</v>
      </c>
      <c r="H87" s="61">
        <f>IF(INDEX('01_INPUTS'!$E$17:$E$31,MATCH(H$23,'01_INPUTS'!$B$17:$B$31,0))=0,IF(SUMIFS($AD$3:$AD$870,$AC$3:$AC$870,H$23,$AE$3:$AE$870,"&lt;="&amp;$B87,$AF$3:$AF$870,"&gt;="&amp;$B87)=0,0,9.99),SUMIFS($AD$3:$AD$870,$AC$3:$AC$870,H$23,$AE$3:$AE$870,"&lt;="&amp;$B87,$AF$3:$AF$870,"&gt;="&amp;$B87)/INDEX('01_INPUTS'!$E$17:$E$31,MATCH(H$23,'01_INPUTS'!$B$17:$B$31,0)))</f>
        <v>1</v>
      </c>
      <c r="I87" s="61">
        <f>IF(INDEX('01_INPUTS'!$E$17:$E$31,MATCH(I$23,'01_INPUTS'!$B$17:$B$31,0))=0,IF(SUMIFS($AD$3:$AD$870,$AC$3:$AC$870,I$23,$AE$3:$AE$870,"&lt;="&amp;$B87,$AF$3:$AF$870,"&gt;="&amp;$B87)=0,0,9.99),SUMIFS($AD$3:$AD$870,$AC$3:$AC$870,I$23,$AE$3:$AE$870,"&lt;="&amp;$B87,$AF$3:$AF$870,"&gt;="&amp;$B87)/INDEX('01_INPUTS'!$E$17:$E$31,MATCH(I$23,'01_INPUTS'!$B$17:$B$31,0)))</f>
        <v>1.5</v>
      </c>
      <c r="J87" s="61">
        <f>IF(INDEX('01_INPUTS'!$E$17:$E$31,MATCH(J$23,'01_INPUTS'!$B$17:$B$31,0))=0,IF(SUMIFS($AD$3:$AD$870,$AC$3:$AC$870,J$23,$AE$3:$AE$870,"&lt;="&amp;$B87,$AF$3:$AF$870,"&gt;="&amp;$B87)=0,0,9.99),SUMIFS($AD$3:$AD$870,$AC$3:$AC$870,J$23,$AE$3:$AE$870,"&lt;="&amp;$B87,$AF$3:$AF$870,"&gt;="&amp;$B87)/INDEX('01_INPUTS'!$E$17:$E$31,MATCH(J$23,'01_INPUTS'!$B$17:$B$31,0)))</f>
        <v>2</v>
      </c>
      <c r="K87" s="61">
        <f>IF(INDEX('01_INPUTS'!$E$17:$E$31,MATCH(K$23,'01_INPUTS'!$B$17:$B$31,0))=0,IF(SUMIFS($AD$3:$AD$870,$AC$3:$AC$870,K$23,$AE$3:$AE$870,"&lt;="&amp;$B87,$AF$3:$AF$870,"&gt;="&amp;$B87)=0,0,9.99),SUMIFS($AD$3:$AD$870,$AC$3:$AC$870,K$23,$AE$3:$AE$870,"&lt;="&amp;$B87,$AF$3:$AF$870,"&gt;="&amp;$B87)/INDEX('01_INPUTS'!$E$17:$E$31,MATCH(K$23,'01_INPUTS'!$B$17:$B$31,0)))</f>
        <v>1.5</v>
      </c>
      <c r="L87" s="61">
        <f>IF(INDEX('01_INPUTS'!$E$17:$E$31,MATCH(L$23,'01_INPUTS'!$B$17:$B$31,0))=0,IF(SUMIFS($AD$3:$AD$870,$AC$3:$AC$870,L$23,$AE$3:$AE$870,"&lt;="&amp;$B87,$AF$3:$AF$870,"&gt;="&amp;$B87)=0,0,9.99),SUMIFS($AD$3:$AD$870,$AC$3:$AC$870,L$23,$AE$3:$AE$870,"&lt;="&amp;$B87,$AF$3:$AF$870,"&gt;="&amp;$B87)/INDEX('01_INPUTS'!$E$17:$E$31,MATCH(L$23,'01_INPUTS'!$B$17:$B$31,0)))</f>
        <v>1</v>
      </c>
      <c r="M87" s="61">
        <f>IF(INDEX('01_INPUTS'!$E$17:$E$31,MATCH(M$23,'01_INPUTS'!$B$17:$B$31,0))=0,IF(SUMIFS($AD$3:$AD$870,$AC$3:$AC$870,M$23,$AE$3:$AE$870,"&lt;="&amp;$B87,$AF$3:$AF$870,"&gt;="&amp;$B87)=0,0,9.99),SUMIFS($AD$3:$AD$870,$AC$3:$AC$870,M$23,$AE$3:$AE$870,"&lt;="&amp;$B87,$AF$3:$AF$870,"&gt;="&amp;$B87)/INDEX('01_INPUTS'!$E$17:$E$31,MATCH(M$23,'01_INPUTS'!$B$17:$B$31,0)))</f>
        <v>1</v>
      </c>
      <c r="N87" s="61">
        <f>IF(INDEX('01_INPUTS'!$E$17:$E$31,MATCH(N$23,'01_INPUTS'!$B$17:$B$31,0))=0,IF(SUMIFS($AD$3:$AD$870,$AC$3:$AC$870,N$23,$AE$3:$AE$870,"&lt;="&amp;$B87,$AF$3:$AF$870,"&gt;="&amp;$B87)=0,0,9.99),SUMIFS($AD$3:$AD$870,$AC$3:$AC$870,N$23,$AE$3:$AE$870,"&lt;="&amp;$B87,$AF$3:$AF$870,"&gt;="&amp;$B87)/INDEX('01_INPUTS'!$E$17:$E$31,MATCH(N$23,'01_INPUTS'!$B$17:$B$31,0)))</f>
        <v>1</v>
      </c>
      <c r="O87" s="61">
        <f>IF(INDEX('01_INPUTS'!$E$17:$E$31,MATCH(O$23,'01_INPUTS'!$B$17:$B$31,0))=0,IF(SUMIFS($AD$3:$AD$870,$AC$3:$AC$870,O$23,$AE$3:$AE$870,"&lt;="&amp;$B87,$AF$3:$AF$870,"&gt;="&amp;$B87)=0,0,9.99),SUMIFS($AD$3:$AD$870,$AC$3:$AC$870,O$23,$AE$3:$AE$870,"&lt;="&amp;$B87,$AF$3:$AF$870,"&gt;="&amp;$B87)/INDEX('01_INPUTS'!$E$17:$E$31,MATCH(O$23,'01_INPUTS'!$B$17:$B$31,0)))</f>
        <v>0</v>
      </c>
      <c r="P87" s="61">
        <f>IF(INDEX('01_INPUTS'!$E$17:$E$31,MATCH(P$23,'01_INPUTS'!$B$17:$B$31,0))=0,IF(SUMIFS($AD$3:$AD$870,$AC$3:$AC$870,P$23,$AE$3:$AE$870,"&lt;="&amp;$B87,$AF$3:$AF$870,"&gt;="&amp;$B87)=0,0,9.99),SUMIFS($AD$3:$AD$870,$AC$3:$AC$870,P$23,$AE$3:$AE$870,"&lt;="&amp;$B87,$AF$3:$AF$870,"&gt;="&amp;$B87)/INDEX('01_INPUTS'!$E$17:$E$31,MATCH(P$23,'01_INPUTS'!$B$17:$B$31,0)))</f>
        <v>6</v>
      </c>
      <c r="Q87" s="61">
        <f>IF(INDEX('01_INPUTS'!$E$17:$E$31,MATCH(Q$23,'01_INPUTS'!$B$17:$B$31,0))=0,IF(SUMIFS($AD$3:$AD$870,$AC$3:$AC$870,Q$23,$AE$3:$AE$870,"&lt;="&amp;$B87,$AF$3:$AF$870,"&gt;="&amp;$B87)=0,0,9.99),SUMIFS($AD$3:$AD$870,$AC$3:$AC$870,Q$23,$AE$3:$AE$870,"&lt;="&amp;$B87,$AF$3:$AF$870,"&gt;="&amp;$B87)/INDEX('01_INPUTS'!$E$17:$E$31,MATCH(Q$23,'01_INPUTS'!$B$17:$B$31,0)))</f>
        <v>0.5</v>
      </c>
      <c r="R87" s="61">
        <f>IF(INDEX('01_INPUTS'!$E$17:$E$31,MATCH(R$23,'01_INPUTS'!$B$17:$B$31,0))=0,IF(SUMIFS($AD$3:$AD$870,$AC$3:$AC$870,R$23,$AE$3:$AE$870,"&lt;="&amp;$B87,$AF$3:$AF$870,"&gt;="&amp;$B87)=0,0,9.99),SUMIFS($AD$3:$AD$870,$AC$3:$AC$870,R$23,$AE$3:$AE$870,"&lt;="&amp;$B87,$AF$3:$AF$870,"&gt;="&amp;$B87)/INDEX('01_INPUTS'!$E$17:$E$31,MATCH(R$23,'01_INPUTS'!$B$17:$B$31,0)))</f>
        <v>0</v>
      </c>
      <c r="S87">
        <f t="shared" si="5"/>
        <v>21.5</v>
      </c>
      <c r="T87">
        <f>SUM('01_INPUTS'!$E$17:$E$31)</f>
        <v>20</v>
      </c>
      <c r="U87" s="61">
        <f t="shared" si="6"/>
        <v>1.075</v>
      </c>
      <c r="V87">
        <f t="shared" si="7"/>
        <v>4</v>
      </c>
      <c r="W87" t="str">
        <f t="shared" si="8"/>
        <v>ROJO</v>
      </c>
      <c r="AA87" s="51" t="str">
        <f>'Sites Master'!$B$3</f>
        <v>Site 02</v>
      </c>
      <c r="AB87" s="51" t="str">
        <f>'Phase-Resource Allocation'!$B$86</f>
        <v>UAT</v>
      </c>
      <c r="AC87" s="51" t="str">
        <f>'Phase-Resource Allocation'!$C$86</f>
        <v>Change Management Lead</v>
      </c>
      <c r="AD87" s="60">
        <f>'Phase-Resource Allocation'!$D$86</f>
        <v>1</v>
      </c>
      <c r="AE87" s="51">
        <f>IFERROR(INDEX('02_SCHEDULE'!$K$5:$K$124,MATCH(AA87&amp;"|"&amp;AB87,'02_SCHEDULE'!$M$5:$M$124,0)),0)</f>
        <v>7</v>
      </c>
      <c r="AF87" s="51">
        <f>IFERROR(INDEX('02_SCHEDULE'!$L$5:$L$124,MATCH(AA87&amp;"|"&amp;AB87,'02_SCHEDULE'!$M$5:$M$124,0)),0)</f>
        <v>8</v>
      </c>
      <c r="AG87" s="51">
        <f t="shared" si="9"/>
        <v>2</v>
      </c>
    </row>
    <row r="88" spans="2:33" x14ac:dyDescent="0.3">
      <c r="B88">
        <f>65</f>
        <v>65</v>
      </c>
      <c r="C88" s="55">
        <f>'01_INPUTS'!$C$7+(65-1)*7</f>
        <v>46699</v>
      </c>
      <c r="D88" s="61">
        <f>IF(INDEX('01_INPUTS'!$E$17:$E$31,MATCH(D$23,'01_INPUTS'!$B$17:$B$31,0))=0,IF(SUMIFS($AD$3:$AD$870,$AC$3:$AC$870,D$23,$AE$3:$AE$870,"&lt;="&amp;$B88,$AF$3:$AF$870,"&gt;="&amp;$B88)=0,0,9.99),SUMIFS($AD$3:$AD$870,$AC$3:$AC$870,D$23,$AE$3:$AE$870,"&lt;="&amp;$B88,$AF$3:$AF$870,"&gt;="&amp;$B88)/INDEX('01_INPUTS'!$E$17:$E$31,MATCH(D$23,'01_INPUTS'!$B$17:$B$31,0)))</f>
        <v>1</v>
      </c>
      <c r="E88" s="61">
        <f>IF(INDEX('01_INPUTS'!$E$17:$E$31,MATCH(E$23,'01_INPUTS'!$B$17:$B$31,0))=0,IF(SUMIFS($AD$3:$AD$870,$AC$3:$AC$870,E$23,$AE$3:$AE$870,"&lt;="&amp;$B88,$AF$3:$AF$870,"&gt;="&amp;$B88)=0,0,9.99),SUMIFS($AD$3:$AD$870,$AC$3:$AC$870,E$23,$AE$3:$AE$870,"&lt;="&amp;$B88,$AF$3:$AF$870,"&gt;="&amp;$B88)/INDEX('01_INPUTS'!$E$17:$E$31,MATCH(E$23,'01_INPUTS'!$B$17:$B$31,0)))</f>
        <v>0</v>
      </c>
      <c r="F88" s="61">
        <f>IF(INDEX('01_INPUTS'!$E$17:$E$31,MATCH(F$23,'01_INPUTS'!$B$17:$B$31,0))=0,IF(SUMIFS($AD$3:$AD$870,$AC$3:$AC$870,F$23,$AE$3:$AE$870,"&lt;="&amp;$B88,$AF$3:$AF$870,"&gt;="&amp;$B88)=0,0,9.99),SUMIFS($AD$3:$AD$870,$AC$3:$AC$870,F$23,$AE$3:$AE$870,"&lt;="&amp;$B88,$AF$3:$AF$870,"&gt;="&amp;$B88)/INDEX('01_INPUTS'!$E$17:$E$31,MATCH(F$23,'01_INPUTS'!$B$17:$B$31,0)))</f>
        <v>0</v>
      </c>
      <c r="G88" s="61">
        <f>IF(INDEX('01_INPUTS'!$E$17:$E$31,MATCH(G$23,'01_INPUTS'!$B$17:$B$31,0))=0,IF(SUMIFS($AD$3:$AD$870,$AC$3:$AC$870,G$23,$AE$3:$AE$870,"&lt;="&amp;$B88,$AF$3:$AF$870,"&gt;="&amp;$B88)=0,0,9.99),SUMIFS($AD$3:$AD$870,$AC$3:$AC$870,G$23,$AE$3:$AE$870,"&lt;="&amp;$B88,$AF$3:$AF$870,"&gt;="&amp;$B88)/INDEX('01_INPUTS'!$E$17:$E$31,MATCH(G$23,'01_INPUTS'!$B$17:$B$31,0)))</f>
        <v>0</v>
      </c>
      <c r="H88" s="61">
        <f>IF(INDEX('01_INPUTS'!$E$17:$E$31,MATCH(H$23,'01_INPUTS'!$B$17:$B$31,0))=0,IF(SUMIFS($AD$3:$AD$870,$AC$3:$AC$870,H$23,$AE$3:$AE$870,"&lt;="&amp;$B88,$AF$3:$AF$870,"&gt;="&amp;$B88)=0,0,9.99),SUMIFS($AD$3:$AD$870,$AC$3:$AC$870,H$23,$AE$3:$AE$870,"&lt;="&amp;$B88,$AF$3:$AF$870,"&gt;="&amp;$B88)/INDEX('01_INPUTS'!$E$17:$E$31,MATCH(H$23,'01_INPUTS'!$B$17:$B$31,0)))</f>
        <v>1</v>
      </c>
      <c r="I88" s="61">
        <f>IF(INDEX('01_INPUTS'!$E$17:$E$31,MATCH(I$23,'01_INPUTS'!$B$17:$B$31,0))=0,IF(SUMIFS($AD$3:$AD$870,$AC$3:$AC$870,I$23,$AE$3:$AE$870,"&lt;="&amp;$B88,$AF$3:$AF$870,"&gt;="&amp;$B88)=0,0,9.99),SUMIFS($AD$3:$AD$870,$AC$3:$AC$870,I$23,$AE$3:$AE$870,"&lt;="&amp;$B88,$AF$3:$AF$870,"&gt;="&amp;$B88)/INDEX('01_INPUTS'!$E$17:$E$31,MATCH(I$23,'01_INPUTS'!$B$17:$B$31,0)))</f>
        <v>1.5</v>
      </c>
      <c r="J88" s="61">
        <f>IF(INDEX('01_INPUTS'!$E$17:$E$31,MATCH(J$23,'01_INPUTS'!$B$17:$B$31,0))=0,IF(SUMIFS($AD$3:$AD$870,$AC$3:$AC$870,J$23,$AE$3:$AE$870,"&lt;="&amp;$B88,$AF$3:$AF$870,"&gt;="&amp;$B88)=0,0,9.99),SUMIFS($AD$3:$AD$870,$AC$3:$AC$870,J$23,$AE$3:$AE$870,"&lt;="&amp;$B88,$AF$3:$AF$870,"&gt;="&amp;$B88)/INDEX('01_INPUTS'!$E$17:$E$31,MATCH(J$23,'01_INPUTS'!$B$17:$B$31,0)))</f>
        <v>2</v>
      </c>
      <c r="K88" s="61">
        <f>IF(INDEX('01_INPUTS'!$E$17:$E$31,MATCH(K$23,'01_INPUTS'!$B$17:$B$31,0))=0,IF(SUMIFS($AD$3:$AD$870,$AC$3:$AC$870,K$23,$AE$3:$AE$870,"&lt;="&amp;$B88,$AF$3:$AF$870,"&gt;="&amp;$B88)=0,0,9.99),SUMIFS($AD$3:$AD$870,$AC$3:$AC$870,K$23,$AE$3:$AE$870,"&lt;="&amp;$B88,$AF$3:$AF$870,"&gt;="&amp;$B88)/INDEX('01_INPUTS'!$E$17:$E$31,MATCH(K$23,'01_INPUTS'!$B$17:$B$31,0)))</f>
        <v>1.5</v>
      </c>
      <c r="L88" s="61">
        <f>IF(INDEX('01_INPUTS'!$E$17:$E$31,MATCH(L$23,'01_INPUTS'!$B$17:$B$31,0))=0,IF(SUMIFS($AD$3:$AD$870,$AC$3:$AC$870,L$23,$AE$3:$AE$870,"&lt;="&amp;$B88,$AF$3:$AF$870,"&gt;="&amp;$B88)=0,0,9.99),SUMIFS($AD$3:$AD$870,$AC$3:$AC$870,L$23,$AE$3:$AE$870,"&lt;="&amp;$B88,$AF$3:$AF$870,"&gt;="&amp;$B88)/INDEX('01_INPUTS'!$E$17:$E$31,MATCH(L$23,'01_INPUTS'!$B$17:$B$31,0)))</f>
        <v>1</v>
      </c>
      <c r="M88" s="61">
        <f>IF(INDEX('01_INPUTS'!$E$17:$E$31,MATCH(M$23,'01_INPUTS'!$B$17:$B$31,0))=0,IF(SUMIFS($AD$3:$AD$870,$AC$3:$AC$870,M$23,$AE$3:$AE$870,"&lt;="&amp;$B88,$AF$3:$AF$870,"&gt;="&amp;$B88)=0,0,9.99),SUMIFS($AD$3:$AD$870,$AC$3:$AC$870,M$23,$AE$3:$AE$870,"&lt;="&amp;$B88,$AF$3:$AF$870,"&gt;="&amp;$B88)/INDEX('01_INPUTS'!$E$17:$E$31,MATCH(M$23,'01_INPUTS'!$B$17:$B$31,0)))</f>
        <v>1</v>
      </c>
      <c r="N88" s="61">
        <f>IF(INDEX('01_INPUTS'!$E$17:$E$31,MATCH(N$23,'01_INPUTS'!$B$17:$B$31,0))=0,IF(SUMIFS($AD$3:$AD$870,$AC$3:$AC$870,N$23,$AE$3:$AE$870,"&lt;="&amp;$B88,$AF$3:$AF$870,"&gt;="&amp;$B88)=0,0,9.99),SUMIFS($AD$3:$AD$870,$AC$3:$AC$870,N$23,$AE$3:$AE$870,"&lt;="&amp;$B88,$AF$3:$AF$870,"&gt;="&amp;$B88)/INDEX('01_INPUTS'!$E$17:$E$31,MATCH(N$23,'01_INPUTS'!$B$17:$B$31,0)))</f>
        <v>1</v>
      </c>
      <c r="O88" s="61">
        <f>IF(INDEX('01_INPUTS'!$E$17:$E$31,MATCH(O$23,'01_INPUTS'!$B$17:$B$31,0))=0,IF(SUMIFS($AD$3:$AD$870,$AC$3:$AC$870,O$23,$AE$3:$AE$870,"&lt;="&amp;$B88,$AF$3:$AF$870,"&gt;="&amp;$B88)=0,0,9.99),SUMIFS($AD$3:$AD$870,$AC$3:$AC$870,O$23,$AE$3:$AE$870,"&lt;="&amp;$B88,$AF$3:$AF$870,"&gt;="&amp;$B88)/INDEX('01_INPUTS'!$E$17:$E$31,MATCH(O$23,'01_INPUTS'!$B$17:$B$31,0)))</f>
        <v>0</v>
      </c>
      <c r="P88" s="61">
        <f>IF(INDEX('01_INPUTS'!$E$17:$E$31,MATCH(P$23,'01_INPUTS'!$B$17:$B$31,0))=0,IF(SUMIFS($AD$3:$AD$870,$AC$3:$AC$870,P$23,$AE$3:$AE$870,"&lt;="&amp;$B88,$AF$3:$AF$870,"&gt;="&amp;$B88)=0,0,9.99),SUMIFS($AD$3:$AD$870,$AC$3:$AC$870,P$23,$AE$3:$AE$870,"&lt;="&amp;$B88,$AF$3:$AF$870,"&gt;="&amp;$B88)/INDEX('01_INPUTS'!$E$17:$E$31,MATCH(P$23,'01_INPUTS'!$B$17:$B$31,0)))</f>
        <v>6</v>
      </c>
      <c r="Q88" s="61">
        <f>IF(INDEX('01_INPUTS'!$E$17:$E$31,MATCH(Q$23,'01_INPUTS'!$B$17:$B$31,0))=0,IF(SUMIFS($AD$3:$AD$870,$AC$3:$AC$870,Q$23,$AE$3:$AE$870,"&lt;="&amp;$B88,$AF$3:$AF$870,"&gt;="&amp;$B88)=0,0,9.99),SUMIFS($AD$3:$AD$870,$AC$3:$AC$870,Q$23,$AE$3:$AE$870,"&lt;="&amp;$B88,$AF$3:$AF$870,"&gt;="&amp;$B88)/INDEX('01_INPUTS'!$E$17:$E$31,MATCH(Q$23,'01_INPUTS'!$B$17:$B$31,0)))</f>
        <v>0.5</v>
      </c>
      <c r="R88" s="61">
        <f>IF(INDEX('01_INPUTS'!$E$17:$E$31,MATCH(R$23,'01_INPUTS'!$B$17:$B$31,0))=0,IF(SUMIFS($AD$3:$AD$870,$AC$3:$AC$870,R$23,$AE$3:$AE$870,"&lt;="&amp;$B88,$AF$3:$AF$870,"&gt;="&amp;$B88)=0,0,9.99),SUMIFS($AD$3:$AD$870,$AC$3:$AC$870,R$23,$AE$3:$AE$870,"&lt;="&amp;$B88,$AF$3:$AF$870,"&gt;="&amp;$B88)/INDEX('01_INPUTS'!$E$17:$E$31,MATCH(R$23,'01_INPUTS'!$B$17:$B$31,0)))</f>
        <v>0</v>
      </c>
      <c r="S88">
        <f t="shared" ref="S88:S119" si="10">SUMIFS($AD$3:$AD$870,$AE$3:$AE$870,"&lt;="&amp;B88,$AF$3:$AF$870,"&gt;="&amp;B88)</f>
        <v>21.5</v>
      </c>
      <c r="T88">
        <f>SUM('01_INPUTS'!$E$17:$E$31)</f>
        <v>20</v>
      </c>
      <c r="U88" s="61">
        <f t="shared" ref="U88:U119" si="11">IFERROR(S88/T88,0)</f>
        <v>1.075</v>
      </c>
      <c r="V88">
        <f t="shared" ref="V88:V119" si="12">COUNTIF(D88:R88,"&gt;1")</f>
        <v>4</v>
      </c>
      <c r="W88" t="str">
        <f t="shared" ref="W88:W119" si="13">IF(MAX(D88:R88)&gt;1,"ROJO",IF(MAX(D88:R88)&gt;0.8,"AMARILLO","VERDE"))</f>
        <v>ROJO</v>
      </c>
      <c r="AA88" s="51" t="str">
        <f>'Sites Master'!$B$3</f>
        <v>Site 02</v>
      </c>
      <c r="AB88" s="51" t="str">
        <f>'Phase-Resource Allocation'!$B$87</f>
        <v>UAT</v>
      </c>
      <c r="AC88" s="51" t="str">
        <f>'Phase-Resource Allocation'!$C$87</f>
        <v>SAP Integrations Lead</v>
      </c>
      <c r="AD88" s="60">
        <f>'Phase-Resource Allocation'!$D$87</f>
        <v>0.5</v>
      </c>
      <c r="AE88" s="51">
        <f>IFERROR(INDEX('02_SCHEDULE'!$K$5:$K$124,MATCH(AA88&amp;"|"&amp;AB88,'02_SCHEDULE'!$M$5:$M$124,0)),0)</f>
        <v>7</v>
      </c>
      <c r="AF88" s="51">
        <f>IFERROR(INDEX('02_SCHEDULE'!$L$5:$L$124,MATCH(AA88&amp;"|"&amp;AB88,'02_SCHEDULE'!$M$5:$M$124,0)),0)</f>
        <v>8</v>
      </c>
      <c r="AG88" s="51">
        <f t="shared" si="9"/>
        <v>1</v>
      </c>
    </row>
    <row r="89" spans="2:33" x14ac:dyDescent="0.3">
      <c r="B89">
        <f>66</f>
        <v>66</v>
      </c>
      <c r="C89" s="55">
        <f>'01_INPUTS'!$C$7+(66-1)*7</f>
        <v>46706</v>
      </c>
      <c r="D89" s="61">
        <f>IF(INDEX('01_INPUTS'!$E$17:$E$31,MATCH(D$23,'01_INPUTS'!$B$17:$B$31,0))=0,IF(SUMIFS($AD$3:$AD$870,$AC$3:$AC$870,D$23,$AE$3:$AE$870,"&lt;="&amp;$B89,$AF$3:$AF$870,"&gt;="&amp;$B89)=0,0,9.99),SUMIFS($AD$3:$AD$870,$AC$3:$AC$870,D$23,$AE$3:$AE$870,"&lt;="&amp;$B89,$AF$3:$AF$870,"&gt;="&amp;$B89)/INDEX('01_INPUTS'!$E$17:$E$31,MATCH(D$23,'01_INPUTS'!$B$17:$B$31,0)))</f>
        <v>1.5</v>
      </c>
      <c r="E89" s="61">
        <f>IF(INDEX('01_INPUTS'!$E$17:$E$31,MATCH(E$23,'01_INPUTS'!$B$17:$B$31,0))=0,IF(SUMIFS($AD$3:$AD$870,$AC$3:$AC$870,E$23,$AE$3:$AE$870,"&lt;="&amp;$B89,$AF$3:$AF$870,"&gt;="&amp;$B89)=0,0,9.99),SUMIFS($AD$3:$AD$870,$AC$3:$AC$870,E$23,$AE$3:$AE$870,"&lt;="&amp;$B89,$AF$3:$AF$870,"&gt;="&amp;$B89)/INDEX('01_INPUTS'!$E$17:$E$31,MATCH(E$23,'01_INPUTS'!$B$17:$B$31,0)))</f>
        <v>0</v>
      </c>
      <c r="F89" s="61">
        <f>IF(INDEX('01_INPUTS'!$E$17:$E$31,MATCH(F$23,'01_INPUTS'!$B$17:$B$31,0))=0,IF(SUMIFS($AD$3:$AD$870,$AC$3:$AC$870,F$23,$AE$3:$AE$870,"&lt;="&amp;$B89,$AF$3:$AF$870,"&gt;="&amp;$B89)=0,0,9.99),SUMIFS($AD$3:$AD$870,$AC$3:$AC$870,F$23,$AE$3:$AE$870,"&lt;="&amp;$B89,$AF$3:$AF$870,"&gt;="&amp;$B89)/INDEX('01_INPUTS'!$E$17:$E$31,MATCH(F$23,'01_INPUTS'!$B$17:$B$31,0)))</f>
        <v>0</v>
      </c>
      <c r="G89" s="61">
        <f>IF(INDEX('01_INPUTS'!$E$17:$E$31,MATCH(G$23,'01_INPUTS'!$B$17:$B$31,0))=0,IF(SUMIFS($AD$3:$AD$870,$AC$3:$AC$870,G$23,$AE$3:$AE$870,"&lt;="&amp;$B89,$AF$3:$AF$870,"&gt;="&amp;$B89)=0,0,9.99),SUMIFS($AD$3:$AD$870,$AC$3:$AC$870,G$23,$AE$3:$AE$870,"&lt;="&amp;$B89,$AF$3:$AF$870,"&gt;="&amp;$B89)/INDEX('01_INPUTS'!$E$17:$E$31,MATCH(G$23,'01_INPUTS'!$B$17:$B$31,0)))</f>
        <v>0</v>
      </c>
      <c r="H89" s="61">
        <f>IF(INDEX('01_INPUTS'!$E$17:$E$31,MATCH(H$23,'01_INPUTS'!$B$17:$B$31,0))=0,IF(SUMIFS($AD$3:$AD$870,$AC$3:$AC$870,H$23,$AE$3:$AE$870,"&lt;="&amp;$B89,$AF$3:$AF$870,"&gt;="&amp;$B89)=0,0,9.99),SUMIFS($AD$3:$AD$870,$AC$3:$AC$870,H$23,$AE$3:$AE$870,"&lt;="&amp;$B89,$AF$3:$AF$870,"&gt;="&amp;$B89)/INDEX('01_INPUTS'!$E$17:$E$31,MATCH(H$23,'01_INPUTS'!$B$17:$B$31,0)))</f>
        <v>0.5</v>
      </c>
      <c r="I89" s="61">
        <f>IF(INDEX('01_INPUTS'!$E$17:$E$31,MATCH(I$23,'01_INPUTS'!$B$17:$B$31,0))=0,IF(SUMIFS($AD$3:$AD$870,$AC$3:$AC$870,I$23,$AE$3:$AE$870,"&lt;="&amp;$B89,$AF$3:$AF$870,"&gt;="&amp;$B89)=0,0,9.99),SUMIFS($AD$3:$AD$870,$AC$3:$AC$870,I$23,$AE$3:$AE$870,"&lt;="&amp;$B89,$AF$3:$AF$870,"&gt;="&amp;$B89)/INDEX('01_INPUTS'!$E$17:$E$31,MATCH(I$23,'01_INPUTS'!$B$17:$B$31,0)))</f>
        <v>1.5</v>
      </c>
      <c r="J89" s="61">
        <f>IF(INDEX('01_INPUTS'!$E$17:$E$31,MATCH(J$23,'01_INPUTS'!$B$17:$B$31,0))=0,IF(SUMIFS($AD$3:$AD$870,$AC$3:$AC$870,J$23,$AE$3:$AE$870,"&lt;="&amp;$B89,$AF$3:$AF$870,"&gt;="&amp;$B89)=0,0,9.99),SUMIFS($AD$3:$AD$870,$AC$3:$AC$870,J$23,$AE$3:$AE$870,"&lt;="&amp;$B89,$AF$3:$AF$870,"&gt;="&amp;$B89)/INDEX('01_INPUTS'!$E$17:$E$31,MATCH(J$23,'01_INPUTS'!$B$17:$B$31,0)))</f>
        <v>1.5</v>
      </c>
      <c r="K89" s="61">
        <f>IF(INDEX('01_INPUTS'!$E$17:$E$31,MATCH(K$23,'01_INPUTS'!$B$17:$B$31,0))=0,IF(SUMIFS($AD$3:$AD$870,$AC$3:$AC$870,K$23,$AE$3:$AE$870,"&lt;="&amp;$B89,$AF$3:$AF$870,"&gt;="&amp;$B89)=0,0,9.99),SUMIFS($AD$3:$AD$870,$AC$3:$AC$870,K$23,$AE$3:$AE$870,"&lt;="&amp;$B89,$AF$3:$AF$870,"&gt;="&amp;$B89)/INDEX('01_INPUTS'!$E$17:$E$31,MATCH(K$23,'01_INPUTS'!$B$17:$B$31,0)))</f>
        <v>1.5</v>
      </c>
      <c r="L89" s="61">
        <f>IF(INDEX('01_INPUTS'!$E$17:$E$31,MATCH(L$23,'01_INPUTS'!$B$17:$B$31,0))=0,IF(SUMIFS($AD$3:$AD$870,$AC$3:$AC$870,L$23,$AE$3:$AE$870,"&lt;="&amp;$B89,$AF$3:$AF$870,"&gt;="&amp;$B89)=0,0,9.99),SUMIFS($AD$3:$AD$870,$AC$3:$AC$870,L$23,$AE$3:$AE$870,"&lt;="&amp;$B89,$AF$3:$AF$870,"&gt;="&amp;$B89)/INDEX('01_INPUTS'!$E$17:$E$31,MATCH(L$23,'01_INPUTS'!$B$17:$B$31,0)))</f>
        <v>1</v>
      </c>
      <c r="M89" s="61">
        <f>IF(INDEX('01_INPUTS'!$E$17:$E$31,MATCH(M$23,'01_INPUTS'!$B$17:$B$31,0))=0,IF(SUMIFS($AD$3:$AD$870,$AC$3:$AC$870,M$23,$AE$3:$AE$870,"&lt;="&amp;$B89,$AF$3:$AF$870,"&gt;="&amp;$B89)=0,0,9.99),SUMIFS($AD$3:$AD$870,$AC$3:$AC$870,M$23,$AE$3:$AE$870,"&lt;="&amp;$B89,$AF$3:$AF$870,"&gt;="&amp;$B89)/INDEX('01_INPUTS'!$E$17:$E$31,MATCH(M$23,'01_INPUTS'!$B$17:$B$31,0)))</f>
        <v>1</v>
      </c>
      <c r="N89" s="61">
        <f>IF(INDEX('01_INPUTS'!$E$17:$E$31,MATCH(N$23,'01_INPUTS'!$B$17:$B$31,0))=0,IF(SUMIFS($AD$3:$AD$870,$AC$3:$AC$870,N$23,$AE$3:$AE$870,"&lt;="&amp;$B89,$AF$3:$AF$870,"&gt;="&amp;$B89)=0,0,9.99),SUMIFS($AD$3:$AD$870,$AC$3:$AC$870,N$23,$AE$3:$AE$870,"&lt;="&amp;$B89,$AF$3:$AF$870,"&gt;="&amp;$B89)/INDEX('01_INPUTS'!$E$17:$E$31,MATCH(N$23,'01_INPUTS'!$B$17:$B$31,0)))</f>
        <v>1</v>
      </c>
      <c r="O89" s="61">
        <f>IF(INDEX('01_INPUTS'!$E$17:$E$31,MATCH(O$23,'01_INPUTS'!$B$17:$B$31,0))=0,IF(SUMIFS($AD$3:$AD$870,$AC$3:$AC$870,O$23,$AE$3:$AE$870,"&lt;="&amp;$B89,$AF$3:$AF$870,"&gt;="&amp;$B89)=0,0,9.99),SUMIFS($AD$3:$AD$870,$AC$3:$AC$870,O$23,$AE$3:$AE$870,"&lt;="&amp;$B89,$AF$3:$AF$870,"&gt;="&amp;$B89)/INDEX('01_INPUTS'!$E$17:$E$31,MATCH(O$23,'01_INPUTS'!$B$17:$B$31,0)))</f>
        <v>1</v>
      </c>
      <c r="P89" s="61">
        <f>IF(INDEX('01_INPUTS'!$E$17:$E$31,MATCH(P$23,'01_INPUTS'!$B$17:$B$31,0))=0,IF(SUMIFS($AD$3:$AD$870,$AC$3:$AC$870,P$23,$AE$3:$AE$870,"&lt;="&amp;$B89,$AF$3:$AF$870,"&gt;="&amp;$B89)=0,0,9.99),SUMIFS($AD$3:$AD$870,$AC$3:$AC$870,P$23,$AE$3:$AE$870,"&lt;="&amp;$B89,$AF$3:$AF$870,"&gt;="&amp;$B89)/INDEX('01_INPUTS'!$E$17:$E$31,MATCH(P$23,'01_INPUTS'!$B$17:$B$31,0)))</f>
        <v>4</v>
      </c>
      <c r="Q89" s="61">
        <f>IF(INDEX('01_INPUTS'!$E$17:$E$31,MATCH(Q$23,'01_INPUTS'!$B$17:$B$31,0))=0,IF(SUMIFS($AD$3:$AD$870,$AC$3:$AC$870,Q$23,$AE$3:$AE$870,"&lt;="&amp;$B89,$AF$3:$AF$870,"&gt;="&amp;$B89)=0,0,9.99),SUMIFS($AD$3:$AD$870,$AC$3:$AC$870,Q$23,$AE$3:$AE$870,"&lt;="&amp;$B89,$AF$3:$AF$870,"&gt;="&amp;$B89)/INDEX('01_INPUTS'!$E$17:$E$31,MATCH(Q$23,'01_INPUTS'!$B$17:$B$31,0)))</f>
        <v>0.75</v>
      </c>
      <c r="R89" s="61">
        <f>IF(INDEX('01_INPUTS'!$E$17:$E$31,MATCH(R$23,'01_INPUTS'!$B$17:$B$31,0))=0,IF(SUMIFS($AD$3:$AD$870,$AC$3:$AC$870,R$23,$AE$3:$AE$870,"&lt;="&amp;$B89,$AF$3:$AF$870,"&gt;="&amp;$B89)=0,0,9.99),SUMIFS($AD$3:$AD$870,$AC$3:$AC$870,R$23,$AE$3:$AE$870,"&lt;="&amp;$B89,$AF$3:$AF$870,"&gt;="&amp;$B89)/INDEX('01_INPUTS'!$E$17:$E$31,MATCH(R$23,'01_INPUTS'!$B$17:$B$31,0)))</f>
        <v>0</v>
      </c>
      <c r="S89">
        <f t="shared" si="10"/>
        <v>19.5</v>
      </c>
      <c r="T89">
        <f>SUM('01_INPUTS'!$E$17:$E$31)</f>
        <v>20</v>
      </c>
      <c r="U89" s="61">
        <f t="shared" si="11"/>
        <v>0.97499999999999998</v>
      </c>
      <c r="V89">
        <f t="shared" si="12"/>
        <v>5</v>
      </c>
      <c r="W89" t="str">
        <f t="shared" si="13"/>
        <v>ROJO</v>
      </c>
      <c r="AA89" s="51" t="str">
        <f>'Sites Master'!$B$3</f>
        <v>Site 02</v>
      </c>
      <c r="AB89" s="51" t="str">
        <f>'Phase-Resource Allocation'!$B$88</f>
        <v>UAT</v>
      </c>
      <c r="AC89" s="51" t="str">
        <f>'Phase-Resource Allocation'!$C$88</f>
        <v>SAP Integrations Specialist</v>
      </c>
      <c r="AD89" s="60">
        <f>'Phase-Resource Allocation'!$D$88</f>
        <v>0.5</v>
      </c>
      <c r="AE89" s="51">
        <f>IFERROR(INDEX('02_SCHEDULE'!$K$5:$K$124,MATCH(AA89&amp;"|"&amp;AB89,'02_SCHEDULE'!$M$5:$M$124,0)),0)</f>
        <v>7</v>
      </c>
      <c r="AF89" s="51">
        <f>IFERROR(INDEX('02_SCHEDULE'!$L$5:$L$124,MATCH(AA89&amp;"|"&amp;AB89,'02_SCHEDULE'!$M$5:$M$124,0)),0)</f>
        <v>8</v>
      </c>
      <c r="AG89" s="51">
        <f t="shared" si="9"/>
        <v>1</v>
      </c>
    </row>
    <row r="90" spans="2:33" x14ac:dyDescent="0.3">
      <c r="B90">
        <f>67</f>
        <v>67</v>
      </c>
      <c r="C90" s="55">
        <f>'01_INPUTS'!$C$7+(67-1)*7</f>
        <v>46713</v>
      </c>
      <c r="D90" s="61">
        <f>IF(INDEX('01_INPUTS'!$E$17:$E$31,MATCH(D$23,'01_INPUTS'!$B$17:$B$31,0))=0,IF(SUMIFS($AD$3:$AD$870,$AC$3:$AC$870,D$23,$AE$3:$AE$870,"&lt;="&amp;$B90,$AF$3:$AF$870,"&gt;="&amp;$B90)=0,0,9.99),SUMIFS($AD$3:$AD$870,$AC$3:$AC$870,D$23,$AE$3:$AE$870,"&lt;="&amp;$B90,$AF$3:$AF$870,"&gt;="&amp;$B90)/INDEX('01_INPUTS'!$E$17:$E$31,MATCH(D$23,'01_INPUTS'!$B$17:$B$31,0)))</f>
        <v>1</v>
      </c>
      <c r="E90" s="61">
        <f>IF(INDEX('01_INPUTS'!$E$17:$E$31,MATCH(E$23,'01_INPUTS'!$B$17:$B$31,0))=0,IF(SUMIFS($AD$3:$AD$870,$AC$3:$AC$870,E$23,$AE$3:$AE$870,"&lt;="&amp;$B90,$AF$3:$AF$870,"&gt;="&amp;$B90)=0,0,9.99),SUMIFS($AD$3:$AD$870,$AC$3:$AC$870,E$23,$AE$3:$AE$870,"&lt;="&amp;$B90,$AF$3:$AF$870,"&gt;="&amp;$B90)/INDEX('01_INPUTS'!$E$17:$E$31,MATCH(E$23,'01_INPUTS'!$B$17:$B$31,0)))</f>
        <v>0</v>
      </c>
      <c r="F90" s="61">
        <f>IF(INDEX('01_INPUTS'!$E$17:$E$31,MATCH(F$23,'01_INPUTS'!$B$17:$B$31,0))=0,IF(SUMIFS($AD$3:$AD$870,$AC$3:$AC$870,F$23,$AE$3:$AE$870,"&lt;="&amp;$B90,$AF$3:$AF$870,"&gt;="&amp;$B90)=0,0,9.99),SUMIFS($AD$3:$AD$870,$AC$3:$AC$870,F$23,$AE$3:$AE$870,"&lt;="&amp;$B90,$AF$3:$AF$870,"&gt;="&amp;$B90)/INDEX('01_INPUTS'!$E$17:$E$31,MATCH(F$23,'01_INPUTS'!$B$17:$B$31,0)))</f>
        <v>0</v>
      </c>
      <c r="G90" s="61">
        <f>IF(INDEX('01_INPUTS'!$E$17:$E$31,MATCH(G$23,'01_INPUTS'!$B$17:$B$31,0))=0,IF(SUMIFS($AD$3:$AD$870,$AC$3:$AC$870,G$23,$AE$3:$AE$870,"&lt;="&amp;$B90,$AF$3:$AF$870,"&gt;="&amp;$B90)=0,0,9.99),SUMIFS($AD$3:$AD$870,$AC$3:$AC$870,G$23,$AE$3:$AE$870,"&lt;="&amp;$B90,$AF$3:$AF$870,"&gt;="&amp;$B90)/INDEX('01_INPUTS'!$E$17:$E$31,MATCH(G$23,'01_INPUTS'!$B$17:$B$31,0)))</f>
        <v>0</v>
      </c>
      <c r="H90" s="61">
        <f>IF(INDEX('01_INPUTS'!$E$17:$E$31,MATCH(H$23,'01_INPUTS'!$B$17:$B$31,0))=0,IF(SUMIFS($AD$3:$AD$870,$AC$3:$AC$870,H$23,$AE$3:$AE$870,"&lt;="&amp;$B90,$AF$3:$AF$870,"&gt;="&amp;$B90)=0,0,9.99),SUMIFS($AD$3:$AD$870,$AC$3:$AC$870,H$23,$AE$3:$AE$870,"&lt;="&amp;$B90,$AF$3:$AF$870,"&gt;="&amp;$B90)/INDEX('01_INPUTS'!$E$17:$E$31,MATCH(H$23,'01_INPUTS'!$B$17:$B$31,0)))</f>
        <v>1</v>
      </c>
      <c r="I90" s="61">
        <f>IF(INDEX('01_INPUTS'!$E$17:$E$31,MATCH(I$23,'01_INPUTS'!$B$17:$B$31,0))=0,IF(SUMIFS($AD$3:$AD$870,$AC$3:$AC$870,I$23,$AE$3:$AE$870,"&lt;="&amp;$B90,$AF$3:$AF$870,"&gt;="&amp;$B90)=0,0,9.99),SUMIFS($AD$3:$AD$870,$AC$3:$AC$870,I$23,$AE$3:$AE$870,"&lt;="&amp;$B90,$AF$3:$AF$870,"&gt;="&amp;$B90)/INDEX('01_INPUTS'!$E$17:$E$31,MATCH(I$23,'01_INPUTS'!$B$17:$B$31,0)))</f>
        <v>1</v>
      </c>
      <c r="J90" s="61">
        <f>IF(INDEX('01_INPUTS'!$E$17:$E$31,MATCH(J$23,'01_INPUTS'!$B$17:$B$31,0))=0,IF(SUMIFS($AD$3:$AD$870,$AC$3:$AC$870,J$23,$AE$3:$AE$870,"&lt;="&amp;$B90,$AF$3:$AF$870,"&gt;="&amp;$B90)=0,0,9.99),SUMIFS($AD$3:$AD$870,$AC$3:$AC$870,J$23,$AE$3:$AE$870,"&lt;="&amp;$B90,$AF$3:$AF$870,"&gt;="&amp;$B90)/INDEX('01_INPUTS'!$E$17:$E$31,MATCH(J$23,'01_INPUTS'!$B$17:$B$31,0)))</f>
        <v>1.5</v>
      </c>
      <c r="K90" s="61">
        <f>IF(INDEX('01_INPUTS'!$E$17:$E$31,MATCH(K$23,'01_INPUTS'!$B$17:$B$31,0))=0,IF(SUMIFS($AD$3:$AD$870,$AC$3:$AC$870,K$23,$AE$3:$AE$870,"&lt;="&amp;$B90,$AF$3:$AF$870,"&gt;="&amp;$B90)=0,0,9.99),SUMIFS($AD$3:$AD$870,$AC$3:$AC$870,K$23,$AE$3:$AE$870,"&lt;="&amp;$B90,$AF$3:$AF$870,"&gt;="&amp;$B90)/INDEX('01_INPUTS'!$E$17:$E$31,MATCH(K$23,'01_INPUTS'!$B$17:$B$31,0)))</f>
        <v>1.5</v>
      </c>
      <c r="L90" s="61">
        <f>IF(INDEX('01_INPUTS'!$E$17:$E$31,MATCH(L$23,'01_INPUTS'!$B$17:$B$31,0))=0,IF(SUMIFS($AD$3:$AD$870,$AC$3:$AC$870,L$23,$AE$3:$AE$870,"&lt;="&amp;$B90,$AF$3:$AF$870,"&gt;="&amp;$B90)=0,0,9.99),SUMIFS($AD$3:$AD$870,$AC$3:$AC$870,L$23,$AE$3:$AE$870,"&lt;="&amp;$B90,$AF$3:$AF$870,"&gt;="&amp;$B90)/INDEX('01_INPUTS'!$E$17:$E$31,MATCH(L$23,'01_INPUTS'!$B$17:$B$31,0)))</f>
        <v>1</v>
      </c>
      <c r="M90" s="61">
        <f>IF(INDEX('01_INPUTS'!$E$17:$E$31,MATCH(M$23,'01_INPUTS'!$B$17:$B$31,0))=0,IF(SUMIFS($AD$3:$AD$870,$AC$3:$AC$870,M$23,$AE$3:$AE$870,"&lt;="&amp;$B90,$AF$3:$AF$870,"&gt;="&amp;$B90)=0,0,9.99),SUMIFS($AD$3:$AD$870,$AC$3:$AC$870,M$23,$AE$3:$AE$870,"&lt;="&amp;$B90,$AF$3:$AF$870,"&gt;="&amp;$B90)/INDEX('01_INPUTS'!$E$17:$E$31,MATCH(M$23,'01_INPUTS'!$B$17:$B$31,0)))</f>
        <v>1</v>
      </c>
      <c r="N90" s="61">
        <f>IF(INDEX('01_INPUTS'!$E$17:$E$31,MATCH(N$23,'01_INPUTS'!$B$17:$B$31,0))=0,IF(SUMIFS($AD$3:$AD$870,$AC$3:$AC$870,N$23,$AE$3:$AE$870,"&lt;="&amp;$B90,$AF$3:$AF$870,"&gt;="&amp;$B90)=0,0,9.99),SUMIFS($AD$3:$AD$870,$AC$3:$AC$870,N$23,$AE$3:$AE$870,"&lt;="&amp;$B90,$AF$3:$AF$870,"&gt;="&amp;$B90)/INDEX('01_INPUTS'!$E$17:$E$31,MATCH(N$23,'01_INPUTS'!$B$17:$B$31,0)))</f>
        <v>1</v>
      </c>
      <c r="O90" s="61">
        <f>IF(INDEX('01_INPUTS'!$E$17:$E$31,MATCH(O$23,'01_INPUTS'!$B$17:$B$31,0))=0,IF(SUMIFS($AD$3:$AD$870,$AC$3:$AC$870,O$23,$AE$3:$AE$870,"&lt;="&amp;$B90,$AF$3:$AF$870,"&gt;="&amp;$B90)=0,0,9.99),SUMIFS($AD$3:$AD$870,$AC$3:$AC$870,O$23,$AE$3:$AE$870,"&lt;="&amp;$B90,$AF$3:$AF$870,"&gt;="&amp;$B90)/INDEX('01_INPUTS'!$E$17:$E$31,MATCH(O$23,'01_INPUTS'!$B$17:$B$31,0)))</f>
        <v>0.5</v>
      </c>
      <c r="P90" s="61">
        <f>IF(INDEX('01_INPUTS'!$E$17:$E$31,MATCH(P$23,'01_INPUTS'!$B$17:$B$31,0))=0,IF(SUMIFS($AD$3:$AD$870,$AC$3:$AC$870,P$23,$AE$3:$AE$870,"&lt;="&amp;$B90,$AF$3:$AF$870,"&gt;="&amp;$B90)=0,0,9.99),SUMIFS($AD$3:$AD$870,$AC$3:$AC$870,P$23,$AE$3:$AE$870,"&lt;="&amp;$B90,$AF$3:$AF$870,"&gt;="&amp;$B90)/INDEX('01_INPUTS'!$E$17:$E$31,MATCH(P$23,'01_INPUTS'!$B$17:$B$31,0)))</f>
        <v>4</v>
      </c>
      <c r="Q90" s="61">
        <f>IF(INDEX('01_INPUTS'!$E$17:$E$31,MATCH(Q$23,'01_INPUTS'!$B$17:$B$31,0))=0,IF(SUMIFS($AD$3:$AD$870,$AC$3:$AC$870,Q$23,$AE$3:$AE$870,"&lt;="&amp;$B90,$AF$3:$AF$870,"&gt;="&amp;$B90)=0,0,9.99),SUMIFS($AD$3:$AD$870,$AC$3:$AC$870,Q$23,$AE$3:$AE$870,"&lt;="&amp;$B90,$AF$3:$AF$870,"&gt;="&amp;$B90)/INDEX('01_INPUTS'!$E$17:$E$31,MATCH(Q$23,'01_INPUTS'!$B$17:$B$31,0)))</f>
        <v>0.25</v>
      </c>
      <c r="R90" s="61">
        <f>IF(INDEX('01_INPUTS'!$E$17:$E$31,MATCH(R$23,'01_INPUTS'!$B$17:$B$31,0))=0,IF(SUMIFS($AD$3:$AD$870,$AC$3:$AC$870,R$23,$AE$3:$AE$870,"&lt;="&amp;$B90,$AF$3:$AF$870,"&gt;="&amp;$B90)=0,0,9.99),SUMIFS($AD$3:$AD$870,$AC$3:$AC$870,R$23,$AE$3:$AE$870,"&lt;="&amp;$B90,$AF$3:$AF$870,"&gt;="&amp;$B90)/INDEX('01_INPUTS'!$E$17:$E$31,MATCH(R$23,'01_INPUTS'!$B$17:$B$31,0)))</f>
        <v>0</v>
      </c>
      <c r="S90">
        <f t="shared" si="10"/>
        <v>17.5</v>
      </c>
      <c r="T90">
        <f>SUM('01_INPUTS'!$E$17:$E$31)</f>
        <v>20</v>
      </c>
      <c r="U90" s="61">
        <f t="shared" si="11"/>
        <v>0.875</v>
      </c>
      <c r="V90">
        <f t="shared" si="12"/>
        <v>3</v>
      </c>
      <c r="W90" t="str">
        <f t="shared" si="13"/>
        <v>ROJO</v>
      </c>
      <c r="AA90" s="51" t="str">
        <f>'Sites Master'!$B$3</f>
        <v>Site 02</v>
      </c>
      <c r="AB90" s="51" t="str">
        <f>'Phase-Resource Allocation'!$B$89</f>
        <v>UAT</v>
      </c>
      <c r="AC90" s="51" t="str">
        <f>'Phase-Resource Allocation'!$C$89</f>
        <v>Azure Lead</v>
      </c>
      <c r="AD90" s="60">
        <f>'Phase-Resource Allocation'!$D$89</f>
        <v>0.5</v>
      </c>
      <c r="AE90" s="51">
        <f>IFERROR(INDEX('02_SCHEDULE'!$K$5:$K$124,MATCH(AA90&amp;"|"&amp;AB90,'02_SCHEDULE'!$M$5:$M$124,0)),0)</f>
        <v>7</v>
      </c>
      <c r="AF90" s="51">
        <f>IFERROR(INDEX('02_SCHEDULE'!$L$5:$L$124,MATCH(AA90&amp;"|"&amp;AB90,'02_SCHEDULE'!$M$5:$M$124,0)),0)</f>
        <v>8</v>
      </c>
      <c r="AG90" s="51">
        <f t="shared" si="9"/>
        <v>1</v>
      </c>
    </row>
    <row r="91" spans="2:33" x14ac:dyDescent="0.3">
      <c r="B91">
        <f>68</f>
        <v>68</v>
      </c>
      <c r="C91" s="55">
        <f>'01_INPUTS'!$C$7+(68-1)*7</f>
        <v>46720</v>
      </c>
      <c r="D91" s="61">
        <f>IF(INDEX('01_INPUTS'!$E$17:$E$31,MATCH(D$23,'01_INPUTS'!$B$17:$B$31,0))=0,IF(SUMIFS($AD$3:$AD$870,$AC$3:$AC$870,D$23,$AE$3:$AE$870,"&lt;="&amp;$B91,$AF$3:$AF$870,"&gt;="&amp;$B91)=0,0,9.99),SUMIFS($AD$3:$AD$870,$AC$3:$AC$870,D$23,$AE$3:$AE$870,"&lt;="&amp;$B91,$AF$3:$AF$870,"&gt;="&amp;$B91)/INDEX('01_INPUTS'!$E$17:$E$31,MATCH(D$23,'01_INPUTS'!$B$17:$B$31,0)))</f>
        <v>0.5</v>
      </c>
      <c r="E91" s="61">
        <f>IF(INDEX('01_INPUTS'!$E$17:$E$31,MATCH(E$23,'01_INPUTS'!$B$17:$B$31,0))=0,IF(SUMIFS($AD$3:$AD$870,$AC$3:$AC$870,E$23,$AE$3:$AE$870,"&lt;="&amp;$B91,$AF$3:$AF$870,"&gt;="&amp;$B91)=0,0,9.99),SUMIFS($AD$3:$AD$870,$AC$3:$AC$870,E$23,$AE$3:$AE$870,"&lt;="&amp;$B91,$AF$3:$AF$870,"&gt;="&amp;$B91)/INDEX('01_INPUTS'!$E$17:$E$31,MATCH(E$23,'01_INPUTS'!$B$17:$B$31,0)))</f>
        <v>0</v>
      </c>
      <c r="F91" s="61">
        <f>IF(INDEX('01_INPUTS'!$E$17:$E$31,MATCH(F$23,'01_INPUTS'!$B$17:$B$31,0))=0,IF(SUMIFS($AD$3:$AD$870,$AC$3:$AC$870,F$23,$AE$3:$AE$870,"&lt;="&amp;$B91,$AF$3:$AF$870,"&gt;="&amp;$B91)=0,0,9.99),SUMIFS($AD$3:$AD$870,$AC$3:$AC$870,F$23,$AE$3:$AE$870,"&lt;="&amp;$B91,$AF$3:$AF$870,"&gt;="&amp;$B91)/INDEX('01_INPUTS'!$E$17:$E$31,MATCH(F$23,'01_INPUTS'!$B$17:$B$31,0)))</f>
        <v>0</v>
      </c>
      <c r="G91" s="61">
        <f>IF(INDEX('01_INPUTS'!$E$17:$E$31,MATCH(G$23,'01_INPUTS'!$B$17:$B$31,0))=0,IF(SUMIFS($AD$3:$AD$870,$AC$3:$AC$870,G$23,$AE$3:$AE$870,"&lt;="&amp;$B91,$AF$3:$AF$870,"&gt;="&amp;$B91)=0,0,9.99),SUMIFS($AD$3:$AD$870,$AC$3:$AC$870,G$23,$AE$3:$AE$870,"&lt;="&amp;$B91,$AF$3:$AF$870,"&gt;="&amp;$B91)/INDEX('01_INPUTS'!$E$17:$E$31,MATCH(G$23,'01_INPUTS'!$B$17:$B$31,0)))</f>
        <v>0</v>
      </c>
      <c r="H91" s="61">
        <f>IF(INDEX('01_INPUTS'!$E$17:$E$31,MATCH(H$23,'01_INPUTS'!$B$17:$B$31,0))=0,IF(SUMIFS($AD$3:$AD$870,$AC$3:$AC$870,H$23,$AE$3:$AE$870,"&lt;="&amp;$B91,$AF$3:$AF$870,"&gt;="&amp;$B91)=0,0,9.99),SUMIFS($AD$3:$AD$870,$AC$3:$AC$870,H$23,$AE$3:$AE$870,"&lt;="&amp;$B91,$AF$3:$AF$870,"&gt;="&amp;$B91)/INDEX('01_INPUTS'!$E$17:$E$31,MATCH(H$23,'01_INPUTS'!$B$17:$B$31,0)))</f>
        <v>0.5</v>
      </c>
      <c r="I91" s="61">
        <f>IF(INDEX('01_INPUTS'!$E$17:$E$31,MATCH(I$23,'01_INPUTS'!$B$17:$B$31,0))=0,IF(SUMIFS($AD$3:$AD$870,$AC$3:$AC$870,I$23,$AE$3:$AE$870,"&lt;="&amp;$B91,$AF$3:$AF$870,"&gt;="&amp;$B91)=0,0,9.99),SUMIFS($AD$3:$AD$870,$AC$3:$AC$870,I$23,$AE$3:$AE$870,"&lt;="&amp;$B91,$AF$3:$AF$870,"&gt;="&amp;$B91)/INDEX('01_INPUTS'!$E$17:$E$31,MATCH(I$23,'01_INPUTS'!$B$17:$B$31,0)))</f>
        <v>1</v>
      </c>
      <c r="J91" s="61">
        <f>IF(INDEX('01_INPUTS'!$E$17:$E$31,MATCH(J$23,'01_INPUTS'!$B$17:$B$31,0))=0,IF(SUMIFS($AD$3:$AD$870,$AC$3:$AC$870,J$23,$AE$3:$AE$870,"&lt;="&amp;$B91,$AF$3:$AF$870,"&gt;="&amp;$B91)=0,0,9.99),SUMIFS($AD$3:$AD$870,$AC$3:$AC$870,J$23,$AE$3:$AE$870,"&lt;="&amp;$B91,$AF$3:$AF$870,"&gt;="&amp;$B91)/INDEX('01_INPUTS'!$E$17:$E$31,MATCH(J$23,'01_INPUTS'!$B$17:$B$31,0)))</f>
        <v>0.5</v>
      </c>
      <c r="K91" s="61">
        <f>IF(INDEX('01_INPUTS'!$E$17:$E$31,MATCH(K$23,'01_INPUTS'!$B$17:$B$31,0))=0,IF(SUMIFS($AD$3:$AD$870,$AC$3:$AC$870,K$23,$AE$3:$AE$870,"&lt;="&amp;$B91,$AF$3:$AF$870,"&gt;="&amp;$B91)=0,0,9.99),SUMIFS($AD$3:$AD$870,$AC$3:$AC$870,K$23,$AE$3:$AE$870,"&lt;="&amp;$B91,$AF$3:$AF$870,"&gt;="&amp;$B91)/INDEX('01_INPUTS'!$E$17:$E$31,MATCH(K$23,'01_INPUTS'!$B$17:$B$31,0)))</f>
        <v>1.5</v>
      </c>
      <c r="L91" s="61">
        <f>IF(INDEX('01_INPUTS'!$E$17:$E$31,MATCH(L$23,'01_INPUTS'!$B$17:$B$31,0))=0,IF(SUMIFS($AD$3:$AD$870,$AC$3:$AC$870,L$23,$AE$3:$AE$870,"&lt;="&amp;$B91,$AF$3:$AF$870,"&gt;="&amp;$B91)=0,0,9.99),SUMIFS($AD$3:$AD$870,$AC$3:$AC$870,L$23,$AE$3:$AE$870,"&lt;="&amp;$B91,$AF$3:$AF$870,"&gt;="&amp;$B91)/INDEX('01_INPUTS'!$E$17:$E$31,MATCH(L$23,'01_INPUTS'!$B$17:$B$31,0)))</f>
        <v>0.5</v>
      </c>
      <c r="M91" s="61">
        <f>IF(INDEX('01_INPUTS'!$E$17:$E$31,MATCH(M$23,'01_INPUTS'!$B$17:$B$31,0))=0,IF(SUMIFS($AD$3:$AD$870,$AC$3:$AC$870,M$23,$AE$3:$AE$870,"&lt;="&amp;$B91,$AF$3:$AF$870,"&gt;="&amp;$B91)=0,0,9.99),SUMIFS($AD$3:$AD$870,$AC$3:$AC$870,M$23,$AE$3:$AE$870,"&lt;="&amp;$B91,$AF$3:$AF$870,"&gt;="&amp;$B91)/INDEX('01_INPUTS'!$E$17:$E$31,MATCH(M$23,'01_INPUTS'!$B$17:$B$31,0)))</f>
        <v>0.5</v>
      </c>
      <c r="N91" s="61">
        <f>IF(INDEX('01_INPUTS'!$E$17:$E$31,MATCH(N$23,'01_INPUTS'!$B$17:$B$31,0))=0,IF(SUMIFS($AD$3:$AD$870,$AC$3:$AC$870,N$23,$AE$3:$AE$870,"&lt;="&amp;$B91,$AF$3:$AF$870,"&gt;="&amp;$B91)=0,0,9.99),SUMIFS($AD$3:$AD$870,$AC$3:$AC$870,N$23,$AE$3:$AE$870,"&lt;="&amp;$B91,$AF$3:$AF$870,"&gt;="&amp;$B91)/INDEX('01_INPUTS'!$E$17:$E$31,MATCH(N$23,'01_INPUTS'!$B$17:$B$31,0)))</f>
        <v>0.5</v>
      </c>
      <c r="O91" s="61">
        <f>IF(INDEX('01_INPUTS'!$E$17:$E$31,MATCH(O$23,'01_INPUTS'!$B$17:$B$31,0))=0,IF(SUMIFS($AD$3:$AD$870,$AC$3:$AC$870,O$23,$AE$3:$AE$870,"&lt;="&amp;$B91,$AF$3:$AF$870,"&gt;="&amp;$B91)=0,0,9.99),SUMIFS($AD$3:$AD$870,$AC$3:$AC$870,O$23,$AE$3:$AE$870,"&lt;="&amp;$B91,$AF$3:$AF$870,"&gt;="&amp;$B91)/INDEX('01_INPUTS'!$E$17:$E$31,MATCH(O$23,'01_INPUTS'!$B$17:$B$31,0)))</f>
        <v>0.5</v>
      </c>
      <c r="P91" s="61">
        <f>IF(INDEX('01_INPUTS'!$E$17:$E$31,MATCH(P$23,'01_INPUTS'!$B$17:$B$31,0))=0,IF(SUMIFS($AD$3:$AD$870,$AC$3:$AC$870,P$23,$AE$3:$AE$870,"&lt;="&amp;$B91,$AF$3:$AF$870,"&gt;="&amp;$B91)=0,0,9.99),SUMIFS($AD$3:$AD$870,$AC$3:$AC$870,P$23,$AE$3:$AE$870,"&lt;="&amp;$B91,$AF$3:$AF$870,"&gt;="&amp;$B91)/INDEX('01_INPUTS'!$E$17:$E$31,MATCH(P$23,'01_INPUTS'!$B$17:$B$31,0)))</f>
        <v>1</v>
      </c>
      <c r="Q91" s="61">
        <f>IF(INDEX('01_INPUTS'!$E$17:$E$31,MATCH(Q$23,'01_INPUTS'!$B$17:$B$31,0))=0,IF(SUMIFS($AD$3:$AD$870,$AC$3:$AC$870,Q$23,$AE$3:$AE$870,"&lt;="&amp;$B91,$AF$3:$AF$870,"&gt;="&amp;$B91)=0,0,9.99),SUMIFS($AD$3:$AD$870,$AC$3:$AC$870,Q$23,$AE$3:$AE$870,"&lt;="&amp;$B91,$AF$3:$AF$870,"&gt;="&amp;$B91)/INDEX('01_INPUTS'!$E$17:$E$31,MATCH(Q$23,'01_INPUTS'!$B$17:$B$31,0)))</f>
        <v>0</v>
      </c>
      <c r="R91" s="61">
        <f>IF(INDEX('01_INPUTS'!$E$17:$E$31,MATCH(R$23,'01_INPUTS'!$B$17:$B$31,0))=0,IF(SUMIFS($AD$3:$AD$870,$AC$3:$AC$870,R$23,$AE$3:$AE$870,"&lt;="&amp;$B91,$AF$3:$AF$870,"&gt;="&amp;$B91)=0,0,9.99),SUMIFS($AD$3:$AD$870,$AC$3:$AC$870,R$23,$AE$3:$AE$870,"&lt;="&amp;$B91,$AF$3:$AF$870,"&gt;="&amp;$B91)/INDEX('01_INPUTS'!$E$17:$E$31,MATCH(R$23,'01_INPUTS'!$B$17:$B$31,0)))</f>
        <v>0</v>
      </c>
      <c r="S91">
        <f t="shared" si="10"/>
        <v>9</v>
      </c>
      <c r="T91">
        <f>SUM('01_INPUTS'!$E$17:$E$31)</f>
        <v>20</v>
      </c>
      <c r="U91" s="61">
        <f t="shared" si="11"/>
        <v>0.45</v>
      </c>
      <c r="V91">
        <f t="shared" si="12"/>
        <v>1</v>
      </c>
      <c r="W91" t="str">
        <f t="shared" si="13"/>
        <v>ROJO</v>
      </c>
      <c r="AA91" s="51" t="str">
        <f>'Sites Master'!$B$3</f>
        <v>Site 02</v>
      </c>
      <c r="AB91" s="51" t="str">
        <f>'Phase-Resource Allocation'!$B$90</f>
        <v>UAT</v>
      </c>
      <c r="AC91" s="51" t="str">
        <f>'Phase-Resource Allocation'!$C$90</f>
        <v>Azure Specialist</v>
      </c>
      <c r="AD91" s="60">
        <f>'Phase-Resource Allocation'!$D$90</f>
        <v>0.5</v>
      </c>
      <c r="AE91" s="51">
        <f>IFERROR(INDEX('02_SCHEDULE'!$K$5:$K$124,MATCH(AA91&amp;"|"&amp;AB91,'02_SCHEDULE'!$M$5:$M$124,0)),0)</f>
        <v>7</v>
      </c>
      <c r="AF91" s="51">
        <f>IFERROR(INDEX('02_SCHEDULE'!$L$5:$L$124,MATCH(AA91&amp;"|"&amp;AB91,'02_SCHEDULE'!$M$5:$M$124,0)),0)</f>
        <v>8</v>
      </c>
      <c r="AG91" s="51">
        <f t="shared" si="9"/>
        <v>1</v>
      </c>
    </row>
    <row r="92" spans="2:33" x14ac:dyDescent="0.3">
      <c r="B92">
        <f>69</f>
        <v>69</v>
      </c>
      <c r="C92" s="55">
        <f>'01_INPUTS'!$C$7+(69-1)*7</f>
        <v>46727</v>
      </c>
      <c r="D92" s="61">
        <f>IF(INDEX('01_INPUTS'!$E$17:$E$31,MATCH(D$23,'01_INPUTS'!$B$17:$B$31,0))=0,IF(SUMIFS($AD$3:$AD$870,$AC$3:$AC$870,D$23,$AE$3:$AE$870,"&lt;="&amp;$B92,$AF$3:$AF$870,"&gt;="&amp;$B92)=0,0,9.99),SUMIFS($AD$3:$AD$870,$AC$3:$AC$870,D$23,$AE$3:$AE$870,"&lt;="&amp;$B92,$AF$3:$AF$870,"&gt;="&amp;$B92)/INDEX('01_INPUTS'!$E$17:$E$31,MATCH(D$23,'01_INPUTS'!$B$17:$B$31,0)))</f>
        <v>0.5</v>
      </c>
      <c r="E92" s="61">
        <f>IF(INDEX('01_INPUTS'!$E$17:$E$31,MATCH(E$23,'01_INPUTS'!$B$17:$B$31,0))=0,IF(SUMIFS($AD$3:$AD$870,$AC$3:$AC$870,E$23,$AE$3:$AE$870,"&lt;="&amp;$B92,$AF$3:$AF$870,"&gt;="&amp;$B92)=0,0,9.99),SUMIFS($AD$3:$AD$870,$AC$3:$AC$870,E$23,$AE$3:$AE$870,"&lt;="&amp;$B92,$AF$3:$AF$870,"&gt;="&amp;$B92)/INDEX('01_INPUTS'!$E$17:$E$31,MATCH(E$23,'01_INPUTS'!$B$17:$B$31,0)))</f>
        <v>0</v>
      </c>
      <c r="F92" s="61">
        <f>IF(INDEX('01_INPUTS'!$E$17:$E$31,MATCH(F$23,'01_INPUTS'!$B$17:$B$31,0))=0,IF(SUMIFS($AD$3:$AD$870,$AC$3:$AC$870,F$23,$AE$3:$AE$870,"&lt;="&amp;$B92,$AF$3:$AF$870,"&gt;="&amp;$B92)=0,0,9.99),SUMIFS($AD$3:$AD$870,$AC$3:$AC$870,F$23,$AE$3:$AE$870,"&lt;="&amp;$B92,$AF$3:$AF$870,"&gt;="&amp;$B92)/INDEX('01_INPUTS'!$E$17:$E$31,MATCH(F$23,'01_INPUTS'!$B$17:$B$31,0)))</f>
        <v>0</v>
      </c>
      <c r="G92" s="61">
        <f>IF(INDEX('01_INPUTS'!$E$17:$E$31,MATCH(G$23,'01_INPUTS'!$B$17:$B$31,0))=0,IF(SUMIFS($AD$3:$AD$870,$AC$3:$AC$870,G$23,$AE$3:$AE$870,"&lt;="&amp;$B92,$AF$3:$AF$870,"&gt;="&amp;$B92)=0,0,9.99),SUMIFS($AD$3:$AD$870,$AC$3:$AC$870,G$23,$AE$3:$AE$870,"&lt;="&amp;$B92,$AF$3:$AF$870,"&gt;="&amp;$B92)/INDEX('01_INPUTS'!$E$17:$E$31,MATCH(G$23,'01_INPUTS'!$B$17:$B$31,0)))</f>
        <v>0</v>
      </c>
      <c r="H92" s="61">
        <f>IF(INDEX('01_INPUTS'!$E$17:$E$31,MATCH(H$23,'01_INPUTS'!$B$17:$B$31,0))=0,IF(SUMIFS($AD$3:$AD$870,$AC$3:$AC$870,H$23,$AE$3:$AE$870,"&lt;="&amp;$B92,$AF$3:$AF$870,"&gt;="&amp;$B92)=0,0,9.99),SUMIFS($AD$3:$AD$870,$AC$3:$AC$870,H$23,$AE$3:$AE$870,"&lt;="&amp;$B92,$AF$3:$AF$870,"&gt;="&amp;$B92)/INDEX('01_INPUTS'!$E$17:$E$31,MATCH(H$23,'01_INPUTS'!$B$17:$B$31,0)))</f>
        <v>0.5</v>
      </c>
      <c r="I92" s="61">
        <f>IF(INDEX('01_INPUTS'!$E$17:$E$31,MATCH(I$23,'01_INPUTS'!$B$17:$B$31,0))=0,IF(SUMIFS($AD$3:$AD$870,$AC$3:$AC$870,I$23,$AE$3:$AE$870,"&lt;="&amp;$B92,$AF$3:$AF$870,"&gt;="&amp;$B92)=0,0,9.99),SUMIFS($AD$3:$AD$870,$AC$3:$AC$870,I$23,$AE$3:$AE$870,"&lt;="&amp;$B92,$AF$3:$AF$870,"&gt;="&amp;$B92)/INDEX('01_INPUTS'!$E$17:$E$31,MATCH(I$23,'01_INPUTS'!$B$17:$B$31,0)))</f>
        <v>1</v>
      </c>
      <c r="J92" s="61">
        <f>IF(INDEX('01_INPUTS'!$E$17:$E$31,MATCH(J$23,'01_INPUTS'!$B$17:$B$31,0))=0,IF(SUMIFS($AD$3:$AD$870,$AC$3:$AC$870,J$23,$AE$3:$AE$870,"&lt;="&amp;$B92,$AF$3:$AF$870,"&gt;="&amp;$B92)=0,0,9.99),SUMIFS($AD$3:$AD$870,$AC$3:$AC$870,J$23,$AE$3:$AE$870,"&lt;="&amp;$B92,$AF$3:$AF$870,"&gt;="&amp;$B92)/INDEX('01_INPUTS'!$E$17:$E$31,MATCH(J$23,'01_INPUTS'!$B$17:$B$31,0)))</f>
        <v>0.5</v>
      </c>
      <c r="K92" s="61">
        <f>IF(INDEX('01_INPUTS'!$E$17:$E$31,MATCH(K$23,'01_INPUTS'!$B$17:$B$31,0))=0,IF(SUMIFS($AD$3:$AD$870,$AC$3:$AC$870,K$23,$AE$3:$AE$870,"&lt;="&amp;$B92,$AF$3:$AF$870,"&gt;="&amp;$B92)=0,0,9.99),SUMIFS($AD$3:$AD$870,$AC$3:$AC$870,K$23,$AE$3:$AE$870,"&lt;="&amp;$B92,$AF$3:$AF$870,"&gt;="&amp;$B92)/INDEX('01_INPUTS'!$E$17:$E$31,MATCH(K$23,'01_INPUTS'!$B$17:$B$31,0)))</f>
        <v>1.5</v>
      </c>
      <c r="L92" s="61">
        <f>IF(INDEX('01_INPUTS'!$E$17:$E$31,MATCH(L$23,'01_INPUTS'!$B$17:$B$31,0))=0,IF(SUMIFS($AD$3:$AD$870,$AC$3:$AC$870,L$23,$AE$3:$AE$870,"&lt;="&amp;$B92,$AF$3:$AF$870,"&gt;="&amp;$B92)=0,0,9.99),SUMIFS($AD$3:$AD$870,$AC$3:$AC$870,L$23,$AE$3:$AE$870,"&lt;="&amp;$B92,$AF$3:$AF$870,"&gt;="&amp;$B92)/INDEX('01_INPUTS'!$E$17:$E$31,MATCH(L$23,'01_INPUTS'!$B$17:$B$31,0)))</f>
        <v>0.5</v>
      </c>
      <c r="M92" s="61">
        <f>IF(INDEX('01_INPUTS'!$E$17:$E$31,MATCH(M$23,'01_INPUTS'!$B$17:$B$31,0))=0,IF(SUMIFS($AD$3:$AD$870,$AC$3:$AC$870,M$23,$AE$3:$AE$870,"&lt;="&amp;$B92,$AF$3:$AF$870,"&gt;="&amp;$B92)=0,0,9.99),SUMIFS($AD$3:$AD$870,$AC$3:$AC$870,M$23,$AE$3:$AE$870,"&lt;="&amp;$B92,$AF$3:$AF$870,"&gt;="&amp;$B92)/INDEX('01_INPUTS'!$E$17:$E$31,MATCH(M$23,'01_INPUTS'!$B$17:$B$31,0)))</f>
        <v>0.5</v>
      </c>
      <c r="N92" s="61">
        <f>IF(INDEX('01_INPUTS'!$E$17:$E$31,MATCH(N$23,'01_INPUTS'!$B$17:$B$31,0))=0,IF(SUMIFS($AD$3:$AD$870,$AC$3:$AC$870,N$23,$AE$3:$AE$870,"&lt;="&amp;$B92,$AF$3:$AF$870,"&gt;="&amp;$B92)=0,0,9.99),SUMIFS($AD$3:$AD$870,$AC$3:$AC$870,N$23,$AE$3:$AE$870,"&lt;="&amp;$B92,$AF$3:$AF$870,"&gt;="&amp;$B92)/INDEX('01_INPUTS'!$E$17:$E$31,MATCH(N$23,'01_INPUTS'!$B$17:$B$31,0)))</f>
        <v>0.5</v>
      </c>
      <c r="O92" s="61">
        <f>IF(INDEX('01_INPUTS'!$E$17:$E$31,MATCH(O$23,'01_INPUTS'!$B$17:$B$31,0))=0,IF(SUMIFS($AD$3:$AD$870,$AC$3:$AC$870,O$23,$AE$3:$AE$870,"&lt;="&amp;$B92,$AF$3:$AF$870,"&gt;="&amp;$B92)=0,0,9.99),SUMIFS($AD$3:$AD$870,$AC$3:$AC$870,O$23,$AE$3:$AE$870,"&lt;="&amp;$B92,$AF$3:$AF$870,"&gt;="&amp;$B92)/INDEX('01_INPUTS'!$E$17:$E$31,MATCH(O$23,'01_INPUTS'!$B$17:$B$31,0)))</f>
        <v>0.5</v>
      </c>
      <c r="P92" s="61">
        <f>IF(INDEX('01_INPUTS'!$E$17:$E$31,MATCH(P$23,'01_INPUTS'!$B$17:$B$31,0))=0,IF(SUMIFS($AD$3:$AD$870,$AC$3:$AC$870,P$23,$AE$3:$AE$870,"&lt;="&amp;$B92,$AF$3:$AF$870,"&gt;="&amp;$B92)=0,0,9.99),SUMIFS($AD$3:$AD$870,$AC$3:$AC$870,P$23,$AE$3:$AE$870,"&lt;="&amp;$B92,$AF$3:$AF$870,"&gt;="&amp;$B92)/INDEX('01_INPUTS'!$E$17:$E$31,MATCH(P$23,'01_INPUTS'!$B$17:$B$31,0)))</f>
        <v>1</v>
      </c>
      <c r="Q92" s="61">
        <f>IF(INDEX('01_INPUTS'!$E$17:$E$31,MATCH(Q$23,'01_INPUTS'!$B$17:$B$31,0))=0,IF(SUMIFS($AD$3:$AD$870,$AC$3:$AC$870,Q$23,$AE$3:$AE$870,"&lt;="&amp;$B92,$AF$3:$AF$870,"&gt;="&amp;$B92)=0,0,9.99),SUMIFS($AD$3:$AD$870,$AC$3:$AC$870,Q$23,$AE$3:$AE$870,"&lt;="&amp;$B92,$AF$3:$AF$870,"&gt;="&amp;$B92)/INDEX('01_INPUTS'!$E$17:$E$31,MATCH(Q$23,'01_INPUTS'!$B$17:$B$31,0)))</f>
        <v>0</v>
      </c>
      <c r="R92" s="61">
        <f>IF(INDEX('01_INPUTS'!$E$17:$E$31,MATCH(R$23,'01_INPUTS'!$B$17:$B$31,0))=0,IF(SUMIFS($AD$3:$AD$870,$AC$3:$AC$870,R$23,$AE$3:$AE$870,"&lt;="&amp;$B92,$AF$3:$AF$870,"&gt;="&amp;$B92)=0,0,9.99),SUMIFS($AD$3:$AD$870,$AC$3:$AC$870,R$23,$AE$3:$AE$870,"&lt;="&amp;$B92,$AF$3:$AF$870,"&gt;="&amp;$B92)/INDEX('01_INPUTS'!$E$17:$E$31,MATCH(R$23,'01_INPUTS'!$B$17:$B$31,0)))</f>
        <v>0</v>
      </c>
      <c r="S92">
        <f t="shared" si="10"/>
        <v>9</v>
      </c>
      <c r="T92">
        <f>SUM('01_INPUTS'!$E$17:$E$31)</f>
        <v>20</v>
      </c>
      <c r="U92" s="61">
        <f t="shared" si="11"/>
        <v>0.45</v>
      </c>
      <c r="V92">
        <f t="shared" si="12"/>
        <v>1</v>
      </c>
      <c r="W92" t="str">
        <f t="shared" si="13"/>
        <v>ROJO</v>
      </c>
      <c r="AA92" s="51" t="str">
        <f>'Sites Master'!$B$3</f>
        <v>Site 02</v>
      </c>
      <c r="AB92" s="51" t="str">
        <f>'Phase-Resource Allocation'!$B$91</f>
        <v>UAT</v>
      </c>
      <c r="AC92" s="51" t="str">
        <f>'Phase-Resource Allocation'!$C$91</f>
        <v>Testing Lead</v>
      </c>
      <c r="AD92" s="60">
        <f>'Phase-Resource Allocation'!$D$91</f>
        <v>0.5</v>
      </c>
      <c r="AE92" s="51">
        <f>IFERROR(INDEX('02_SCHEDULE'!$K$5:$K$124,MATCH(AA92&amp;"|"&amp;AB92,'02_SCHEDULE'!$M$5:$M$124,0)),0)</f>
        <v>7</v>
      </c>
      <c r="AF92" s="51">
        <f>IFERROR(INDEX('02_SCHEDULE'!$L$5:$L$124,MATCH(AA92&amp;"|"&amp;AB92,'02_SCHEDULE'!$M$5:$M$124,0)),0)</f>
        <v>8</v>
      </c>
      <c r="AG92" s="51">
        <f t="shared" si="9"/>
        <v>1</v>
      </c>
    </row>
    <row r="93" spans="2:33" x14ac:dyDescent="0.3">
      <c r="B93">
        <f>70</f>
        <v>70</v>
      </c>
      <c r="C93" s="55">
        <f>'01_INPUTS'!$C$7+(70-1)*7</f>
        <v>46734</v>
      </c>
      <c r="D93" s="61">
        <f>IF(INDEX('01_INPUTS'!$E$17:$E$31,MATCH(D$23,'01_INPUTS'!$B$17:$B$31,0))=0,IF(SUMIFS($AD$3:$AD$870,$AC$3:$AC$870,D$23,$AE$3:$AE$870,"&lt;="&amp;$B93,$AF$3:$AF$870,"&gt;="&amp;$B93)=0,0,9.99),SUMIFS($AD$3:$AD$870,$AC$3:$AC$870,D$23,$AE$3:$AE$870,"&lt;="&amp;$B93,$AF$3:$AF$870,"&gt;="&amp;$B93)/INDEX('01_INPUTS'!$E$17:$E$31,MATCH(D$23,'01_INPUTS'!$B$17:$B$31,0)))</f>
        <v>0</v>
      </c>
      <c r="E93" s="61">
        <f>IF(INDEX('01_INPUTS'!$E$17:$E$31,MATCH(E$23,'01_INPUTS'!$B$17:$B$31,0))=0,IF(SUMIFS($AD$3:$AD$870,$AC$3:$AC$870,E$23,$AE$3:$AE$870,"&lt;="&amp;$B93,$AF$3:$AF$870,"&gt;="&amp;$B93)=0,0,9.99),SUMIFS($AD$3:$AD$870,$AC$3:$AC$870,E$23,$AE$3:$AE$870,"&lt;="&amp;$B93,$AF$3:$AF$870,"&gt;="&amp;$B93)/INDEX('01_INPUTS'!$E$17:$E$31,MATCH(E$23,'01_INPUTS'!$B$17:$B$31,0)))</f>
        <v>0</v>
      </c>
      <c r="F93" s="61">
        <f>IF(INDEX('01_INPUTS'!$E$17:$E$31,MATCH(F$23,'01_INPUTS'!$B$17:$B$31,0))=0,IF(SUMIFS($AD$3:$AD$870,$AC$3:$AC$870,F$23,$AE$3:$AE$870,"&lt;="&amp;$B93,$AF$3:$AF$870,"&gt;="&amp;$B93)=0,0,9.99),SUMIFS($AD$3:$AD$870,$AC$3:$AC$870,F$23,$AE$3:$AE$870,"&lt;="&amp;$B93,$AF$3:$AF$870,"&gt;="&amp;$B93)/INDEX('01_INPUTS'!$E$17:$E$31,MATCH(F$23,'01_INPUTS'!$B$17:$B$31,0)))</f>
        <v>0</v>
      </c>
      <c r="G93" s="61">
        <f>IF(INDEX('01_INPUTS'!$E$17:$E$31,MATCH(G$23,'01_INPUTS'!$B$17:$B$31,0))=0,IF(SUMIFS($AD$3:$AD$870,$AC$3:$AC$870,G$23,$AE$3:$AE$870,"&lt;="&amp;$B93,$AF$3:$AF$870,"&gt;="&amp;$B93)=0,0,9.99),SUMIFS($AD$3:$AD$870,$AC$3:$AC$870,G$23,$AE$3:$AE$870,"&lt;="&amp;$B93,$AF$3:$AF$870,"&gt;="&amp;$B93)/INDEX('01_INPUTS'!$E$17:$E$31,MATCH(G$23,'01_INPUTS'!$B$17:$B$31,0)))</f>
        <v>0</v>
      </c>
      <c r="H93" s="61">
        <f>IF(INDEX('01_INPUTS'!$E$17:$E$31,MATCH(H$23,'01_INPUTS'!$B$17:$B$31,0))=0,IF(SUMIFS($AD$3:$AD$870,$AC$3:$AC$870,H$23,$AE$3:$AE$870,"&lt;="&amp;$B93,$AF$3:$AF$870,"&gt;="&amp;$B93)=0,0,9.99),SUMIFS($AD$3:$AD$870,$AC$3:$AC$870,H$23,$AE$3:$AE$870,"&lt;="&amp;$B93,$AF$3:$AF$870,"&gt;="&amp;$B93)/INDEX('01_INPUTS'!$E$17:$E$31,MATCH(H$23,'01_INPUTS'!$B$17:$B$31,0)))</f>
        <v>0.5</v>
      </c>
      <c r="I93" s="61">
        <f>IF(INDEX('01_INPUTS'!$E$17:$E$31,MATCH(I$23,'01_INPUTS'!$B$17:$B$31,0))=0,IF(SUMIFS($AD$3:$AD$870,$AC$3:$AC$870,I$23,$AE$3:$AE$870,"&lt;="&amp;$B93,$AF$3:$AF$870,"&gt;="&amp;$B93)=0,0,9.99),SUMIFS($AD$3:$AD$870,$AC$3:$AC$870,I$23,$AE$3:$AE$870,"&lt;="&amp;$B93,$AF$3:$AF$870,"&gt;="&amp;$B93)/INDEX('01_INPUTS'!$E$17:$E$31,MATCH(I$23,'01_INPUTS'!$B$17:$B$31,0)))</f>
        <v>1</v>
      </c>
      <c r="J93" s="61">
        <f>IF(INDEX('01_INPUTS'!$E$17:$E$31,MATCH(J$23,'01_INPUTS'!$B$17:$B$31,0))=0,IF(SUMIFS($AD$3:$AD$870,$AC$3:$AC$870,J$23,$AE$3:$AE$870,"&lt;="&amp;$B93,$AF$3:$AF$870,"&gt;="&amp;$B93)=0,0,9.99),SUMIFS($AD$3:$AD$870,$AC$3:$AC$870,J$23,$AE$3:$AE$870,"&lt;="&amp;$B93,$AF$3:$AF$870,"&gt;="&amp;$B93)/INDEX('01_INPUTS'!$E$17:$E$31,MATCH(J$23,'01_INPUTS'!$B$17:$B$31,0)))</f>
        <v>0</v>
      </c>
      <c r="K93" s="61">
        <f>IF(INDEX('01_INPUTS'!$E$17:$E$31,MATCH(K$23,'01_INPUTS'!$B$17:$B$31,0))=0,IF(SUMIFS($AD$3:$AD$870,$AC$3:$AC$870,K$23,$AE$3:$AE$870,"&lt;="&amp;$B93,$AF$3:$AF$870,"&gt;="&amp;$B93)=0,0,9.99),SUMIFS($AD$3:$AD$870,$AC$3:$AC$870,K$23,$AE$3:$AE$870,"&lt;="&amp;$B93,$AF$3:$AF$870,"&gt;="&amp;$B93)/INDEX('01_INPUTS'!$E$17:$E$31,MATCH(K$23,'01_INPUTS'!$B$17:$B$31,0)))</f>
        <v>1</v>
      </c>
      <c r="L93" s="61">
        <f>IF(INDEX('01_INPUTS'!$E$17:$E$31,MATCH(L$23,'01_INPUTS'!$B$17:$B$31,0))=0,IF(SUMIFS($AD$3:$AD$870,$AC$3:$AC$870,L$23,$AE$3:$AE$870,"&lt;="&amp;$B93,$AF$3:$AF$870,"&gt;="&amp;$B93)=0,0,9.99),SUMIFS($AD$3:$AD$870,$AC$3:$AC$870,L$23,$AE$3:$AE$870,"&lt;="&amp;$B93,$AF$3:$AF$870,"&gt;="&amp;$B93)/INDEX('01_INPUTS'!$E$17:$E$31,MATCH(L$23,'01_INPUTS'!$B$17:$B$31,0)))</f>
        <v>0</v>
      </c>
      <c r="M93" s="61">
        <f>IF(INDEX('01_INPUTS'!$E$17:$E$31,MATCH(M$23,'01_INPUTS'!$B$17:$B$31,0))=0,IF(SUMIFS($AD$3:$AD$870,$AC$3:$AC$870,M$23,$AE$3:$AE$870,"&lt;="&amp;$B93,$AF$3:$AF$870,"&gt;="&amp;$B93)=0,0,9.99),SUMIFS($AD$3:$AD$870,$AC$3:$AC$870,M$23,$AE$3:$AE$870,"&lt;="&amp;$B93,$AF$3:$AF$870,"&gt;="&amp;$B93)/INDEX('01_INPUTS'!$E$17:$E$31,MATCH(M$23,'01_INPUTS'!$B$17:$B$31,0)))</f>
        <v>0</v>
      </c>
      <c r="N93" s="61">
        <f>IF(INDEX('01_INPUTS'!$E$17:$E$31,MATCH(N$23,'01_INPUTS'!$B$17:$B$31,0))=0,IF(SUMIFS($AD$3:$AD$870,$AC$3:$AC$870,N$23,$AE$3:$AE$870,"&lt;="&amp;$B93,$AF$3:$AF$870,"&gt;="&amp;$B93)=0,0,9.99),SUMIFS($AD$3:$AD$870,$AC$3:$AC$870,N$23,$AE$3:$AE$870,"&lt;="&amp;$B93,$AF$3:$AF$870,"&gt;="&amp;$B93)/INDEX('01_INPUTS'!$E$17:$E$31,MATCH(N$23,'01_INPUTS'!$B$17:$B$31,0)))</f>
        <v>0</v>
      </c>
      <c r="O93" s="61">
        <f>IF(INDEX('01_INPUTS'!$E$17:$E$31,MATCH(O$23,'01_INPUTS'!$B$17:$B$31,0))=0,IF(SUMIFS($AD$3:$AD$870,$AC$3:$AC$870,O$23,$AE$3:$AE$870,"&lt;="&amp;$B93,$AF$3:$AF$870,"&gt;="&amp;$B93)=0,0,9.99),SUMIFS($AD$3:$AD$870,$AC$3:$AC$870,O$23,$AE$3:$AE$870,"&lt;="&amp;$B93,$AF$3:$AF$870,"&gt;="&amp;$B93)/INDEX('01_INPUTS'!$E$17:$E$31,MATCH(O$23,'01_INPUTS'!$B$17:$B$31,0)))</f>
        <v>0</v>
      </c>
      <c r="P93" s="61">
        <f>IF(INDEX('01_INPUTS'!$E$17:$E$31,MATCH(P$23,'01_INPUTS'!$B$17:$B$31,0))=0,IF(SUMIFS($AD$3:$AD$870,$AC$3:$AC$870,P$23,$AE$3:$AE$870,"&lt;="&amp;$B93,$AF$3:$AF$870,"&gt;="&amp;$B93)=0,0,9.99),SUMIFS($AD$3:$AD$870,$AC$3:$AC$870,P$23,$AE$3:$AE$870,"&lt;="&amp;$B93,$AF$3:$AF$870,"&gt;="&amp;$B93)/INDEX('01_INPUTS'!$E$17:$E$31,MATCH(P$23,'01_INPUTS'!$B$17:$B$31,0)))</f>
        <v>1</v>
      </c>
      <c r="Q93" s="61">
        <f>IF(INDEX('01_INPUTS'!$E$17:$E$31,MATCH(Q$23,'01_INPUTS'!$B$17:$B$31,0))=0,IF(SUMIFS($AD$3:$AD$870,$AC$3:$AC$870,Q$23,$AE$3:$AE$870,"&lt;="&amp;$B93,$AF$3:$AF$870,"&gt;="&amp;$B93)=0,0,9.99),SUMIFS($AD$3:$AD$870,$AC$3:$AC$870,Q$23,$AE$3:$AE$870,"&lt;="&amp;$B93,$AF$3:$AF$870,"&gt;="&amp;$B93)/INDEX('01_INPUTS'!$E$17:$E$31,MATCH(Q$23,'01_INPUTS'!$B$17:$B$31,0)))</f>
        <v>0</v>
      </c>
      <c r="R93" s="61">
        <f>IF(INDEX('01_INPUTS'!$E$17:$E$31,MATCH(R$23,'01_INPUTS'!$B$17:$B$31,0))=0,IF(SUMIFS($AD$3:$AD$870,$AC$3:$AC$870,R$23,$AE$3:$AE$870,"&lt;="&amp;$B93,$AF$3:$AF$870,"&gt;="&amp;$B93)=0,0,9.99),SUMIFS($AD$3:$AD$870,$AC$3:$AC$870,R$23,$AE$3:$AE$870,"&lt;="&amp;$B93,$AF$3:$AF$870,"&gt;="&amp;$B93)/INDEX('01_INPUTS'!$E$17:$E$31,MATCH(R$23,'01_INPUTS'!$B$17:$B$31,0)))</f>
        <v>0</v>
      </c>
      <c r="S93">
        <f t="shared" si="10"/>
        <v>5</v>
      </c>
      <c r="T93">
        <f>SUM('01_INPUTS'!$E$17:$E$31)</f>
        <v>20</v>
      </c>
      <c r="U93" s="61">
        <f t="shared" si="11"/>
        <v>0.25</v>
      </c>
      <c r="V93">
        <f t="shared" si="12"/>
        <v>0</v>
      </c>
      <c r="W93" t="str">
        <f t="shared" si="13"/>
        <v>AMARILLO</v>
      </c>
      <c r="AA93" s="51" t="str">
        <f>'Sites Master'!$B$3</f>
        <v>Site 02</v>
      </c>
      <c r="AB93" s="51" t="str">
        <f>'Phase-Resource Allocation'!$B$92</f>
        <v>UAT</v>
      </c>
      <c r="AC93" s="51" t="str">
        <f>'Phase-Resource Allocation'!$C$92</f>
        <v>Functional Lead</v>
      </c>
      <c r="AD93" s="60">
        <f>'Phase-Resource Allocation'!$D$92</f>
        <v>1</v>
      </c>
      <c r="AE93" s="51">
        <f>IFERROR(INDEX('02_SCHEDULE'!$K$5:$K$124,MATCH(AA93&amp;"|"&amp;AB93,'02_SCHEDULE'!$M$5:$M$124,0)),0)</f>
        <v>7</v>
      </c>
      <c r="AF93" s="51">
        <f>IFERROR(INDEX('02_SCHEDULE'!$L$5:$L$124,MATCH(AA93&amp;"|"&amp;AB93,'02_SCHEDULE'!$M$5:$M$124,0)),0)</f>
        <v>8</v>
      </c>
      <c r="AG93" s="51">
        <f t="shared" si="9"/>
        <v>2</v>
      </c>
    </row>
    <row r="94" spans="2:33" x14ac:dyDescent="0.3">
      <c r="B94">
        <f>71</f>
        <v>71</v>
      </c>
      <c r="C94" s="55">
        <f>'01_INPUTS'!$C$7+(71-1)*7</f>
        <v>46741</v>
      </c>
      <c r="D94" s="61">
        <f>IF(INDEX('01_INPUTS'!$E$17:$E$31,MATCH(D$23,'01_INPUTS'!$B$17:$B$31,0))=0,IF(SUMIFS($AD$3:$AD$870,$AC$3:$AC$870,D$23,$AE$3:$AE$870,"&lt;="&amp;$B94,$AF$3:$AF$870,"&gt;="&amp;$B94)=0,0,9.99),SUMIFS($AD$3:$AD$870,$AC$3:$AC$870,D$23,$AE$3:$AE$870,"&lt;="&amp;$B94,$AF$3:$AF$870,"&gt;="&amp;$B94)/INDEX('01_INPUTS'!$E$17:$E$31,MATCH(D$23,'01_INPUTS'!$B$17:$B$31,0)))</f>
        <v>1</v>
      </c>
      <c r="E94" s="61">
        <f>IF(INDEX('01_INPUTS'!$E$17:$E$31,MATCH(E$23,'01_INPUTS'!$B$17:$B$31,0))=0,IF(SUMIFS($AD$3:$AD$870,$AC$3:$AC$870,E$23,$AE$3:$AE$870,"&lt;="&amp;$B94,$AF$3:$AF$870,"&gt;="&amp;$B94)=0,0,9.99),SUMIFS($AD$3:$AD$870,$AC$3:$AC$870,E$23,$AE$3:$AE$870,"&lt;="&amp;$B94,$AF$3:$AF$870,"&gt;="&amp;$B94)/INDEX('01_INPUTS'!$E$17:$E$31,MATCH(E$23,'01_INPUTS'!$B$17:$B$31,0)))</f>
        <v>0</v>
      </c>
      <c r="F94" s="61">
        <f>IF(INDEX('01_INPUTS'!$E$17:$E$31,MATCH(F$23,'01_INPUTS'!$B$17:$B$31,0))=0,IF(SUMIFS($AD$3:$AD$870,$AC$3:$AC$870,F$23,$AE$3:$AE$870,"&lt;="&amp;$B94,$AF$3:$AF$870,"&gt;="&amp;$B94)=0,0,9.99),SUMIFS($AD$3:$AD$870,$AC$3:$AC$870,F$23,$AE$3:$AE$870,"&lt;="&amp;$B94,$AF$3:$AF$870,"&gt;="&amp;$B94)/INDEX('01_INPUTS'!$E$17:$E$31,MATCH(F$23,'01_INPUTS'!$B$17:$B$31,0)))</f>
        <v>0</v>
      </c>
      <c r="G94" s="61">
        <f>IF(INDEX('01_INPUTS'!$E$17:$E$31,MATCH(G$23,'01_INPUTS'!$B$17:$B$31,0))=0,IF(SUMIFS($AD$3:$AD$870,$AC$3:$AC$870,G$23,$AE$3:$AE$870,"&lt;="&amp;$B94,$AF$3:$AF$870,"&gt;="&amp;$B94)=0,0,9.99),SUMIFS($AD$3:$AD$870,$AC$3:$AC$870,G$23,$AE$3:$AE$870,"&lt;="&amp;$B94,$AF$3:$AF$870,"&gt;="&amp;$B94)/INDEX('01_INPUTS'!$E$17:$E$31,MATCH(G$23,'01_INPUTS'!$B$17:$B$31,0)))</f>
        <v>0</v>
      </c>
      <c r="H94" s="61">
        <f>IF(INDEX('01_INPUTS'!$E$17:$E$31,MATCH(H$23,'01_INPUTS'!$B$17:$B$31,0))=0,IF(SUMIFS($AD$3:$AD$870,$AC$3:$AC$870,H$23,$AE$3:$AE$870,"&lt;="&amp;$B94,$AF$3:$AF$870,"&gt;="&amp;$B94)=0,0,9.99),SUMIFS($AD$3:$AD$870,$AC$3:$AC$870,H$23,$AE$3:$AE$870,"&lt;="&amp;$B94,$AF$3:$AF$870,"&gt;="&amp;$B94)/INDEX('01_INPUTS'!$E$17:$E$31,MATCH(H$23,'01_INPUTS'!$B$17:$B$31,0)))</f>
        <v>0.5</v>
      </c>
      <c r="I94" s="61">
        <f>IF(INDEX('01_INPUTS'!$E$17:$E$31,MATCH(I$23,'01_INPUTS'!$B$17:$B$31,0))=0,IF(SUMIFS($AD$3:$AD$870,$AC$3:$AC$870,I$23,$AE$3:$AE$870,"&lt;="&amp;$B94,$AF$3:$AF$870,"&gt;="&amp;$B94)=0,0,9.99),SUMIFS($AD$3:$AD$870,$AC$3:$AC$870,I$23,$AE$3:$AE$870,"&lt;="&amp;$B94,$AF$3:$AF$870,"&gt;="&amp;$B94)/INDEX('01_INPUTS'!$E$17:$E$31,MATCH(I$23,'01_INPUTS'!$B$17:$B$31,0)))</f>
        <v>1</v>
      </c>
      <c r="J94" s="61">
        <f>IF(INDEX('01_INPUTS'!$E$17:$E$31,MATCH(J$23,'01_INPUTS'!$B$17:$B$31,0))=0,IF(SUMIFS($AD$3:$AD$870,$AC$3:$AC$870,J$23,$AE$3:$AE$870,"&lt;="&amp;$B94,$AF$3:$AF$870,"&gt;="&amp;$B94)=0,0,9.99),SUMIFS($AD$3:$AD$870,$AC$3:$AC$870,J$23,$AE$3:$AE$870,"&lt;="&amp;$B94,$AF$3:$AF$870,"&gt;="&amp;$B94)/INDEX('01_INPUTS'!$E$17:$E$31,MATCH(J$23,'01_INPUTS'!$B$17:$B$31,0)))</f>
        <v>0.5</v>
      </c>
      <c r="K94" s="61">
        <f>IF(INDEX('01_INPUTS'!$E$17:$E$31,MATCH(K$23,'01_INPUTS'!$B$17:$B$31,0))=0,IF(SUMIFS($AD$3:$AD$870,$AC$3:$AC$870,K$23,$AE$3:$AE$870,"&lt;="&amp;$B94,$AF$3:$AF$870,"&gt;="&amp;$B94)=0,0,9.99),SUMIFS($AD$3:$AD$870,$AC$3:$AC$870,K$23,$AE$3:$AE$870,"&lt;="&amp;$B94,$AF$3:$AF$870,"&gt;="&amp;$B94)/INDEX('01_INPUTS'!$E$17:$E$31,MATCH(K$23,'01_INPUTS'!$B$17:$B$31,0)))</f>
        <v>1</v>
      </c>
      <c r="L94" s="61">
        <f>IF(INDEX('01_INPUTS'!$E$17:$E$31,MATCH(L$23,'01_INPUTS'!$B$17:$B$31,0))=0,IF(SUMIFS($AD$3:$AD$870,$AC$3:$AC$870,L$23,$AE$3:$AE$870,"&lt;="&amp;$B94,$AF$3:$AF$870,"&gt;="&amp;$B94)=0,0,9.99),SUMIFS($AD$3:$AD$870,$AC$3:$AC$870,L$23,$AE$3:$AE$870,"&lt;="&amp;$B94,$AF$3:$AF$870,"&gt;="&amp;$B94)/INDEX('01_INPUTS'!$E$17:$E$31,MATCH(L$23,'01_INPUTS'!$B$17:$B$31,0)))</f>
        <v>0.5</v>
      </c>
      <c r="M94" s="61">
        <f>IF(INDEX('01_INPUTS'!$E$17:$E$31,MATCH(M$23,'01_INPUTS'!$B$17:$B$31,0))=0,IF(SUMIFS($AD$3:$AD$870,$AC$3:$AC$870,M$23,$AE$3:$AE$870,"&lt;="&amp;$B94,$AF$3:$AF$870,"&gt;="&amp;$B94)=0,0,9.99),SUMIFS($AD$3:$AD$870,$AC$3:$AC$870,M$23,$AE$3:$AE$870,"&lt;="&amp;$B94,$AF$3:$AF$870,"&gt;="&amp;$B94)/INDEX('01_INPUTS'!$E$17:$E$31,MATCH(M$23,'01_INPUTS'!$B$17:$B$31,0)))</f>
        <v>0.5</v>
      </c>
      <c r="N94" s="61">
        <f>IF(INDEX('01_INPUTS'!$E$17:$E$31,MATCH(N$23,'01_INPUTS'!$B$17:$B$31,0))=0,IF(SUMIFS($AD$3:$AD$870,$AC$3:$AC$870,N$23,$AE$3:$AE$870,"&lt;="&amp;$B94,$AF$3:$AF$870,"&gt;="&amp;$B94)=0,0,9.99),SUMIFS($AD$3:$AD$870,$AC$3:$AC$870,N$23,$AE$3:$AE$870,"&lt;="&amp;$B94,$AF$3:$AF$870,"&gt;="&amp;$B94)/INDEX('01_INPUTS'!$E$17:$E$31,MATCH(N$23,'01_INPUTS'!$B$17:$B$31,0)))</f>
        <v>0.5</v>
      </c>
      <c r="O94" s="61">
        <f>IF(INDEX('01_INPUTS'!$E$17:$E$31,MATCH(O$23,'01_INPUTS'!$B$17:$B$31,0))=0,IF(SUMIFS($AD$3:$AD$870,$AC$3:$AC$870,O$23,$AE$3:$AE$870,"&lt;="&amp;$B94,$AF$3:$AF$870,"&gt;="&amp;$B94)=0,0,9.99),SUMIFS($AD$3:$AD$870,$AC$3:$AC$870,O$23,$AE$3:$AE$870,"&lt;="&amp;$B94,$AF$3:$AF$870,"&gt;="&amp;$B94)/INDEX('01_INPUTS'!$E$17:$E$31,MATCH(O$23,'01_INPUTS'!$B$17:$B$31,0)))</f>
        <v>1</v>
      </c>
      <c r="P94" s="61">
        <f>IF(INDEX('01_INPUTS'!$E$17:$E$31,MATCH(P$23,'01_INPUTS'!$B$17:$B$31,0))=0,IF(SUMIFS($AD$3:$AD$870,$AC$3:$AC$870,P$23,$AE$3:$AE$870,"&lt;="&amp;$B94,$AF$3:$AF$870,"&gt;="&amp;$B94)=0,0,9.99),SUMIFS($AD$3:$AD$870,$AC$3:$AC$870,P$23,$AE$3:$AE$870,"&lt;="&amp;$B94,$AF$3:$AF$870,"&gt;="&amp;$B94)/INDEX('01_INPUTS'!$E$17:$E$31,MATCH(P$23,'01_INPUTS'!$B$17:$B$31,0)))</f>
        <v>2</v>
      </c>
      <c r="Q94" s="61">
        <f>IF(INDEX('01_INPUTS'!$E$17:$E$31,MATCH(Q$23,'01_INPUTS'!$B$17:$B$31,0))=0,IF(SUMIFS($AD$3:$AD$870,$AC$3:$AC$870,Q$23,$AE$3:$AE$870,"&lt;="&amp;$B94,$AF$3:$AF$870,"&gt;="&amp;$B94)=0,0,9.99),SUMIFS($AD$3:$AD$870,$AC$3:$AC$870,Q$23,$AE$3:$AE$870,"&lt;="&amp;$B94,$AF$3:$AF$870,"&gt;="&amp;$B94)/INDEX('01_INPUTS'!$E$17:$E$31,MATCH(Q$23,'01_INPUTS'!$B$17:$B$31,0)))</f>
        <v>0.5</v>
      </c>
      <c r="R94" s="61">
        <f>IF(INDEX('01_INPUTS'!$E$17:$E$31,MATCH(R$23,'01_INPUTS'!$B$17:$B$31,0))=0,IF(SUMIFS($AD$3:$AD$870,$AC$3:$AC$870,R$23,$AE$3:$AE$870,"&lt;="&amp;$B94,$AF$3:$AF$870,"&gt;="&amp;$B94)=0,0,9.99),SUMIFS($AD$3:$AD$870,$AC$3:$AC$870,R$23,$AE$3:$AE$870,"&lt;="&amp;$B94,$AF$3:$AF$870,"&gt;="&amp;$B94)/INDEX('01_INPUTS'!$E$17:$E$31,MATCH(R$23,'01_INPUTS'!$B$17:$B$31,0)))</f>
        <v>0</v>
      </c>
      <c r="S94">
        <f t="shared" si="10"/>
        <v>11.5</v>
      </c>
      <c r="T94">
        <f>SUM('01_INPUTS'!$E$17:$E$31)</f>
        <v>20</v>
      </c>
      <c r="U94" s="61">
        <f t="shared" si="11"/>
        <v>0.57499999999999996</v>
      </c>
      <c r="V94">
        <f t="shared" si="12"/>
        <v>1</v>
      </c>
      <c r="W94" t="str">
        <f t="shared" si="13"/>
        <v>ROJO</v>
      </c>
      <c r="AA94" s="51" t="str">
        <f>'Sites Master'!$B$3</f>
        <v>Site 02</v>
      </c>
      <c r="AB94" s="51" t="str">
        <f>'Phase-Resource Allocation'!$B$93</f>
        <v>UAT</v>
      </c>
      <c r="AC94" s="51" t="str">
        <f>'Phase-Resource Allocation'!$C$93</f>
        <v>Trainers</v>
      </c>
      <c r="AD94" s="60">
        <f>'Phase-Resource Allocation'!$D$93</f>
        <v>1</v>
      </c>
      <c r="AE94" s="51">
        <f>IFERROR(INDEX('02_SCHEDULE'!$K$5:$K$124,MATCH(AA94&amp;"|"&amp;AB94,'02_SCHEDULE'!$M$5:$M$124,0)),0)</f>
        <v>7</v>
      </c>
      <c r="AF94" s="51">
        <f>IFERROR(INDEX('02_SCHEDULE'!$L$5:$L$124,MATCH(AA94&amp;"|"&amp;AB94,'02_SCHEDULE'!$M$5:$M$124,0)),0)</f>
        <v>8</v>
      </c>
      <c r="AG94" s="51">
        <f t="shared" si="9"/>
        <v>2</v>
      </c>
    </row>
    <row r="95" spans="2:33" x14ac:dyDescent="0.3">
      <c r="B95">
        <f>72</f>
        <v>72</v>
      </c>
      <c r="C95" s="55">
        <f>'01_INPUTS'!$C$7+(72-1)*7</f>
        <v>46748</v>
      </c>
      <c r="D95" s="61">
        <f>IF(INDEX('01_INPUTS'!$E$17:$E$31,MATCH(D$23,'01_INPUTS'!$B$17:$B$31,0))=0,IF(SUMIFS($AD$3:$AD$870,$AC$3:$AC$870,D$23,$AE$3:$AE$870,"&lt;="&amp;$B95,$AF$3:$AF$870,"&gt;="&amp;$B95)=0,0,9.99),SUMIFS($AD$3:$AD$870,$AC$3:$AC$870,D$23,$AE$3:$AE$870,"&lt;="&amp;$B95,$AF$3:$AF$870,"&gt;="&amp;$B95)/INDEX('01_INPUTS'!$E$17:$E$31,MATCH(D$23,'01_INPUTS'!$B$17:$B$31,0)))</f>
        <v>1.5</v>
      </c>
      <c r="E95" s="61">
        <f>IF(INDEX('01_INPUTS'!$E$17:$E$31,MATCH(E$23,'01_INPUTS'!$B$17:$B$31,0))=0,IF(SUMIFS($AD$3:$AD$870,$AC$3:$AC$870,E$23,$AE$3:$AE$870,"&lt;="&amp;$B95,$AF$3:$AF$870,"&gt;="&amp;$B95)=0,0,9.99),SUMIFS($AD$3:$AD$870,$AC$3:$AC$870,E$23,$AE$3:$AE$870,"&lt;="&amp;$B95,$AF$3:$AF$870,"&gt;="&amp;$B95)/INDEX('01_INPUTS'!$E$17:$E$31,MATCH(E$23,'01_INPUTS'!$B$17:$B$31,0)))</f>
        <v>0</v>
      </c>
      <c r="F95" s="61">
        <f>IF(INDEX('01_INPUTS'!$E$17:$E$31,MATCH(F$23,'01_INPUTS'!$B$17:$B$31,0))=0,IF(SUMIFS($AD$3:$AD$870,$AC$3:$AC$870,F$23,$AE$3:$AE$870,"&lt;="&amp;$B95,$AF$3:$AF$870,"&gt;="&amp;$B95)=0,0,9.99),SUMIFS($AD$3:$AD$870,$AC$3:$AC$870,F$23,$AE$3:$AE$870,"&lt;="&amp;$B95,$AF$3:$AF$870,"&gt;="&amp;$B95)/INDEX('01_INPUTS'!$E$17:$E$31,MATCH(F$23,'01_INPUTS'!$B$17:$B$31,0)))</f>
        <v>0</v>
      </c>
      <c r="G95" s="61">
        <f>IF(INDEX('01_INPUTS'!$E$17:$E$31,MATCH(G$23,'01_INPUTS'!$B$17:$B$31,0))=0,IF(SUMIFS($AD$3:$AD$870,$AC$3:$AC$870,G$23,$AE$3:$AE$870,"&lt;="&amp;$B95,$AF$3:$AF$870,"&gt;="&amp;$B95)=0,0,9.99),SUMIFS($AD$3:$AD$870,$AC$3:$AC$870,G$23,$AE$3:$AE$870,"&lt;="&amp;$B95,$AF$3:$AF$870,"&gt;="&amp;$B95)/INDEX('01_INPUTS'!$E$17:$E$31,MATCH(G$23,'01_INPUTS'!$B$17:$B$31,0)))</f>
        <v>0</v>
      </c>
      <c r="H95" s="61">
        <f>IF(INDEX('01_INPUTS'!$E$17:$E$31,MATCH(H$23,'01_INPUTS'!$B$17:$B$31,0))=0,IF(SUMIFS($AD$3:$AD$870,$AC$3:$AC$870,H$23,$AE$3:$AE$870,"&lt;="&amp;$B95,$AF$3:$AF$870,"&gt;="&amp;$B95)=0,0,9.99),SUMIFS($AD$3:$AD$870,$AC$3:$AC$870,H$23,$AE$3:$AE$870,"&lt;="&amp;$B95,$AF$3:$AF$870,"&gt;="&amp;$B95)/INDEX('01_INPUTS'!$E$17:$E$31,MATCH(H$23,'01_INPUTS'!$B$17:$B$31,0)))</f>
        <v>0.5</v>
      </c>
      <c r="I95" s="61">
        <f>IF(INDEX('01_INPUTS'!$E$17:$E$31,MATCH(I$23,'01_INPUTS'!$B$17:$B$31,0))=0,IF(SUMIFS($AD$3:$AD$870,$AC$3:$AC$870,I$23,$AE$3:$AE$870,"&lt;="&amp;$B95,$AF$3:$AF$870,"&gt;="&amp;$B95)=0,0,9.99),SUMIFS($AD$3:$AD$870,$AC$3:$AC$870,I$23,$AE$3:$AE$870,"&lt;="&amp;$B95,$AF$3:$AF$870,"&gt;="&amp;$B95)/INDEX('01_INPUTS'!$E$17:$E$31,MATCH(I$23,'01_INPUTS'!$B$17:$B$31,0)))</f>
        <v>1</v>
      </c>
      <c r="J95" s="61">
        <f>IF(INDEX('01_INPUTS'!$E$17:$E$31,MATCH(J$23,'01_INPUTS'!$B$17:$B$31,0))=0,IF(SUMIFS($AD$3:$AD$870,$AC$3:$AC$870,J$23,$AE$3:$AE$870,"&lt;="&amp;$B95,$AF$3:$AF$870,"&gt;="&amp;$B95)=0,0,9.99),SUMIFS($AD$3:$AD$870,$AC$3:$AC$870,J$23,$AE$3:$AE$870,"&lt;="&amp;$B95,$AF$3:$AF$870,"&gt;="&amp;$B95)/INDEX('01_INPUTS'!$E$17:$E$31,MATCH(J$23,'01_INPUTS'!$B$17:$B$31,0)))</f>
        <v>1</v>
      </c>
      <c r="K95" s="61">
        <f>IF(INDEX('01_INPUTS'!$E$17:$E$31,MATCH(K$23,'01_INPUTS'!$B$17:$B$31,0))=0,IF(SUMIFS($AD$3:$AD$870,$AC$3:$AC$870,K$23,$AE$3:$AE$870,"&lt;="&amp;$B95,$AF$3:$AF$870,"&gt;="&amp;$B95)=0,0,9.99),SUMIFS($AD$3:$AD$870,$AC$3:$AC$870,K$23,$AE$3:$AE$870,"&lt;="&amp;$B95,$AF$3:$AF$870,"&gt;="&amp;$B95)/INDEX('01_INPUTS'!$E$17:$E$31,MATCH(K$23,'01_INPUTS'!$B$17:$B$31,0)))</f>
        <v>1</v>
      </c>
      <c r="L95" s="61">
        <f>IF(INDEX('01_INPUTS'!$E$17:$E$31,MATCH(L$23,'01_INPUTS'!$B$17:$B$31,0))=0,IF(SUMIFS($AD$3:$AD$870,$AC$3:$AC$870,L$23,$AE$3:$AE$870,"&lt;="&amp;$B95,$AF$3:$AF$870,"&gt;="&amp;$B95)=0,0,9.99),SUMIFS($AD$3:$AD$870,$AC$3:$AC$870,L$23,$AE$3:$AE$870,"&lt;="&amp;$B95,$AF$3:$AF$870,"&gt;="&amp;$B95)/INDEX('01_INPUTS'!$E$17:$E$31,MATCH(L$23,'01_INPUTS'!$B$17:$B$31,0)))</f>
        <v>0.5</v>
      </c>
      <c r="M95" s="61">
        <f>IF(INDEX('01_INPUTS'!$E$17:$E$31,MATCH(M$23,'01_INPUTS'!$B$17:$B$31,0))=0,IF(SUMIFS($AD$3:$AD$870,$AC$3:$AC$870,M$23,$AE$3:$AE$870,"&lt;="&amp;$B95,$AF$3:$AF$870,"&gt;="&amp;$B95)=0,0,9.99),SUMIFS($AD$3:$AD$870,$AC$3:$AC$870,M$23,$AE$3:$AE$870,"&lt;="&amp;$B95,$AF$3:$AF$870,"&gt;="&amp;$B95)/INDEX('01_INPUTS'!$E$17:$E$31,MATCH(M$23,'01_INPUTS'!$B$17:$B$31,0)))</f>
        <v>1.25</v>
      </c>
      <c r="N95" s="61">
        <f>IF(INDEX('01_INPUTS'!$E$17:$E$31,MATCH(N$23,'01_INPUTS'!$B$17:$B$31,0))=0,IF(SUMIFS($AD$3:$AD$870,$AC$3:$AC$870,N$23,$AE$3:$AE$870,"&lt;="&amp;$B95,$AF$3:$AF$870,"&gt;="&amp;$B95)=0,0,9.99),SUMIFS($AD$3:$AD$870,$AC$3:$AC$870,N$23,$AE$3:$AE$870,"&lt;="&amp;$B95,$AF$3:$AF$870,"&gt;="&amp;$B95)/INDEX('01_INPUTS'!$E$17:$E$31,MATCH(N$23,'01_INPUTS'!$B$17:$B$31,0)))</f>
        <v>1.25</v>
      </c>
      <c r="O95" s="61">
        <f>IF(INDEX('01_INPUTS'!$E$17:$E$31,MATCH(O$23,'01_INPUTS'!$B$17:$B$31,0))=0,IF(SUMIFS($AD$3:$AD$870,$AC$3:$AC$870,O$23,$AE$3:$AE$870,"&lt;="&amp;$B95,$AF$3:$AF$870,"&gt;="&amp;$B95)=0,0,9.99),SUMIFS($AD$3:$AD$870,$AC$3:$AC$870,O$23,$AE$3:$AE$870,"&lt;="&amp;$B95,$AF$3:$AF$870,"&gt;="&amp;$B95)/INDEX('01_INPUTS'!$E$17:$E$31,MATCH(O$23,'01_INPUTS'!$B$17:$B$31,0)))</f>
        <v>1</v>
      </c>
      <c r="P95" s="61">
        <f>IF(INDEX('01_INPUTS'!$E$17:$E$31,MATCH(P$23,'01_INPUTS'!$B$17:$B$31,0))=0,IF(SUMIFS($AD$3:$AD$870,$AC$3:$AC$870,P$23,$AE$3:$AE$870,"&lt;="&amp;$B95,$AF$3:$AF$870,"&gt;="&amp;$B95)=0,0,9.99),SUMIFS($AD$3:$AD$870,$AC$3:$AC$870,P$23,$AE$3:$AE$870,"&lt;="&amp;$B95,$AF$3:$AF$870,"&gt;="&amp;$B95)/INDEX('01_INPUTS'!$E$17:$E$31,MATCH(P$23,'01_INPUTS'!$B$17:$B$31,0)))</f>
        <v>2</v>
      </c>
      <c r="Q95" s="61">
        <f>IF(INDEX('01_INPUTS'!$E$17:$E$31,MATCH(Q$23,'01_INPUTS'!$B$17:$B$31,0))=0,IF(SUMIFS($AD$3:$AD$870,$AC$3:$AC$870,Q$23,$AE$3:$AE$870,"&lt;="&amp;$B95,$AF$3:$AF$870,"&gt;="&amp;$B95)=0,0,9.99),SUMIFS($AD$3:$AD$870,$AC$3:$AC$870,Q$23,$AE$3:$AE$870,"&lt;="&amp;$B95,$AF$3:$AF$870,"&gt;="&amp;$B95)/INDEX('01_INPUTS'!$E$17:$E$31,MATCH(Q$23,'01_INPUTS'!$B$17:$B$31,0)))</f>
        <v>1</v>
      </c>
      <c r="R95" s="61">
        <f>IF(INDEX('01_INPUTS'!$E$17:$E$31,MATCH(R$23,'01_INPUTS'!$B$17:$B$31,0))=0,IF(SUMIFS($AD$3:$AD$870,$AC$3:$AC$870,R$23,$AE$3:$AE$870,"&lt;="&amp;$B95,$AF$3:$AF$870,"&gt;="&amp;$B95)=0,0,9.99),SUMIFS($AD$3:$AD$870,$AC$3:$AC$870,R$23,$AE$3:$AE$870,"&lt;="&amp;$B95,$AF$3:$AF$870,"&gt;="&amp;$B95)/INDEX('01_INPUTS'!$E$17:$E$31,MATCH(R$23,'01_INPUTS'!$B$17:$B$31,0)))</f>
        <v>0</v>
      </c>
      <c r="S95">
        <f t="shared" si="10"/>
        <v>15.5</v>
      </c>
      <c r="T95">
        <f>SUM('01_INPUTS'!$E$17:$E$31)</f>
        <v>20</v>
      </c>
      <c r="U95" s="61">
        <f t="shared" si="11"/>
        <v>0.77500000000000002</v>
      </c>
      <c r="V95">
        <f t="shared" si="12"/>
        <v>4</v>
      </c>
      <c r="W95" t="str">
        <f t="shared" si="13"/>
        <v>ROJO</v>
      </c>
      <c r="AA95" s="51" t="str">
        <f>'Sites Master'!$B$3</f>
        <v>Site 02</v>
      </c>
      <c r="AB95" s="51" t="str">
        <f>'Phase-Resource Allocation'!$B$94</f>
        <v>Training</v>
      </c>
      <c r="AC95" s="51" t="str">
        <f>'Phase-Resource Allocation'!$C$94</f>
        <v>Change Management Lead</v>
      </c>
      <c r="AD95" s="60">
        <f>'Phase-Resource Allocation'!$D$94</f>
        <v>1</v>
      </c>
      <c r="AE95" s="51">
        <f>IFERROR(INDEX('02_SCHEDULE'!$K$5:$K$124,MATCH(AA95&amp;"|"&amp;AB95,'02_SCHEDULE'!$M$5:$M$124,0)),0)</f>
        <v>9</v>
      </c>
      <c r="AF95" s="51">
        <f>IFERROR(INDEX('02_SCHEDULE'!$L$5:$L$124,MATCH(AA95&amp;"|"&amp;AB95,'02_SCHEDULE'!$M$5:$M$124,0)),0)</f>
        <v>10</v>
      </c>
      <c r="AG95" s="51">
        <f t="shared" si="9"/>
        <v>2</v>
      </c>
    </row>
    <row r="96" spans="2:33" x14ac:dyDescent="0.3">
      <c r="B96">
        <f>73</f>
        <v>73</v>
      </c>
      <c r="C96" s="55">
        <f>'01_INPUTS'!$C$7+(73-1)*7</f>
        <v>46755</v>
      </c>
      <c r="D96" s="61">
        <f>IF(INDEX('01_INPUTS'!$E$17:$E$31,MATCH(D$23,'01_INPUTS'!$B$17:$B$31,0))=0,IF(SUMIFS($AD$3:$AD$870,$AC$3:$AC$870,D$23,$AE$3:$AE$870,"&lt;="&amp;$B96,$AF$3:$AF$870,"&gt;="&amp;$B96)=0,0,9.99),SUMIFS($AD$3:$AD$870,$AC$3:$AC$870,D$23,$AE$3:$AE$870,"&lt;="&amp;$B96,$AF$3:$AF$870,"&gt;="&amp;$B96)/INDEX('01_INPUTS'!$E$17:$E$31,MATCH(D$23,'01_INPUTS'!$B$17:$B$31,0)))</f>
        <v>2.5</v>
      </c>
      <c r="E96" s="61">
        <f>IF(INDEX('01_INPUTS'!$E$17:$E$31,MATCH(E$23,'01_INPUTS'!$B$17:$B$31,0))=0,IF(SUMIFS($AD$3:$AD$870,$AC$3:$AC$870,E$23,$AE$3:$AE$870,"&lt;="&amp;$B96,$AF$3:$AF$870,"&gt;="&amp;$B96)=0,0,9.99),SUMIFS($AD$3:$AD$870,$AC$3:$AC$870,E$23,$AE$3:$AE$870,"&lt;="&amp;$B96,$AF$3:$AF$870,"&gt;="&amp;$B96)/INDEX('01_INPUTS'!$E$17:$E$31,MATCH(E$23,'01_INPUTS'!$B$17:$B$31,0)))</f>
        <v>0</v>
      </c>
      <c r="F96" s="61">
        <f>IF(INDEX('01_INPUTS'!$E$17:$E$31,MATCH(F$23,'01_INPUTS'!$B$17:$B$31,0))=0,IF(SUMIFS($AD$3:$AD$870,$AC$3:$AC$870,F$23,$AE$3:$AE$870,"&lt;="&amp;$B96,$AF$3:$AF$870,"&gt;="&amp;$B96)=0,0,9.99),SUMIFS($AD$3:$AD$870,$AC$3:$AC$870,F$23,$AE$3:$AE$870,"&lt;="&amp;$B96,$AF$3:$AF$870,"&gt;="&amp;$B96)/INDEX('01_INPUTS'!$E$17:$E$31,MATCH(F$23,'01_INPUTS'!$B$17:$B$31,0)))</f>
        <v>0</v>
      </c>
      <c r="G96" s="61">
        <f>IF(INDEX('01_INPUTS'!$E$17:$E$31,MATCH(G$23,'01_INPUTS'!$B$17:$B$31,0))=0,IF(SUMIFS($AD$3:$AD$870,$AC$3:$AC$870,G$23,$AE$3:$AE$870,"&lt;="&amp;$B96,$AF$3:$AF$870,"&gt;="&amp;$B96)=0,0,9.99),SUMIFS($AD$3:$AD$870,$AC$3:$AC$870,G$23,$AE$3:$AE$870,"&lt;="&amp;$B96,$AF$3:$AF$870,"&gt;="&amp;$B96)/INDEX('01_INPUTS'!$E$17:$E$31,MATCH(G$23,'01_INPUTS'!$B$17:$B$31,0)))</f>
        <v>0</v>
      </c>
      <c r="H96" s="61">
        <f>IF(INDEX('01_INPUTS'!$E$17:$E$31,MATCH(H$23,'01_INPUTS'!$B$17:$B$31,0))=0,IF(SUMIFS($AD$3:$AD$870,$AC$3:$AC$870,H$23,$AE$3:$AE$870,"&lt;="&amp;$B96,$AF$3:$AF$870,"&gt;="&amp;$B96)=0,0,9.99),SUMIFS($AD$3:$AD$870,$AC$3:$AC$870,H$23,$AE$3:$AE$870,"&lt;="&amp;$B96,$AF$3:$AF$870,"&gt;="&amp;$B96)/INDEX('01_INPUTS'!$E$17:$E$31,MATCH(H$23,'01_INPUTS'!$B$17:$B$31,0)))</f>
        <v>1</v>
      </c>
      <c r="I96" s="61">
        <f>IF(INDEX('01_INPUTS'!$E$17:$E$31,MATCH(I$23,'01_INPUTS'!$B$17:$B$31,0))=0,IF(SUMIFS($AD$3:$AD$870,$AC$3:$AC$870,I$23,$AE$3:$AE$870,"&lt;="&amp;$B96,$AF$3:$AF$870,"&gt;="&amp;$B96)=0,0,9.99),SUMIFS($AD$3:$AD$870,$AC$3:$AC$870,I$23,$AE$3:$AE$870,"&lt;="&amp;$B96,$AF$3:$AF$870,"&gt;="&amp;$B96)/INDEX('01_INPUTS'!$E$17:$E$31,MATCH(I$23,'01_INPUTS'!$B$17:$B$31,0)))</f>
        <v>1</v>
      </c>
      <c r="J96" s="61">
        <f>IF(INDEX('01_INPUTS'!$E$17:$E$31,MATCH(J$23,'01_INPUTS'!$B$17:$B$31,0))=0,IF(SUMIFS($AD$3:$AD$870,$AC$3:$AC$870,J$23,$AE$3:$AE$870,"&lt;="&amp;$B96,$AF$3:$AF$870,"&gt;="&amp;$B96)=0,0,9.99),SUMIFS($AD$3:$AD$870,$AC$3:$AC$870,J$23,$AE$3:$AE$870,"&lt;="&amp;$B96,$AF$3:$AF$870,"&gt;="&amp;$B96)/INDEX('01_INPUTS'!$E$17:$E$31,MATCH(J$23,'01_INPUTS'!$B$17:$B$31,0)))</f>
        <v>1.5</v>
      </c>
      <c r="K96" s="61">
        <f>IF(INDEX('01_INPUTS'!$E$17:$E$31,MATCH(K$23,'01_INPUTS'!$B$17:$B$31,0))=0,IF(SUMIFS($AD$3:$AD$870,$AC$3:$AC$870,K$23,$AE$3:$AE$870,"&lt;="&amp;$B96,$AF$3:$AF$870,"&gt;="&amp;$B96)=0,0,9.99),SUMIFS($AD$3:$AD$870,$AC$3:$AC$870,K$23,$AE$3:$AE$870,"&lt;="&amp;$B96,$AF$3:$AF$870,"&gt;="&amp;$B96)/INDEX('01_INPUTS'!$E$17:$E$31,MATCH(K$23,'01_INPUTS'!$B$17:$B$31,0)))</f>
        <v>2</v>
      </c>
      <c r="L96" s="61">
        <f>IF(INDEX('01_INPUTS'!$E$17:$E$31,MATCH(L$23,'01_INPUTS'!$B$17:$B$31,0))=0,IF(SUMIFS($AD$3:$AD$870,$AC$3:$AC$870,L$23,$AE$3:$AE$870,"&lt;="&amp;$B96,$AF$3:$AF$870,"&gt;="&amp;$B96)=0,0,9.99),SUMIFS($AD$3:$AD$870,$AC$3:$AC$870,L$23,$AE$3:$AE$870,"&lt;="&amp;$B96,$AF$3:$AF$870,"&gt;="&amp;$B96)/INDEX('01_INPUTS'!$E$17:$E$31,MATCH(L$23,'01_INPUTS'!$B$17:$B$31,0)))</f>
        <v>2</v>
      </c>
      <c r="M96" s="61">
        <f>IF(INDEX('01_INPUTS'!$E$17:$E$31,MATCH(M$23,'01_INPUTS'!$B$17:$B$31,0))=0,IF(SUMIFS($AD$3:$AD$870,$AC$3:$AC$870,M$23,$AE$3:$AE$870,"&lt;="&amp;$B96,$AF$3:$AF$870,"&gt;="&amp;$B96)=0,0,9.99),SUMIFS($AD$3:$AD$870,$AC$3:$AC$870,M$23,$AE$3:$AE$870,"&lt;="&amp;$B96,$AF$3:$AF$870,"&gt;="&amp;$B96)/INDEX('01_INPUTS'!$E$17:$E$31,MATCH(M$23,'01_INPUTS'!$B$17:$B$31,0)))</f>
        <v>2</v>
      </c>
      <c r="N96" s="61">
        <f>IF(INDEX('01_INPUTS'!$E$17:$E$31,MATCH(N$23,'01_INPUTS'!$B$17:$B$31,0))=0,IF(SUMIFS($AD$3:$AD$870,$AC$3:$AC$870,N$23,$AE$3:$AE$870,"&lt;="&amp;$B96,$AF$3:$AF$870,"&gt;="&amp;$B96)=0,0,9.99),SUMIFS($AD$3:$AD$870,$AC$3:$AC$870,N$23,$AE$3:$AE$870,"&lt;="&amp;$B96,$AF$3:$AF$870,"&gt;="&amp;$B96)/INDEX('01_INPUTS'!$E$17:$E$31,MATCH(N$23,'01_INPUTS'!$B$17:$B$31,0)))</f>
        <v>2</v>
      </c>
      <c r="O96" s="61">
        <f>IF(INDEX('01_INPUTS'!$E$17:$E$31,MATCH(O$23,'01_INPUTS'!$B$17:$B$31,0))=0,IF(SUMIFS($AD$3:$AD$870,$AC$3:$AC$870,O$23,$AE$3:$AE$870,"&lt;="&amp;$B96,$AF$3:$AF$870,"&gt;="&amp;$B96)=0,0,9.99),SUMIFS($AD$3:$AD$870,$AC$3:$AC$870,O$23,$AE$3:$AE$870,"&lt;="&amp;$B96,$AF$3:$AF$870,"&gt;="&amp;$B96)/INDEX('01_INPUTS'!$E$17:$E$31,MATCH(O$23,'01_INPUTS'!$B$17:$B$31,0)))</f>
        <v>1.5</v>
      </c>
      <c r="P96" s="61">
        <f>IF(INDEX('01_INPUTS'!$E$17:$E$31,MATCH(P$23,'01_INPUTS'!$B$17:$B$31,0))=0,IF(SUMIFS($AD$3:$AD$870,$AC$3:$AC$870,P$23,$AE$3:$AE$870,"&lt;="&amp;$B96,$AF$3:$AF$870,"&gt;="&amp;$B96)=0,0,9.99),SUMIFS($AD$3:$AD$870,$AC$3:$AC$870,P$23,$AE$3:$AE$870,"&lt;="&amp;$B96,$AF$3:$AF$870,"&gt;="&amp;$B96)/INDEX('01_INPUTS'!$E$17:$E$31,MATCH(P$23,'01_INPUTS'!$B$17:$B$31,0)))</f>
        <v>3</v>
      </c>
      <c r="Q96" s="61">
        <f>IF(INDEX('01_INPUTS'!$E$17:$E$31,MATCH(Q$23,'01_INPUTS'!$B$17:$B$31,0))=0,IF(SUMIFS($AD$3:$AD$870,$AC$3:$AC$870,Q$23,$AE$3:$AE$870,"&lt;="&amp;$B96,$AF$3:$AF$870,"&gt;="&amp;$B96)=0,0,9.99),SUMIFS($AD$3:$AD$870,$AC$3:$AC$870,Q$23,$AE$3:$AE$870,"&lt;="&amp;$B96,$AF$3:$AF$870,"&gt;="&amp;$B96)/INDEX('01_INPUTS'!$E$17:$E$31,MATCH(Q$23,'01_INPUTS'!$B$17:$B$31,0)))</f>
        <v>1</v>
      </c>
      <c r="R96" s="61">
        <f>IF(INDEX('01_INPUTS'!$E$17:$E$31,MATCH(R$23,'01_INPUTS'!$B$17:$B$31,0))=0,IF(SUMIFS($AD$3:$AD$870,$AC$3:$AC$870,R$23,$AE$3:$AE$870,"&lt;="&amp;$B96,$AF$3:$AF$870,"&gt;="&amp;$B96)=0,0,9.99),SUMIFS($AD$3:$AD$870,$AC$3:$AC$870,R$23,$AE$3:$AE$870,"&lt;="&amp;$B96,$AF$3:$AF$870,"&gt;="&amp;$B96)/INDEX('01_INPUTS'!$E$17:$E$31,MATCH(R$23,'01_INPUTS'!$B$17:$B$31,0)))</f>
        <v>0</v>
      </c>
      <c r="S96">
        <f t="shared" si="10"/>
        <v>24</v>
      </c>
      <c r="T96">
        <f>SUM('01_INPUTS'!$E$17:$E$31)</f>
        <v>20</v>
      </c>
      <c r="U96" s="61">
        <f t="shared" si="11"/>
        <v>1.2</v>
      </c>
      <c r="V96">
        <f t="shared" si="12"/>
        <v>8</v>
      </c>
      <c r="W96" t="str">
        <f t="shared" si="13"/>
        <v>ROJO</v>
      </c>
      <c r="AA96" s="51" t="str">
        <f>'Sites Master'!$B$3</f>
        <v>Site 02</v>
      </c>
      <c r="AB96" s="51" t="str">
        <f>'Phase-Resource Allocation'!$B$95</f>
        <v>Training</v>
      </c>
      <c r="AC96" s="51" t="str">
        <f>'Phase-Resource Allocation'!$C$95</f>
        <v>Trainers</v>
      </c>
      <c r="AD96" s="60">
        <f>'Phase-Resource Allocation'!$D$95</f>
        <v>1</v>
      </c>
      <c r="AE96" s="51">
        <f>IFERROR(INDEX('02_SCHEDULE'!$K$5:$K$124,MATCH(AA96&amp;"|"&amp;AB96,'02_SCHEDULE'!$M$5:$M$124,0)),0)</f>
        <v>9</v>
      </c>
      <c r="AF96" s="51">
        <f>IFERROR(INDEX('02_SCHEDULE'!$L$5:$L$124,MATCH(AA96&amp;"|"&amp;AB96,'02_SCHEDULE'!$M$5:$M$124,0)),0)</f>
        <v>10</v>
      </c>
      <c r="AG96" s="51">
        <f t="shared" si="9"/>
        <v>2</v>
      </c>
    </row>
    <row r="97" spans="2:33" x14ac:dyDescent="0.3">
      <c r="B97">
        <f>74</f>
        <v>74</v>
      </c>
      <c r="C97" s="55">
        <f>'01_INPUTS'!$C$7+(74-1)*7</f>
        <v>46762</v>
      </c>
      <c r="D97" s="61">
        <f>IF(INDEX('01_INPUTS'!$E$17:$E$31,MATCH(D$23,'01_INPUTS'!$B$17:$B$31,0))=0,IF(SUMIFS($AD$3:$AD$870,$AC$3:$AC$870,D$23,$AE$3:$AE$870,"&lt;="&amp;$B97,$AF$3:$AF$870,"&gt;="&amp;$B97)=0,0,9.99),SUMIFS($AD$3:$AD$870,$AC$3:$AC$870,D$23,$AE$3:$AE$870,"&lt;="&amp;$B97,$AF$3:$AF$870,"&gt;="&amp;$B97)/INDEX('01_INPUTS'!$E$17:$E$31,MATCH(D$23,'01_INPUTS'!$B$17:$B$31,0)))</f>
        <v>2</v>
      </c>
      <c r="E97" s="61">
        <f>IF(INDEX('01_INPUTS'!$E$17:$E$31,MATCH(E$23,'01_INPUTS'!$B$17:$B$31,0))=0,IF(SUMIFS($AD$3:$AD$870,$AC$3:$AC$870,E$23,$AE$3:$AE$870,"&lt;="&amp;$B97,$AF$3:$AF$870,"&gt;="&amp;$B97)=0,0,9.99),SUMIFS($AD$3:$AD$870,$AC$3:$AC$870,E$23,$AE$3:$AE$870,"&lt;="&amp;$B97,$AF$3:$AF$870,"&gt;="&amp;$B97)/INDEX('01_INPUTS'!$E$17:$E$31,MATCH(E$23,'01_INPUTS'!$B$17:$B$31,0)))</f>
        <v>0</v>
      </c>
      <c r="F97" s="61">
        <f>IF(INDEX('01_INPUTS'!$E$17:$E$31,MATCH(F$23,'01_INPUTS'!$B$17:$B$31,0))=0,IF(SUMIFS($AD$3:$AD$870,$AC$3:$AC$870,F$23,$AE$3:$AE$870,"&lt;="&amp;$B97,$AF$3:$AF$870,"&gt;="&amp;$B97)=0,0,9.99),SUMIFS($AD$3:$AD$870,$AC$3:$AC$870,F$23,$AE$3:$AE$870,"&lt;="&amp;$B97,$AF$3:$AF$870,"&gt;="&amp;$B97)/INDEX('01_INPUTS'!$E$17:$E$31,MATCH(F$23,'01_INPUTS'!$B$17:$B$31,0)))</f>
        <v>0</v>
      </c>
      <c r="G97" s="61">
        <f>IF(INDEX('01_INPUTS'!$E$17:$E$31,MATCH(G$23,'01_INPUTS'!$B$17:$B$31,0))=0,IF(SUMIFS($AD$3:$AD$870,$AC$3:$AC$870,G$23,$AE$3:$AE$870,"&lt;="&amp;$B97,$AF$3:$AF$870,"&gt;="&amp;$B97)=0,0,9.99),SUMIFS($AD$3:$AD$870,$AC$3:$AC$870,G$23,$AE$3:$AE$870,"&lt;="&amp;$B97,$AF$3:$AF$870,"&gt;="&amp;$B97)/INDEX('01_INPUTS'!$E$17:$E$31,MATCH(G$23,'01_INPUTS'!$B$17:$B$31,0)))</f>
        <v>0</v>
      </c>
      <c r="H97" s="61">
        <f>IF(INDEX('01_INPUTS'!$E$17:$E$31,MATCH(H$23,'01_INPUTS'!$B$17:$B$31,0))=0,IF(SUMIFS($AD$3:$AD$870,$AC$3:$AC$870,H$23,$AE$3:$AE$870,"&lt;="&amp;$B97,$AF$3:$AF$870,"&gt;="&amp;$B97)=0,0,9.99),SUMIFS($AD$3:$AD$870,$AC$3:$AC$870,H$23,$AE$3:$AE$870,"&lt;="&amp;$B97,$AF$3:$AF$870,"&gt;="&amp;$B97)/INDEX('01_INPUTS'!$E$17:$E$31,MATCH(H$23,'01_INPUTS'!$B$17:$B$31,0)))</f>
        <v>1</v>
      </c>
      <c r="I97" s="61">
        <f>IF(INDEX('01_INPUTS'!$E$17:$E$31,MATCH(I$23,'01_INPUTS'!$B$17:$B$31,0))=0,IF(SUMIFS($AD$3:$AD$870,$AC$3:$AC$870,I$23,$AE$3:$AE$870,"&lt;="&amp;$B97,$AF$3:$AF$870,"&gt;="&amp;$B97)=0,0,9.99),SUMIFS($AD$3:$AD$870,$AC$3:$AC$870,I$23,$AE$3:$AE$870,"&lt;="&amp;$B97,$AF$3:$AF$870,"&gt;="&amp;$B97)/INDEX('01_INPUTS'!$E$17:$E$31,MATCH(I$23,'01_INPUTS'!$B$17:$B$31,0)))</f>
        <v>1</v>
      </c>
      <c r="J97" s="61">
        <f>IF(INDEX('01_INPUTS'!$E$17:$E$31,MATCH(J$23,'01_INPUTS'!$B$17:$B$31,0))=0,IF(SUMIFS($AD$3:$AD$870,$AC$3:$AC$870,J$23,$AE$3:$AE$870,"&lt;="&amp;$B97,$AF$3:$AF$870,"&gt;="&amp;$B97)=0,0,9.99),SUMIFS($AD$3:$AD$870,$AC$3:$AC$870,J$23,$AE$3:$AE$870,"&lt;="&amp;$B97,$AF$3:$AF$870,"&gt;="&amp;$B97)/INDEX('01_INPUTS'!$E$17:$E$31,MATCH(J$23,'01_INPUTS'!$B$17:$B$31,0)))</f>
        <v>2</v>
      </c>
      <c r="K97" s="61">
        <f>IF(INDEX('01_INPUTS'!$E$17:$E$31,MATCH(K$23,'01_INPUTS'!$B$17:$B$31,0))=0,IF(SUMIFS($AD$3:$AD$870,$AC$3:$AC$870,K$23,$AE$3:$AE$870,"&lt;="&amp;$B97,$AF$3:$AF$870,"&gt;="&amp;$B97)=0,0,9.99),SUMIFS($AD$3:$AD$870,$AC$3:$AC$870,K$23,$AE$3:$AE$870,"&lt;="&amp;$B97,$AF$3:$AF$870,"&gt;="&amp;$B97)/INDEX('01_INPUTS'!$E$17:$E$31,MATCH(K$23,'01_INPUTS'!$B$17:$B$31,0)))</f>
        <v>1.5</v>
      </c>
      <c r="L97" s="61">
        <f>IF(INDEX('01_INPUTS'!$E$17:$E$31,MATCH(L$23,'01_INPUTS'!$B$17:$B$31,0))=0,IF(SUMIFS($AD$3:$AD$870,$AC$3:$AC$870,L$23,$AE$3:$AE$870,"&lt;="&amp;$B97,$AF$3:$AF$870,"&gt;="&amp;$B97)=0,0,9.99),SUMIFS($AD$3:$AD$870,$AC$3:$AC$870,L$23,$AE$3:$AE$870,"&lt;="&amp;$B97,$AF$3:$AF$870,"&gt;="&amp;$B97)/INDEX('01_INPUTS'!$E$17:$E$31,MATCH(L$23,'01_INPUTS'!$B$17:$B$31,0)))</f>
        <v>1.5</v>
      </c>
      <c r="M97" s="61">
        <f>IF(INDEX('01_INPUTS'!$E$17:$E$31,MATCH(M$23,'01_INPUTS'!$B$17:$B$31,0))=0,IF(SUMIFS($AD$3:$AD$870,$AC$3:$AC$870,M$23,$AE$3:$AE$870,"&lt;="&amp;$B97,$AF$3:$AF$870,"&gt;="&amp;$B97)=0,0,9.99),SUMIFS($AD$3:$AD$870,$AC$3:$AC$870,M$23,$AE$3:$AE$870,"&lt;="&amp;$B97,$AF$3:$AF$870,"&gt;="&amp;$B97)/INDEX('01_INPUTS'!$E$17:$E$31,MATCH(M$23,'01_INPUTS'!$B$17:$B$31,0)))</f>
        <v>1.5</v>
      </c>
      <c r="N97" s="61">
        <f>IF(INDEX('01_INPUTS'!$E$17:$E$31,MATCH(N$23,'01_INPUTS'!$B$17:$B$31,0))=0,IF(SUMIFS($AD$3:$AD$870,$AC$3:$AC$870,N$23,$AE$3:$AE$870,"&lt;="&amp;$B97,$AF$3:$AF$870,"&gt;="&amp;$B97)=0,0,9.99),SUMIFS($AD$3:$AD$870,$AC$3:$AC$870,N$23,$AE$3:$AE$870,"&lt;="&amp;$B97,$AF$3:$AF$870,"&gt;="&amp;$B97)/INDEX('01_INPUTS'!$E$17:$E$31,MATCH(N$23,'01_INPUTS'!$B$17:$B$31,0)))</f>
        <v>1.5</v>
      </c>
      <c r="O97" s="61">
        <f>IF(INDEX('01_INPUTS'!$E$17:$E$31,MATCH(O$23,'01_INPUTS'!$B$17:$B$31,0))=0,IF(SUMIFS($AD$3:$AD$870,$AC$3:$AC$870,O$23,$AE$3:$AE$870,"&lt;="&amp;$B97,$AF$3:$AF$870,"&gt;="&amp;$B97)=0,0,9.99),SUMIFS($AD$3:$AD$870,$AC$3:$AC$870,O$23,$AE$3:$AE$870,"&lt;="&amp;$B97,$AF$3:$AF$870,"&gt;="&amp;$B97)/INDEX('01_INPUTS'!$E$17:$E$31,MATCH(O$23,'01_INPUTS'!$B$17:$B$31,0)))</f>
        <v>1.5</v>
      </c>
      <c r="P97" s="61">
        <f>IF(INDEX('01_INPUTS'!$E$17:$E$31,MATCH(P$23,'01_INPUTS'!$B$17:$B$31,0))=0,IF(SUMIFS($AD$3:$AD$870,$AC$3:$AC$870,P$23,$AE$3:$AE$870,"&lt;="&amp;$B97,$AF$3:$AF$870,"&gt;="&amp;$B97)=0,0,9.99),SUMIFS($AD$3:$AD$870,$AC$3:$AC$870,P$23,$AE$3:$AE$870,"&lt;="&amp;$B97,$AF$3:$AF$870,"&gt;="&amp;$B97)/INDEX('01_INPUTS'!$E$17:$E$31,MATCH(P$23,'01_INPUTS'!$B$17:$B$31,0)))</f>
        <v>5</v>
      </c>
      <c r="Q97" s="61">
        <f>IF(INDEX('01_INPUTS'!$E$17:$E$31,MATCH(Q$23,'01_INPUTS'!$B$17:$B$31,0))=0,IF(SUMIFS($AD$3:$AD$870,$AC$3:$AC$870,Q$23,$AE$3:$AE$870,"&lt;="&amp;$B97,$AF$3:$AF$870,"&gt;="&amp;$B97)=0,0,9.99),SUMIFS($AD$3:$AD$870,$AC$3:$AC$870,Q$23,$AE$3:$AE$870,"&lt;="&amp;$B97,$AF$3:$AF$870,"&gt;="&amp;$B97)/INDEX('01_INPUTS'!$E$17:$E$31,MATCH(Q$23,'01_INPUTS'!$B$17:$B$31,0)))</f>
        <v>0.75</v>
      </c>
      <c r="R97" s="61">
        <f>IF(INDEX('01_INPUTS'!$E$17:$E$31,MATCH(R$23,'01_INPUTS'!$B$17:$B$31,0))=0,IF(SUMIFS($AD$3:$AD$870,$AC$3:$AC$870,R$23,$AE$3:$AE$870,"&lt;="&amp;$B97,$AF$3:$AF$870,"&gt;="&amp;$B97)=0,0,9.99),SUMIFS($AD$3:$AD$870,$AC$3:$AC$870,R$23,$AE$3:$AE$870,"&lt;="&amp;$B97,$AF$3:$AF$870,"&gt;="&amp;$B97)/INDEX('01_INPUTS'!$E$17:$E$31,MATCH(R$23,'01_INPUTS'!$B$17:$B$31,0)))</f>
        <v>0</v>
      </c>
      <c r="S97">
        <f t="shared" si="10"/>
        <v>24</v>
      </c>
      <c r="T97">
        <f>SUM('01_INPUTS'!$E$17:$E$31)</f>
        <v>20</v>
      </c>
      <c r="U97" s="61">
        <f t="shared" si="11"/>
        <v>1.2</v>
      </c>
      <c r="V97">
        <f t="shared" si="12"/>
        <v>8</v>
      </c>
      <c r="W97" t="str">
        <f t="shared" si="13"/>
        <v>ROJO</v>
      </c>
      <c r="AA97" s="51" t="str">
        <f>'Sites Master'!$B$3</f>
        <v>Site 02</v>
      </c>
      <c r="AB97" s="51" t="str">
        <f>'Phase-Resource Allocation'!$B$96</f>
        <v>DIALT</v>
      </c>
      <c r="AC97" s="51" t="str">
        <f>'Phase-Resource Allocation'!$C$96</f>
        <v>Solution Architect</v>
      </c>
      <c r="AD97" s="60">
        <f>'Phase-Resource Allocation'!$D$96</f>
        <v>0.5</v>
      </c>
      <c r="AE97" s="51">
        <f>IFERROR(INDEX('02_SCHEDULE'!$K$5:$K$124,MATCH(AA97&amp;"|"&amp;AB97,'02_SCHEDULE'!$M$5:$M$124,0)),0)</f>
        <v>11</v>
      </c>
      <c r="AF97" s="51">
        <f>IFERROR(INDEX('02_SCHEDULE'!$L$5:$L$124,MATCH(AA97&amp;"|"&amp;AB97,'02_SCHEDULE'!$M$5:$M$124,0)),0)</f>
        <v>11</v>
      </c>
      <c r="AG97" s="51">
        <f t="shared" si="9"/>
        <v>0.5</v>
      </c>
    </row>
    <row r="98" spans="2:33" x14ac:dyDescent="0.3">
      <c r="B98">
        <f>75</f>
        <v>75</v>
      </c>
      <c r="C98" s="55">
        <f>'01_INPUTS'!$C$7+(75-1)*7</f>
        <v>46769</v>
      </c>
      <c r="D98" s="61">
        <f>IF(INDEX('01_INPUTS'!$E$17:$E$31,MATCH(D$23,'01_INPUTS'!$B$17:$B$31,0))=0,IF(SUMIFS($AD$3:$AD$870,$AC$3:$AC$870,D$23,$AE$3:$AE$870,"&lt;="&amp;$B98,$AF$3:$AF$870,"&gt;="&amp;$B98)=0,0,9.99),SUMIFS($AD$3:$AD$870,$AC$3:$AC$870,D$23,$AE$3:$AE$870,"&lt;="&amp;$B98,$AF$3:$AF$870,"&gt;="&amp;$B98)/INDEX('01_INPUTS'!$E$17:$E$31,MATCH(D$23,'01_INPUTS'!$B$17:$B$31,0)))</f>
        <v>1.5</v>
      </c>
      <c r="E98" s="61">
        <f>IF(INDEX('01_INPUTS'!$E$17:$E$31,MATCH(E$23,'01_INPUTS'!$B$17:$B$31,0))=0,IF(SUMIFS($AD$3:$AD$870,$AC$3:$AC$870,E$23,$AE$3:$AE$870,"&lt;="&amp;$B98,$AF$3:$AF$870,"&gt;="&amp;$B98)=0,0,9.99),SUMIFS($AD$3:$AD$870,$AC$3:$AC$870,E$23,$AE$3:$AE$870,"&lt;="&amp;$B98,$AF$3:$AF$870,"&gt;="&amp;$B98)/INDEX('01_INPUTS'!$E$17:$E$31,MATCH(E$23,'01_INPUTS'!$B$17:$B$31,0)))</f>
        <v>0</v>
      </c>
      <c r="F98" s="61">
        <f>IF(INDEX('01_INPUTS'!$E$17:$E$31,MATCH(F$23,'01_INPUTS'!$B$17:$B$31,0))=0,IF(SUMIFS($AD$3:$AD$870,$AC$3:$AC$870,F$23,$AE$3:$AE$870,"&lt;="&amp;$B98,$AF$3:$AF$870,"&gt;="&amp;$B98)=0,0,9.99),SUMIFS($AD$3:$AD$870,$AC$3:$AC$870,F$23,$AE$3:$AE$870,"&lt;="&amp;$B98,$AF$3:$AF$870,"&gt;="&amp;$B98)/INDEX('01_INPUTS'!$E$17:$E$31,MATCH(F$23,'01_INPUTS'!$B$17:$B$31,0)))</f>
        <v>0</v>
      </c>
      <c r="G98" s="61">
        <f>IF(INDEX('01_INPUTS'!$E$17:$E$31,MATCH(G$23,'01_INPUTS'!$B$17:$B$31,0))=0,IF(SUMIFS($AD$3:$AD$870,$AC$3:$AC$870,G$23,$AE$3:$AE$870,"&lt;="&amp;$B98,$AF$3:$AF$870,"&gt;="&amp;$B98)=0,0,9.99),SUMIFS($AD$3:$AD$870,$AC$3:$AC$870,G$23,$AE$3:$AE$870,"&lt;="&amp;$B98,$AF$3:$AF$870,"&gt;="&amp;$B98)/INDEX('01_INPUTS'!$E$17:$E$31,MATCH(G$23,'01_INPUTS'!$B$17:$B$31,0)))</f>
        <v>0</v>
      </c>
      <c r="H98" s="61">
        <f>IF(INDEX('01_INPUTS'!$E$17:$E$31,MATCH(H$23,'01_INPUTS'!$B$17:$B$31,0))=0,IF(SUMIFS($AD$3:$AD$870,$AC$3:$AC$870,H$23,$AE$3:$AE$870,"&lt;="&amp;$B98,$AF$3:$AF$870,"&gt;="&amp;$B98)=0,0,9.99),SUMIFS($AD$3:$AD$870,$AC$3:$AC$870,H$23,$AE$3:$AE$870,"&lt;="&amp;$B98,$AF$3:$AF$870,"&gt;="&amp;$B98)/INDEX('01_INPUTS'!$E$17:$E$31,MATCH(H$23,'01_INPUTS'!$B$17:$B$31,0)))</f>
        <v>1.5</v>
      </c>
      <c r="I98" s="61">
        <f>IF(INDEX('01_INPUTS'!$E$17:$E$31,MATCH(I$23,'01_INPUTS'!$B$17:$B$31,0))=0,IF(SUMIFS($AD$3:$AD$870,$AC$3:$AC$870,I$23,$AE$3:$AE$870,"&lt;="&amp;$B98,$AF$3:$AF$870,"&gt;="&amp;$B98)=0,0,9.99),SUMIFS($AD$3:$AD$870,$AC$3:$AC$870,I$23,$AE$3:$AE$870,"&lt;="&amp;$B98,$AF$3:$AF$870,"&gt;="&amp;$B98)/INDEX('01_INPUTS'!$E$17:$E$31,MATCH(I$23,'01_INPUTS'!$B$17:$B$31,0)))</f>
        <v>0.5</v>
      </c>
      <c r="J98" s="61">
        <f>IF(INDEX('01_INPUTS'!$E$17:$E$31,MATCH(J$23,'01_INPUTS'!$B$17:$B$31,0))=0,IF(SUMIFS($AD$3:$AD$870,$AC$3:$AC$870,J$23,$AE$3:$AE$870,"&lt;="&amp;$B98,$AF$3:$AF$870,"&gt;="&amp;$B98)=0,0,9.99),SUMIFS($AD$3:$AD$870,$AC$3:$AC$870,J$23,$AE$3:$AE$870,"&lt;="&amp;$B98,$AF$3:$AF$870,"&gt;="&amp;$B98)/INDEX('01_INPUTS'!$E$17:$E$31,MATCH(J$23,'01_INPUTS'!$B$17:$B$31,0)))</f>
        <v>2</v>
      </c>
      <c r="K98" s="61">
        <f>IF(INDEX('01_INPUTS'!$E$17:$E$31,MATCH(K$23,'01_INPUTS'!$B$17:$B$31,0))=0,IF(SUMIFS($AD$3:$AD$870,$AC$3:$AC$870,K$23,$AE$3:$AE$870,"&lt;="&amp;$B98,$AF$3:$AF$870,"&gt;="&amp;$B98)=0,0,9.99),SUMIFS($AD$3:$AD$870,$AC$3:$AC$870,K$23,$AE$3:$AE$870,"&lt;="&amp;$B98,$AF$3:$AF$870,"&gt;="&amp;$B98)/INDEX('01_INPUTS'!$E$17:$E$31,MATCH(K$23,'01_INPUTS'!$B$17:$B$31,0)))</f>
        <v>1.5</v>
      </c>
      <c r="L98" s="61">
        <f>IF(INDEX('01_INPUTS'!$E$17:$E$31,MATCH(L$23,'01_INPUTS'!$B$17:$B$31,0))=0,IF(SUMIFS($AD$3:$AD$870,$AC$3:$AC$870,L$23,$AE$3:$AE$870,"&lt;="&amp;$B98,$AF$3:$AF$870,"&gt;="&amp;$B98)=0,0,9.99),SUMIFS($AD$3:$AD$870,$AC$3:$AC$870,L$23,$AE$3:$AE$870,"&lt;="&amp;$B98,$AF$3:$AF$870,"&gt;="&amp;$B98)/INDEX('01_INPUTS'!$E$17:$E$31,MATCH(L$23,'01_INPUTS'!$B$17:$B$31,0)))</f>
        <v>1.5</v>
      </c>
      <c r="M98" s="61">
        <f>IF(INDEX('01_INPUTS'!$E$17:$E$31,MATCH(M$23,'01_INPUTS'!$B$17:$B$31,0))=0,IF(SUMIFS($AD$3:$AD$870,$AC$3:$AC$870,M$23,$AE$3:$AE$870,"&lt;="&amp;$B98,$AF$3:$AF$870,"&gt;="&amp;$B98)=0,0,9.99),SUMIFS($AD$3:$AD$870,$AC$3:$AC$870,M$23,$AE$3:$AE$870,"&lt;="&amp;$B98,$AF$3:$AF$870,"&gt;="&amp;$B98)/INDEX('01_INPUTS'!$E$17:$E$31,MATCH(M$23,'01_INPUTS'!$B$17:$B$31,0)))</f>
        <v>1.5</v>
      </c>
      <c r="N98" s="61">
        <f>IF(INDEX('01_INPUTS'!$E$17:$E$31,MATCH(N$23,'01_INPUTS'!$B$17:$B$31,0))=0,IF(SUMIFS($AD$3:$AD$870,$AC$3:$AC$870,N$23,$AE$3:$AE$870,"&lt;="&amp;$B98,$AF$3:$AF$870,"&gt;="&amp;$B98)=0,0,9.99),SUMIFS($AD$3:$AD$870,$AC$3:$AC$870,N$23,$AE$3:$AE$870,"&lt;="&amp;$B98,$AF$3:$AF$870,"&gt;="&amp;$B98)/INDEX('01_INPUTS'!$E$17:$E$31,MATCH(N$23,'01_INPUTS'!$B$17:$B$31,0)))</f>
        <v>1.5</v>
      </c>
      <c r="O98" s="61">
        <f>IF(INDEX('01_INPUTS'!$E$17:$E$31,MATCH(O$23,'01_INPUTS'!$B$17:$B$31,0))=0,IF(SUMIFS($AD$3:$AD$870,$AC$3:$AC$870,O$23,$AE$3:$AE$870,"&lt;="&amp;$B98,$AF$3:$AF$870,"&gt;="&amp;$B98)=0,0,9.99),SUMIFS($AD$3:$AD$870,$AC$3:$AC$870,O$23,$AE$3:$AE$870,"&lt;="&amp;$B98,$AF$3:$AF$870,"&gt;="&amp;$B98)/INDEX('01_INPUTS'!$E$17:$E$31,MATCH(O$23,'01_INPUTS'!$B$17:$B$31,0)))</f>
        <v>1</v>
      </c>
      <c r="P98" s="61">
        <f>IF(INDEX('01_INPUTS'!$E$17:$E$31,MATCH(P$23,'01_INPUTS'!$B$17:$B$31,0))=0,IF(SUMIFS($AD$3:$AD$870,$AC$3:$AC$870,P$23,$AE$3:$AE$870,"&lt;="&amp;$B98,$AF$3:$AF$870,"&gt;="&amp;$B98)=0,0,9.99),SUMIFS($AD$3:$AD$870,$AC$3:$AC$870,P$23,$AE$3:$AE$870,"&lt;="&amp;$B98,$AF$3:$AF$870,"&gt;="&amp;$B98)/INDEX('01_INPUTS'!$E$17:$E$31,MATCH(P$23,'01_INPUTS'!$B$17:$B$31,0)))</f>
        <v>5</v>
      </c>
      <c r="Q98" s="61">
        <f>IF(INDEX('01_INPUTS'!$E$17:$E$31,MATCH(Q$23,'01_INPUTS'!$B$17:$B$31,0))=0,IF(SUMIFS($AD$3:$AD$870,$AC$3:$AC$870,Q$23,$AE$3:$AE$870,"&lt;="&amp;$B98,$AF$3:$AF$870,"&gt;="&amp;$B98)=0,0,9.99),SUMIFS($AD$3:$AD$870,$AC$3:$AC$870,Q$23,$AE$3:$AE$870,"&lt;="&amp;$B98,$AF$3:$AF$870,"&gt;="&amp;$B98)/INDEX('01_INPUTS'!$E$17:$E$31,MATCH(Q$23,'01_INPUTS'!$B$17:$B$31,0)))</f>
        <v>0.25</v>
      </c>
      <c r="R98" s="61">
        <f>IF(INDEX('01_INPUTS'!$E$17:$E$31,MATCH(R$23,'01_INPUTS'!$B$17:$B$31,0))=0,IF(SUMIFS($AD$3:$AD$870,$AC$3:$AC$870,R$23,$AE$3:$AE$870,"&lt;="&amp;$B98,$AF$3:$AF$870,"&gt;="&amp;$B98)=0,0,9.99),SUMIFS($AD$3:$AD$870,$AC$3:$AC$870,R$23,$AE$3:$AE$870,"&lt;="&amp;$B98,$AF$3:$AF$870,"&gt;="&amp;$B98)/INDEX('01_INPUTS'!$E$17:$E$31,MATCH(R$23,'01_INPUTS'!$B$17:$B$31,0)))</f>
        <v>0</v>
      </c>
      <c r="S98">
        <f t="shared" si="10"/>
        <v>22</v>
      </c>
      <c r="T98">
        <f>SUM('01_INPUTS'!$E$17:$E$31)</f>
        <v>20</v>
      </c>
      <c r="U98" s="61">
        <f t="shared" si="11"/>
        <v>1.1000000000000001</v>
      </c>
      <c r="V98">
        <f t="shared" si="12"/>
        <v>8</v>
      </c>
      <c r="W98" t="str">
        <f t="shared" si="13"/>
        <v>ROJO</v>
      </c>
      <c r="AA98" s="51" t="str">
        <f>'Sites Master'!$B$3</f>
        <v>Site 02</v>
      </c>
      <c r="AB98" s="51" t="str">
        <f>'Phase-Resource Allocation'!$B$97</f>
        <v>DIALT</v>
      </c>
      <c r="AC98" s="51" t="str">
        <f>'Phase-Resource Allocation'!$C$97</f>
        <v>Change Management Lead</v>
      </c>
      <c r="AD98" s="60">
        <f>'Phase-Resource Allocation'!$D$97</f>
        <v>1</v>
      </c>
      <c r="AE98" s="51">
        <f>IFERROR(INDEX('02_SCHEDULE'!$K$5:$K$124,MATCH(AA98&amp;"|"&amp;AB98,'02_SCHEDULE'!$M$5:$M$124,0)),0)</f>
        <v>11</v>
      </c>
      <c r="AF98" s="51">
        <f>IFERROR(INDEX('02_SCHEDULE'!$L$5:$L$124,MATCH(AA98&amp;"|"&amp;AB98,'02_SCHEDULE'!$M$5:$M$124,0)),0)</f>
        <v>11</v>
      </c>
      <c r="AG98" s="51">
        <f t="shared" si="9"/>
        <v>1</v>
      </c>
    </row>
    <row r="99" spans="2:33" x14ac:dyDescent="0.3">
      <c r="B99">
        <f>76</f>
        <v>76</v>
      </c>
      <c r="C99" s="55">
        <f>'01_INPUTS'!$C$7+(76-1)*7</f>
        <v>46776</v>
      </c>
      <c r="D99" s="61">
        <f>IF(INDEX('01_INPUTS'!$E$17:$E$31,MATCH(D$23,'01_INPUTS'!$B$17:$B$31,0))=0,IF(SUMIFS($AD$3:$AD$870,$AC$3:$AC$870,D$23,$AE$3:$AE$870,"&lt;="&amp;$B99,$AF$3:$AF$870,"&gt;="&amp;$B99)=0,0,9.99),SUMIFS($AD$3:$AD$870,$AC$3:$AC$870,D$23,$AE$3:$AE$870,"&lt;="&amp;$B99,$AF$3:$AF$870,"&gt;="&amp;$B99)/INDEX('01_INPUTS'!$E$17:$E$31,MATCH(D$23,'01_INPUTS'!$B$17:$B$31,0)))</f>
        <v>1</v>
      </c>
      <c r="E99" s="61">
        <f>IF(INDEX('01_INPUTS'!$E$17:$E$31,MATCH(E$23,'01_INPUTS'!$B$17:$B$31,0))=0,IF(SUMIFS($AD$3:$AD$870,$AC$3:$AC$870,E$23,$AE$3:$AE$870,"&lt;="&amp;$B99,$AF$3:$AF$870,"&gt;="&amp;$B99)=0,0,9.99),SUMIFS($AD$3:$AD$870,$AC$3:$AC$870,E$23,$AE$3:$AE$870,"&lt;="&amp;$B99,$AF$3:$AF$870,"&gt;="&amp;$B99)/INDEX('01_INPUTS'!$E$17:$E$31,MATCH(E$23,'01_INPUTS'!$B$17:$B$31,0)))</f>
        <v>0</v>
      </c>
      <c r="F99" s="61">
        <f>IF(INDEX('01_INPUTS'!$E$17:$E$31,MATCH(F$23,'01_INPUTS'!$B$17:$B$31,0))=0,IF(SUMIFS($AD$3:$AD$870,$AC$3:$AC$870,F$23,$AE$3:$AE$870,"&lt;="&amp;$B99,$AF$3:$AF$870,"&gt;="&amp;$B99)=0,0,9.99),SUMIFS($AD$3:$AD$870,$AC$3:$AC$870,F$23,$AE$3:$AE$870,"&lt;="&amp;$B99,$AF$3:$AF$870,"&gt;="&amp;$B99)/INDEX('01_INPUTS'!$E$17:$E$31,MATCH(F$23,'01_INPUTS'!$B$17:$B$31,0)))</f>
        <v>0</v>
      </c>
      <c r="G99" s="61">
        <f>IF(INDEX('01_INPUTS'!$E$17:$E$31,MATCH(G$23,'01_INPUTS'!$B$17:$B$31,0))=0,IF(SUMIFS($AD$3:$AD$870,$AC$3:$AC$870,G$23,$AE$3:$AE$870,"&lt;="&amp;$B99,$AF$3:$AF$870,"&gt;="&amp;$B99)=0,0,9.99),SUMIFS($AD$3:$AD$870,$AC$3:$AC$870,G$23,$AE$3:$AE$870,"&lt;="&amp;$B99,$AF$3:$AF$870,"&gt;="&amp;$B99)/INDEX('01_INPUTS'!$E$17:$E$31,MATCH(G$23,'01_INPUTS'!$B$17:$B$31,0)))</f>
        <v>0</v>
      </c>
      <c r="H99" s="61">
        <f>IF(INDEX('01_INPUTS'!$E$17:$E$31,MATCH(H$23,'01_INPUTS'!$B$17:$B$31,0))=0,IF(SUMIFS($AD$3:$AD$870,$AC$3:$AC$870,H$23,$AE$3:$AE$870,"&lt;="&amp;$B99,$AF$3:$AF$870,"&gt;="&amp;$B99)=0,0,9.99),SUMIFS($AD$3:$AD$870,$AC$3:$AC$870,H$23,$AE$3:$AE$870,"&lt;="&amp;$B99,$AF$3:$AF$870,"&gt;="&amp;$B99)/INDEX('01_INPUTS'!$E$17:$E$31,MATCH(H$23,'01_INPUTS'!$B$17:$B$31,0)))</f>
        <v>1.5</v>
      </c>
      <c r="I99" s="61">
        <f>IF(INDEX('01_INPUTS'!$E$17:$E$31,MATCH(I$23,'01_INPUTS'!$B$17:$B$31,0))=0,IF(SUMIFS($AD$3:$AD$870,$AC$3:$AC$870,I$23,$AE$3:$AE$870,"&lt;="&amp;$B99,$AF$3:$AF$870,"&gt;="&amp;$B99)=0,0,9.99),SUMIFS($AD$3:$AD$870,$AC$3:$AC$870,I$23,$AE$3:$AE$870,"&lt;="&amp;$B99,$AF$3:$AF$870,"&gt;="&amp;$B99)/INDEX('01_INPUTS'!$E$17:$E$31,MATCH(I$23,'01_INPUTS'!$B$17:$B$31,0)))</f>
        <v>0.5</v>
      </c>
      <c r="J99" s="61">
        <f>IF(INDEX('01_INPUTS'!$E$17:$E$31,MATCH(J$23,'01_INPUTS'!$B$17:$B$31,0))=0,IF(SUMIFS($AD$3:$AD$870,$AC$3:$AC$870,J$23,$AE$3:$AE$870,"&lt;="&amp;$B99,$AF$3:$AF$870,"&gt;="&amp;$B99)=0,0,9.99),SUMIFS($AD$3:$AD$870,$AC$3:$AC$870,J$23,$AE$3:$AE$870,"&lt;="&amp;$B99,$AF$3:$AF$870,"&gt;="&amp;$B99)/INDEX('01_INPUTS'!$E$17:$E$31,MATCH(J$23,'01_INPUTS'!$B$17:$B$31,0)))</f>
        <v>1.5</v>
      </c>
      <c r="K99" s="61">
        <f>IF(INDEX('01_INPUTS'!$E$17:$E$31,MATCH(K$23,'01_INPUTS'!$B$17:$B$31,0))=0,IF(SUMIFS($AD$3:$AD$870,$AC$3:$AC$870,K$23,$AE$3:$AE$870,"&lt;="&amp;$B99,$AF$3:$AF$870,"&gt;="&amp;$B99)=0,0,9.99),SUMIFS($AD$3:$AD$870,$AC$3:$AC$870,K$23,$AE$3:$AE$870,"&lt;="&amp;$B99,$AF$3:$AF$870,"&gt;="&amp;$B99)/INDEX('01_INPUTS'!$E$17:$E$31,MATCH(K$23,'01_INPUTS'!$B$17:$B$31,0)))</f>
        <v>1</v>
      </c>
      <c r="L99" s="61">
        <f>IF(INDEX('01_INPUTS'!$E$17:$E$31,MATCH(L$23,'01_INPUTS'!$B$17:$B$31,0))=0,IF(SUMIFS($AD$3:$AD$870,$AC$3:$AC$870,L$23,$AE$3:$AE$870,"&lt;="&amp;$B99,$AF$3:$AF$870,"&gt;="&amp;$B99)=0,0,9.99),SUMIFS($AD$3:$AD$870,$AC$3:$AC$870,L$23,$AE$3:$AE$870,"&lt;="&amp;$B99,$AF$3:$AF$870,"&gt;="&amp;$B99)/INDEX('01_INPUTS'!$E$17:$E$31,MATCH(L$23,'01_INPUTS'!$B$17:$B$31,0)))</f>
        <v>1</v>
      </c>
      <c r="M99" s="61">
        <f>IF(INDEX('01_INPUTS'!$E$17:$E$31,MATCH(M$23,'01_INPUTS'!$B$17:$B$31,0))=0,IF(SUMIFS($AD$3:$AD$870,$AC$3:$AC$870,M$23,$AE$3:$AE$870,"&lt;="&amp;$B99,$AF$3:$AF$870,"&gt;="&amp;$B99)=0,0,9.99),SUMIFS($AD$3:$AD$870,$AC$3:$AC$870,M$23,$AE$3:$AE$870,"&lt;="&amp;$B99,$AF$3:$AF$870,"&gt;="&amp;$B99)/INDEX('01_INPUTS'!$E$17:$E$31,MATCH(M$23,'01_INPUTS'!$B$17:$B$31,0)))</f>
        <v>1</v>
      </c>
      <c r="N99" s="61">
        <f>IF(INDEX('01_INPUTS'!$E$17:$E$31,MATCH(N$23,'01_INPUTS'!$B$17:$B$31,0))=0,IF(SUMIFS($AD$3:$AD$870,$AC$3:$AC$870,N$23,$AE$3:$AE$870,"&lt;="&amp;$B99,$AF$3:$AF$870,"&gt;="&amp;$B99)=0,0,9.99),SUMIFS($AD$3:$AD$870,$AC$3:$AC$870,N$23,$AE$3:$AE$870,"&lt;="&amp;$B99,$AF$3:$AF$870,"&gt;="&amp;$B99)/INDEX('01_INPUTS'!$E$17:$E$31,MATCH(N$23,'01_INPUTS'!$B$17:$B$31,0)))</f>
        <v>1</v>
      </c>
      <c r="O99" s="61">
        <f>IF(INDEX('01_INPUTS'!$E$17:$E$31,MATCH(O$23,'01_INPUTS'!$B$17:$B$31,0))=0,IF(SUMIFS($AD$3:$AD$870,$AC$3:$AC$870,O$23,$AE$3:$AE$870,"&lt;="&amp;$B99,$AF$3:$AF$870,"&gt;="&amp;$B99)=0,0,9.99),SUMIFS($AD$3:$AD$870,$AC$3:$AC$870,O$23,$AE$3:$AE$870,"&lt;="&amp;$B99,$AF$3:$AF$870,"&gt;="&amp;$B99)/INDEX('01_INPUTS'!$E$17:$E$31,MATCH(O$23,'01_INPUTS'!$B$17:$B$31,0)))</f>
        <v>0.5</v>
      </c>
      <c r="P99" s="61">
        <f>IF(INDEX('01_INPUTS'!$E$17:$E$31,MATCH(P$23,'01_INPUTS'!$B$17:$B$31,0))=0,IF(SUMIFS($AD$3:$AD$870,$AC$3:$AC$870,P$23,$AE$3:$AE$870,"&lt;="&amp;$B99,$AF$3:$AF$870,"&gt;="&amp;$B99)=0,0,9.99),SUMIFS($AD$3:$AD$870,$AC$3:$AC$870,P$23,$AE$3:$AE$870,"&lt;="&amp;$B99,$AF$3:$AF$870,"&gt;="&amp;$B99)/INDEX('01_INPUTS'!$E$17:$E$31,MATCH(P$23,'01_INPUTS'!$B$17:$B$31,0)))</f>
        <v>5</v>
      </c>
      <c r="Q99" s="61">
        <f>IF(INDEX('01_INPUTS'!$E$17:$E$31,MATCH(Q$23,'01_INPUTS'!$B$17:$B$31,0))=0,IF(SUMIFS($AD$3:$AD$870,$AC$3:$AC$870,Q$23,$AE$3:$AE$870,"&lt;="&amp;$B99,$AF$3:$AF$870,"&gt;="&amp;$B99)=0,0,9.99),SUMIFS($AD$3:$AD$870,$AC$3:$AC$870,Q$23,$AE$3:$AE$870,"&lt;="&amp;$B99,$AF$3:$AF$870,"&gt;="&amp;$B99)/INDEX('01_INPUTS'!$E$17:$E$31,MATCH(Q$23,'01_INPUTS'!$B$17:$B$31,0)))</f>
        <v>0.25</v>
      </c>
      <c r="R99" s="61">
        <f>IF(INDEX('01_INPUTS'!$E$17:$E$31,MATCH(R$23,'01_INPUTS'!$B$17:$B$31,0))=0,IF(SUMIFS($AD$3:$AD$870,$AC$3:$AC$870,R$23,$AE$3:$AE$870,"&lt;="&amp;$B99,$AF$3:$AF$870,"&gt;="&amp;$B99)=0,0,9.99),SUMIFS($AD$3:$AD$870,$AC$3:$AC$870,R$23,$AE$3:$AE$870,"&lt;="&amp;$B99,$AF$3:$AF$870,"&gt;="&amp;$B99)/INDEX('01_INPUTS'!$E$17:$E$31,MATCH(R$23,'01_INPUTS'!$B$17:$B$31,0)))</f>
        <v>0</v>
      </c>
      <c r="S99">
        <f t="shared" si="10"/>
        <v>18</v>
      </c>
      <c r="T99">
        <f>SUM('01_INPUTS'!$E$17:$E$31)</f>
        <v>20</v>
      </c>
      <c r="U99" s="61">
        <f t="shared" si="11"/>
        <v>0.9</v>
      </c>
      <c r="V99">
        <f t="shared" si="12"/>
        <v>3</v>
      </c>
      <c r="W99" t="str">
        <f t="shared" si="13"/>
        <v>ROJO</v>
      </c>
      <c r="AA99" s="51" t="str">
        <f>'Sites Master'!$B$3</f>
        <v>Site 02</v>
      </c>
      <c r="AB99" s="51" t="str">
        <f>'Phase-Resource Allocation'!$B$98</f>
        <v>DIALT</v>
      </c>
      <c r="AC99" s="51" t="str">
        <f>'Phase-Resource Allocation'!$C$98</f>
        <v>Azure Lead</v>
      </c>
      <c r="AD99" s="60">
        <f>'Phase-Resource Allocation'!$D$98</f>
        <v>0.75</v>
      </c>
      <c r="AE99" s="51">
        <f>IFERROR(INDEX('02_SCHEDULE'!$K$5:$K$124,MATCH(AA99&amp;"|"&amp;AB99,'02_SCHEDULE'!$M$5:$M$124,0)),0)</f>
        <v>11</v>
      </c>
      <c r="AF99" s="51">
        <f>IFERROR(INDEX('02_SCHEDULE'!$L$5:$L$124,MATCH(AA99&amp;"|"&amp;AB99,'02_SCHEDULE'!$M$5:$M$124,0)),0)</f>
        <v>11</v>
      </c>
      <c r="AG99" s="51">
        <f t="shared" si="9"/>
        <v>0.75</v>
      </c>
    </row>
    <row r="100" spans="2:33" x14ac:dyDescent="0.3">
      <c r="B100">
        <f>77</f>
        <v>77</v>
      </c>
      <c r="C100" s="55">
        <f>'01_INPUTS'!$C$7+(77-1)*7</f>
        <v>46783</v>
      </c>
      <c r="D100" s="61">
        <f>IF(INDEX('01_INPUTS'!$E$17:$E$31,MATCH(D$23,'01_INPUTS'!$B$17:$B$31,0))=0,IF(SUMIFS($AD$3:$AD$870,$AC$3:$AC$870,D$23,$AE$3:$AE$870,"&lt;="&amp;$B100,$AF$3:$AF$870,"&gt;="&amp;$B100)=0,0,9.99),SUMIFS($AD$3:$AD$870,$AC$3:$AC$870,D$23,$AE$3:$AE$870,"&lt;="&amp;$B100,$AF$3:$AF$870,"&gt;="&amp;$B100)/INDEX('01_INPUTS'!$E$17:$E$31,MATCH(D$23,'01_INPUTS'!$B$17:$B$31,0)))</f>
        <v>1</v>
      </c>
      <c r="E100" s="61">
        <f>IF(INDEX('01_INPUTS'!$E$17:$E$31,MATCH(E$23,'01_INPUTS'!$B$17:$B$31,0))=0,IF(SUMIFS($AD$3:$AD$870,$AC$3:$AC$870,E$23,$AE$3:$AE$870,"&lt;="&amp;$B100,$AF$3:$AF$870,"&gt;="&amp;$B100)=0,0,9.99),SUMIFS($AD$3:$AD$870,$AC$3:$AC$870,E$23,$AE$3:$AE$870,"&lt;="&amp;$B100,$AF$3:$AF$870,"&gt;="&amp;$B100)/INDEX('01_INPUTS'!$E$17:$E$31,MATCH(E$23,'01_INPUTS'!$B$17:$B$31,0)))</f>
        <v>0</v>
      </c>
      <c r="F100" s="61">
        <f>IF(INDEX('01_INPUTS'!$E$17:$E$31,MATCH(F$23,'01_INPUTS'!$B$17:$B$31,0))=0,IF(SUMIFS($AD$3:$AD$870,$AC$3:$AC$870,F$23,$AE$3:$AE$870,"&lt;="&amp;$B100,$AF$3:$AF$870,"&gt;="&amp;$B100)=0,0,9.99),SUMIFS($AD$3:$AD$870,$AC$3:$AC$870,F$23,$AE$3:$AE$870,"&lt;="&amp;$B100,$AF$3:$AF$870,"&gt;="&amp;$B100)/INDEX('01_INPUTS'!$E$17:$E$31,MATCH(F$23,'01_INPUTS'!$B$17:$B$31,0)))</f>
        <v>0</v>
      </c>
      <c r="G100" s="61">
        <f>IF(INDEX('01_INPUTS'!$E$17:$E$31,MATCH(G$23,'01_INPUTS'!$B$17:$B$31,0))=0,IF(SUMIFS($AD$3:$AD$870,$AC$3:$AC$870,G$23,$AE$3:$AE$870,"&lt;="&amp;$B100,$AF$3:$AF$870,"&gt;="&amp;$B100)=0,0,9.99),SUMIFS($AD$3:$AD$870,$AC$3:$AC$870,G$23,$AE$3:$AE$870,"&lt;="&amp;$B100,$AF$3:$AF$870,"&gt;="&amp;$B100)/INDEX('01_INPUTS'!$E$17:$E$31,MATCH(G$23,'01_INPUTS'!$B$17:$B$31,0)))</f>
        <v>0</v>
      </c>
      <c r="H100" s="61">
        <f>IF(INDEX('01_INPUTS'!$E$17:$E$31,MATCH(H$23,'01_INPUTS'!$B$17:$B$31,0))=0,IF(SUMIFS($AD$3:$AD$870,$AC$3:$AC$870,H$23,$AE$3:$AE$870,"&lt;="&amp;$B100,$AF$3:$AF$870,"&gt;="&amp;$B100)=0,0,9.99),SUMIFS($AD$3:$AD$870,$AC$3:$AC$870,H$23,$AE$3:$AE$870,"&lt;="&amp;$B100,$AF$3:$AF$870,"&gt;="&amp;$B100)/INDEX('01_INPUTS'!$E$17:$E$31,MATCH(H$23,'01_INPUTS'!$B$17:$B$31,0)))</f>
        <v>1.5</v>
      </c>
      <c r="I100" s="61">
        <f>IF(INDEX('01_INPUTS'!$E$17:$E$31,MATCH(I$23,'01_INPUTS'!$B$17:$B$31,0))=0,IF(SUMIFS($AD$3:$AD$870,$AC$3:$AC$870,I$23,$AE$3:$AE$870,"&lt;="&amp;$B100,$AF$3:$AF$870,"&gt;="&amp;$B100)=0,0,9.99),SUMIFS($AD$3:$AD$870,$AC$3:$AC$870,I$23,$AE$3:$AE$870,"&lt;="&amp;$B100,$AF$3:$AF$870,"&gt;="&amp;$B100)/INDEX('01_INPUTS'!$E$17:$E$31,MATCH(I$23,'01_INPUTS'!$B$17:$B$31,0)))</f>
        <v>0.5</v>
      </c>
      <c r="J100" s="61">
        <f>IF(INDEX('01_INPUTS'!$E$17:$E$31,MATCH(J$23,'01_INPUTS'!$B$17:$B$31,0))=0,IF(SUMIFS($AD$3:$AD$870,$AC$3:$AC$870,J$23,$AE$3:$AE$870,"&lt;="&amp;$B100,$AF$3:$AF$870,"&gt;="&amp;$B100)=0,0,9.99),SUMIFS($AD$3:$AD$870,$AC$3:$AC$870,J$23,$AE$3:$AE$870,"&lt;="&amp;$B100,$AF$3:$AF$870,"&gt;="&amp;$B100)/INDEX('01_INPUTS'!$E$17:$E$31,MATCH(J$23,'01_INPUTS'!$B$17:$B$31,0)))</f>
        <v>1.5</v>
      </c>
      <c r="K100" s="61">
        <f>IF(INDEX('01_INPUTS'!$E$17:$E$31,MATCH(K$23,'01_INPUTS'!$B$17:$B$31,0))=0,IF(SUMIFS($AD$3:$AD$870,$AC$3:$AC$870,K$23,$AE$3:$AE$870,"&lt;="&amp;$B100,$AF$3:$AF$870,"&gt;="&amp;$B100)=0,0,9.99),SUMIFS($AD$3:$AD$870,$AC$3:$AC$870,K$23,$AE$3:$AE$870,"&lt;="&amp;$B100,$AF$3:$AF$870,"&gt;="&amp;$B100)/INDEX('01_INPUTS'!$E$17:$E$31,MATCH(K$23,'01_INPUTS'!$B$17:$B$31,0)))</f>
        <v>1</v>
      </c>
      <c r="L100" s="61">
        <f>IF(INDEX('01_INPUTS'!$E$17:$E$31,MATCH(L$23,'01_INPUTS'!$B$17:$B$31,0))=0,IF(SUMIFS($AD$3:$AD$870,$AC$3:$AC$870,L$23,$AE$3:$AE$870,"&lt;="&amp;$B100,$AF$3:$AF$870,"&gt;="&amp;$B100)=0,0,9.99),SUMIFS($AD$3:$AD$870,$AC$3:$AC$870,L$23,$AE$3:$AE$870,"&lt;="&amp;$B100,$AF$3:$AF$870,"&gt;="&amp;$B100)/INDEX('01_INPUTS'!$E$17:$E$31,MATCH(L$23,'01_INPUTS'!$B$17:$B$31,0)))</f>
        <v>1</v>
      </c>
      <c r="M100" s="61">
        <f>IF(INDEX('01_INPUTS'!$E$17:$E$31,MATCH(M$23,'01_INPUTS'!$B$17:$B$31,0))=0,IF(SUMIFS($AD$3:$AD$870,$AC$3:$AC$870,M$23,$AE$3:$AE$870,"&lt;="&amp;$B100,$AF$3:$AF$870,"&gt;="&amp;$B100)=0,0,9.99),SUMIFS($AD$3:$AD$870,$AC$3:$AC$870,M$23,$AE$3:$AE$870,"&lt;="&amp;$B100,$AF$3:$AF$870,"&gt;="&amp;$B100)/INDEX('01_INPUTS'!$E$17:$E$31,MATCH(M$23,'01_INPUTS'!$B$17:$B$31,0)))</f>
        <v>1</v>
      </c>
      <c r="N100" s="61">
        <f>IF(INDEX('01_INPUTS'!$E$17:$E$31,MATCH(N$23,'01_INPUTS'!$B$17:$B$31,0))=0,IF(SUMIFS($AD$3:$AD$870,$AC$3:$AC$870,N$23,$AE$3:$AE$870,"&lt;="&amp;$B100,$AF$3:$AF$870,"&gt;="&amp;$B100)=0,0,9.99),SUMIFS($AD$3:$AD$870,$AC$3:$AC$870,N$23,$AE$3:$AE$870,"&lt;="&amp;$B100,$AF$3:$AF$870,"&gt;="&amp;$B100)/INDEX('01_INPUTS'!$E$17:$E$31,MATCH(N$23,'01_INPUTS'!$B$17:$B$31,0)))</f>
        <v>1</v>
      </c>
      <c r="O100" s="61">
        <f>IF(INDEX('01_INPUTS'!$E$17:$E$31,MATCH(O$23,'01_INPUTS'!$B$17:$B$31,0))=0,IF(SUMIFS($AD$3:$AD$870,$AC$3:$AC$870,O$23,$AE$3:$AE$870,"&lt;="&amp;$B100,$AF$3:$AF$870,"&gt;="&amp;$B100)=0,0,9.99),SUMIFS($AD$3:$AD$870,$AC$3:$AC$870,O$23,$AE$3:$AE$870,"&lt;="&amp;$B100,$AF$3:$AF$870,"&gt;="&amp;$B100)/INDEX('01_INPUTS'!$E$17:$E$31,MATCH(O$23,'01_INPUTS'!$B$17:$B$31,0)))</f>
        <v>0.5</v>
      </c>
      <c r="P100" s="61">
        <f>IF(INDEX('01_INPUTS'!$E$17:$E$31,MATCH(P$23,'01_INPUTS'!$B$17:$B$31,0))=0,IF(SUMIFS($AD$3:$AD$870,$AC$3:$AC$870,P$23,$AE$3:$AE$870,"&lt;="&amp;$B100,$AF$3:$AF$870,"&gt;="&amp;$B100)=0,0,9.99),SUMIFS($AD$3:$AD$870,$AC$3:$AC$870,P$23,$AE$3:$AE$870,"&lt;="&amp;$B100,$AF$3:$AF$870,"&gt;="&amp;$B100)/INDEX('01_INPUTS'!$E$17:$E$31,MATCH(P$23,'01_INPUTS'!$B$17:$B$31,0)))</f>
        <v>5</v>
      </c>
      <c r="Q100" s="61">
        <f>IF(INDEX('01_INPUTS'!$E$17:$E$31,MATCH(Q$23,'01_INPUTS'!$B$17:$B$31,0))=0,IF(SUMIFS($AD$3:$AD$870,$AC$3:$AC$870,Q$23,$AE$3:$AE$870,"&lt;="&amp;$B100,$AF$3:$AF$870,"&gt;="&amp;$B100)=0,0,9.99),SUMIFS($AD$3:$AD$870,$AC$3:$AC$870,Q$23,$AE$3:$AE$870,"&lt;="&amp;$B100,$AF$3:$AF$870,"&gt;="&amp;$B100)/INDEX('01_INPUTS'!$E$17:$E$31,MATCH(Q$23,'01_INPUTS'!$B$17:$B$31,0)))</f>
        <v>0.25</v>
      </c>
      <c r="R100" s="61">
        <f>IF(INDEX('01_INPUTS'!$E$17:$E$31,MATCH(R$23,'01_INPUTS'!$B$17:$B$31,0))=0,IF(SUMIFS($AD$3:$AD$870,$AC$3:$AC$870,R$23,$AE$3:$AE$870,"&lt;="&amp;$B100,$AF$3:$AF$870,"&gt;="&amp;$B100)=0,0,9.99),SUMIFS($AD$3:$AD$870,$AC$3:$AC$870,R$23,$AE$3:$AE$870,"&lt;="&amp;$B100,$AF$3:$AF$870,"&gt;="&amp;$B100)/INDEX('01_INPUTS'!$E$17:$E$31,MATCH(R$23,'01_INPUTS'!$B$17:$B$31,0)))</f>
        <v>0</v>
      </c>
      <c r="S100">
        <f t="shared" si="10"/>
        <v>18</v>
      </c>
      <c r="T100">
        <f>SUM('01_INPUTS'!$E$17:$E$31)</f>
        <v>20</v>
      </c>
      <c r="U100" s="61">
        <f t="shared" si="11"/>
        <v>0.9</v>
      </c>
      <c r="V100">
        <f t="shared" si="12"/>
        <v>3</v>
      </c>
      <c r="W100" t="str">
        <f t="shared" si="13"/>
        <v>ROJO</v>
      </c>
      <c r="AA100" s="51" t="str">
        <f>'Sites Master'!$B$3</f>
        <v>Site 02</v>
      </c>
      <c r="AB100" s="51" t="str">
        <f>'Phase-Resource Allocation'!$B$99</f>
        <v>DIALT</v>
      </c>
      <c r="AC100" s="51" t="str">
        <f>'Phase-Resource Allocation'!$C$99</f>
        <v>Azure Specialist</v>
      </c>
      <c r="AD100" s="60">
        <f>'Phase-Resource Allocation'!$D$99</f>
        <v>0.75</v>
      </c>
      <c r="AE100" s="51">
        <f>IFERROR(INDEX('02_SCHEDULE'!$K$5:$K$124,MATCH(AA100&amp;"|"&amp;AB100,'02_SCHEDULE'!$M$5:$M$124,0)),0)</f>
        <v>11</v>
      </c>
      <c r="AF100" s="51">
        <f>IFERROR(INDEX('02_SCHEDULE'!$L$5:$L$124,MATCH(AA100&amp;"|"&amp;AB100,'02_SCHEDULE'!$M$5:$M$124,0)),0)</f>
        <v>11</v>
      </c>
      <c r="AG100" s="51">
        <f t="shared" si="9"/>
        <v>0.75</v>
      </c>
    </row>
    <row r="101" spans="2:33" x14ac:dyDescent="0.3">
      <c r="B101">
        <f>78</f>
        <v>78</v>
      </c>
      <c r="C101" s="55">
        <f>'01_INPUTS'!$C$7+(78-1)*7</f>
        <v>46790</v>
      </c>
      <c r="D101" s="61">
        <f>IF(INDEX('01_INPUTS'!$E$17:$E$31,MATCH(D$23,'01_INPUTS'!$B$17:$B$31,0))=0,IF(SUMIFS($AD$3:$AD$870,$AC$3:$AC$870,D$23,$AE$3:$AE$870,"&lt;="&amp;$B101,$AF$3:$AF$870,"&gt;="&amp;$B101)=0,0,9.99),SUMIFS($AD$3:$AD$870,$AC$3:$AC$870,D$23,$AE$3:$AE$870,"&lt;="&amp;$B101,$AF$3:$AF$870,"&gt;="&amp;$B101)/INDEX('01_INPUTS'!$E$17:$E$31,MATCH(D$23,'01_INPUTS'!$B$17:$B$31,0)))</f>
        <v>0</v>
      </c>
      <c r="E101" s="61">
        <f>IF(INDEX('01_INPUTS'!$E$17:$E$31,MATCH(E$23,'01_INPUTS'!$B$17:$B$31,0))=0,IF(SUMIFS($AD$3:$AD$870,$AC$3:$AC$870,E$23,$AE$3:$AE$870,"&lt;="&amp;$B101,$AF$3:$AF$870,"&gt;="&amp;$B101)=0,0,9.99),SUMIFS($AD$3:$AD$870,$AC$3:$AC$870,E$23,$AE$3:$AE$870,"&lt;="&amp;$B101,$AF$3:$AF$870,"&gt;="&amp;$B101)/INDEX('01_INPUTS'!$E$17:$E$31,MATCH(E$23,'01_INPUTS'!$B$17:$B$31,0)))</f>
        <v>0</v>
      </c>
      <c r="F101" s="61">
        <f>IF(INDEX('01_INPUTS'!$E$17:$E$31,MATCH(F$23,'01_INPUTS'!$B$17:$B$31,0))=0,IF(SUMIFS($AD$3:$AD$870,$AC$3:$AC$870,F$23,$AE$3:$AE$870,"&lt;="&amp;$B101,$AF$3:$AF$870,"&gt;="&amp;$B101)=0,0,9.99),SUMIFS($AD$3:$AD$870,$AC$3:$AC$870,F$23,$AE$3:$AE$870,"&lt;="&amp;$B101,$AF$3:$AF$870,"&gt;="&amp;$B101)/INDEX('01_INPUTS'!$E$17:$E$31,MATCH(F$23,'01_INPUTS'!$B$17:$B$31,0)))</f>
        <v>0</v>
      </c>
      <c r="G101" s="61">
        <f>IF(INDEX('01_INPUTS'!$E$17:$E$31,MATCH(G$23,'01_INPUTS'!$B$17:$B$31,0))=0,IF(SUMIFS($AD$3:$AD$870,$AC$3:$AC$870,G$23,$AE$3:$AE$870,"&lt;="&amp;$B101,$AF$3:$AF$870,"&gt;="&amp;$B101)=0,0,9.99),SUMIFS($AD$3:$AD$870,$AC$3:$AC$870,G$23,$AE$3:$AE$870,"&lt;="&amp;$B101,$AF$3:$AF$870,"&gt;="&amp;$B101)/INDEX('01_INPUTS'!$E$17:$E$31,MATCH(G$23,'01_INPUTS'!$B$17:$B$31,0)))</f>
        <v>0</v>
      </c>
      <c r="H101" s="61">
        <f>IF(INDEX('01_INPUTS'!$E$17:$E$31,MATCH(H$23,'01_INPUTS'!$B$17:$B$31,0))=0,IF(SUMIFS($AD$3:$AD$870,$AC$3:$AC$870,H$23,$AE$3:$AE$870,"&lt;="&amp;$B101,$AF$3:$AF$870,"&gt;="&amp;$B101)=0,0,9.99),SUMIFS($AD$3:$AD$870,$AC$3:$AC$870,H$23,$AE$3:$AE$870,"&lt;="&amp;$B101,$AF$3:$AF$870,"&gt;="&amp;$B101)/INDEX('01_INPUTS'!$E$17:$E$31,MATCH(H$23,'01_INPUTS'!$B$17:$B$31,0)))</f>
        <v>1</v>
      </c>
      <c r="I101" s="61">
        <f>IF(INDEX('01_INPUTS'!$E$17:$E$31,MATCH(I$23,'01_INPUTS'!$B$17:$B$31,0))=0,IF(SUMIFS($AD$3:$AD$870,$AC$3:$AC$870,I$23,$AE$3:$AE$870,"&lt;="&amp;$B101,$AF$3:$AF$870,"&gt;="&amp;$B101)=0,0,9.99),SUMIFS($AD$3:$AD$870,$AC$3:$AC$870,I$23,$AE$3:$AE$870,"&lt;="&amp;$B101,$AF$3:$AF$870,"&gt;="&amp;$B101)/INDEX('01_INPUTS'!$E$17:$E$31,MATCH(I$23,'01_INPUTS'!$B$17:$B$31,0)))</f>
        <v>0</v>
      </c>
      <c r="J101" s="61">
        <f>IF(INDEX('01_INPUTS'!$E$17:$E$31,MATCH(J$23,'01_INPUTS'!$B$17:$B$31,0))=0,IF(SUMIFS($AD$3:$AD$870,$AC$3:$AC$870,J$23,$AE$3:$AE$870,"&lt;="&amp;$B101,$AF$3:$AF$870,"&gt;="&amp;$B101)=0,0,9.99),SUMIFS($AD$3:$AD$870,$AC$3:$AC$870,J$23,$AE$3:$AE$870,"&lt;="&amp;$B101,$AF$3:$AF$870,"&gt;="&amp;$B101)/INDEX('01_INPUTS'!$E$17:$E$31,MATCH(J$23,'01_INPUTS'!$B$17:$B$31,0)))</f>
        <v>0</v>
      </c>
      <c r="K101" s="61">
        <f>IF(INDEX('01_INPUTS'!$E$17:$E$31,MATCH(K$23,'01_INPUTS'!$B$17:$B$31,0))=0,IF(SUMIFS($AD$3:$AD$870,$AC$3:$AC$870,K$23,$AE$3:$AE$870,"&lt;="&amp;$B101,$AF$3:$AF$870,"&gt;="&amp;$B101)=0,0,9.99),SUMIFS($AD$3:$AD$870,$AC$3:$AC$870,K$23,$AE$3:$AE$870,"&lt;="&amp;$B101,$AF$3:$AF$870,"&gt;="&amp;$B101)/INDEX('01_INPUTS'!$E$17:$E$31,MATCH(K$23,'01_INPUTS'!$B$17:$B$31,0)))</f>
        <v>0</v>
      </c>
      <c r="L101" s="61">
        <f>IF(INDEX('01_INPUTS'!$E$17:$E$31,MATCH(L$23,'01_INPUTS'!$B$17:$B$31,0))=0,IF(SUMIFS($AD$3:$AD$870,$AC$3:$AC$870,L$23,$AE$3:$AE$870,"&lt;="&amp;$B101,$AF$3:$AF$870,"&gt;="&amp;$B101)=0,0,9.99),SUMIFS($AD$3:$AD$870,$AC$3:$AC$870,L$23,$AE$3:$AE$870,"&lt;="&amp;$B101,$AF$3:$AF$870,"&gt;="&amp;$B101)/INDEX('01_INPUTS'!$E$17:$E$31,MATCH(L$23,'01_INPUTS'!$B$17:$B$31,0)))</f>
        <v>0</v>
      </c>
      <c r="M101" s="61">
        <f>IF(INDEX('01_INPUTS'!$E$17:$E$31,MATCH(M$23,'01_INPUTS'!$B$17:$B$31,0))=0,IF(SUMIFS($AD$3:$AD$870,$AC$3:$AC$870,M$23,$AE$3:$AE$870,"&lt;="&amp;$B101,$AF$3:$AF$870,"&gt;="&amp;$B101)=0,0,9.99),SUMIFS($AD$3:$AD$870,$AC$3:$AC$870,M$23,$AE$3:$AE$870,"&lt;="&amp;$B101,$AF$3:$AF$870,"&gt;="&amp;$B101)/INDEX('01_INPUTS'!$E$17:$E$31,MATCH(M$23,'01_INPUTS'!$B$17:$B$31,0)))</f>
        <v>0</v>
      </c>
      <c r="N101" s="61">
        <f>IF(INDEX('01_INPUTS'!$E$17:$E$31,MATCH(N$23,'01_INPUTS'!$B$17:$B$31,0))=0,IF(SUMIFS($AD$3:$AD$870,$AC$3:$AC$870,N$23,$AE$3:$AE$870,"&lt;="&amp;$B101,$AF$3:$AF$870,"&gt;="&amp;$B101)=0,0,9.99),SUMIFS($AD$3:$AD$870,$AC$3:$AC$870,N$23,$AE$3:$AE$870,"&lt;="&amp;$B101,$AF$3:$AF$870,"&gt;="&amp;$B101)/INDEX('01_INPUTS'!$E$17:$E$31,MATCH(N$23,'01_INPUTS'!$B$17:$B$31,0)))</f>
        <v>0</v>
      </c>
      <c r="O101" s="61">
        <f>IF(INDEX('01_INPUTS'!$E$17:$E$31,MATCH(O$23,'01_INPUTS'!$B$17:$B$31,0))=0,IF(SUMIFS($AD$3:$AD$870,$AC$3:$AC$870,O$23,$AE$3:$AE$870,"&lt;="&amp;$B101,$AF$3:$AF$870,"&gt;="&amp;$B101)=0,0,9.99),SUMIFS($AD$3:$AD$870,$AC$3:$AC$870,O$23,$AE$3:$AE$870,"&lt;="&amp;$B101,$AF$3:$AF$870,"&gt;="&amp;$B101)/INDEX('01_INPUTS'!$E$17:$E$31,MATCH(O$23,'01_INPUTS'!$B$17:$B$31,0)))</f>
        <v>0</v>
      </c>
      <c r="P101" s="61">
        <f>IF(INDEX('01_INPUTS'!$E$17:$E$31,MATCH(P$23,'01_INPUTS'!$B$17:$B$31,0))=0,IF(SUMIFS($AD$3:$AD$870,$AC$3:$AC$870,P$23,$AE$3:$AE$870,"&lt;="&amp;$B101,$AF$3:$AF$870,"&gt;="&amp;$B101)=0,0,9.99),SUMIFS($AD$3:$AD$870,$AC$3:$AC$870,P$23,$AE$3:$AE$870,"&lt;="&amp;$B101,$AF$3:$AF$870,"&gt;="&amp;$B101)/INDEX('01_INPUTS'!$E$17:$E$31,MATCH(P$23,'01_INPUTS'!$B$17:$B$31,0)))</f>
        <v>2</v>
      </c>
      <c r="Q101" s="61">
        <f>IF(INDEX('01_INPUTS'!$E$17:$E$31,MATCH(Q$23,'01_INPUTS'!$B$17:$B$31,0))=0,IF(SUMIFS($AD$3:$AD$870,$AC$3:$AC$870,Q$23,$AE$3:$AE$870,"&lt;="&amp;$B101,$AF$3:$AF$870,"&gt;="&amp;$B101)=0,0,9.99),SUMIFS($AD$3:$AD$870,$AC$3:$AC$870,Q$23,$AE$3:$AE$870,"&lt;="&amp;$B101,$AF$3:$AF$870,"&gt;="&amp;$B101)/INDEX('01_INPUTS'!$E$17:$E$31,MATCH(Q$23,'01_INPUTS'!$B$17:$B$31,0)))</f>
        <v>0</v>
      </c>
      <c r="R101" s="61">
        <f>IF(INDEX('01_INPUTS'!$E$17:$E$31,MATCH(R$23,'01_INPUTS'!$B$17:$B$31,0))=0,IF(SUMIFS($AD$3:$AD$870,$AC$3:$AC$870,R$23,$AE$3:$AE$870,"&lt;="&amp;$B101,$AF$3:$AF$870,"&gt;="&amp;$B101)=0,0,9.99),SUMIFS($AD$3:$AD$870,$AC$3:$AC$870,R$23,$AE$3:$AE$870,"&lt;="&amp;$B101,$AF$3:$AF$870,"&gt;="&amp;$B101)/INDEX('01_INPUTS'!$E$17:$E$31,MATCH(R$23,'01_INPUTS'!$B$17:$B$31,0)))</f>
        <v>0</v>
      </c>
      <c r="S101">
        <f t="shared" si="10"/>
        <v>4</v>
      </c>
      <c r="T101">
        <f>SUM('01_INPUTS'!$E$17:$E$31)</f>
        <v>20</v>
      </c>
      <c r="U101" s="61">
        <f t="shared" si="11"/>
        <v>0.2</v>
      </c>
      <c r="V101">
        <f t="shared" si="12"/>
        <v>1</v>
      </c>
      <c r="W101" t="str">
        <f t="shared" si="13"/>
        <v>ROJO</v>
      </c>
      <c r="AA101" s="51" t="str">
        <f>'Sites Master'!$B$3</f>
        <v>Site 02</v>
      </c>
      <c r="AB101" s="51" t="str">
        <f>'Phase-Resource Allocation'!$B$100</f>
        <v>DIALT</v>
      </c>
      <c r="AC101" s="51" t="str">
        <f>'Phase-Resource Allocation'!$C$100</f>
        <v>Functional Lead</v>
      </c>
      <c r="AD101" s="60">
        <f>'Phase-Resource Allocation'!$D$100</f>
        <v>1</v>
      </c>
      <c r="AE101" s="51">
        <f>IFERROR(INDEX('02_SCHEDULE'!$K$5:$K$124,MATCH(AA101&amp;"|"&amp;AB101,'02_SCHEDULE'!$M$5:$M$124,0)),0)</f>
        <v>11</v>
      </c>
      <c r="AF101" s="51">
        <f>IFERROR(INDEX('02_SCHEDULE'!$L$5:$L$124,MATCH(AA101&amp;"|"&amp;AB101,'02_SCHEDULE'!$M$5:$M$124,0)),0)</f>
        <v>11</v>
      </c>
      <c r="AG101" s="51">
        <f t="shared" si="9"/>
        <v>1</v>
      </c>
    </row>
    <row r="102" spans="2:33" x14ac:dyDescent="0.3">
      <c r="B102">
        <f>79</f>
        <v>79</v>
      </c>
      <c r="C102" s="55">
        <f>'01_INPUTS'!$C$7+(79-1)*7</f>
        <v>46797</v>
      </c>
      <c r="D102" s="61">
        <f>IF(INDEX('01_INPUTS'!$E$17:$E$31,MATCH(D$23,'01_INPUTS'!$B$17:$B$31,0))=0,IF(SUMIFS($AD$3:$AD$870,$AC$3:$AC$870,D$23,$AE$3:$AE$870,"&lt;="&amp;$B102,$AF$3:$AF$870,"&gt;="&amp;$B102)=0,0,9.99),SUMIFS($AD$3:$AD$870,$AC$3:$AC$870,D$23,$AE$3:$AE$870,"&lt;="&amp;$B102,$AF$3:$AF$870,"&gt;="&amp;$B102)/INDEX('01_INPUTS'!$E$17:$E$31,MATCH(D$23,'01_INPUTS'!$B$17:$B$31,0)))</f>
        <v>0.5</v>
      </c>
      <c r="E102" s="61">
        <f>IF(INDEX('01_INPUTS'!$E$17:$E$31,MATCH(E$23,'01_INPUTS'!$B$17:$B$31,0))=0,IF(SUMIFS($AD$3:$AD$870,$AC$3:$AC$870,E$23,$AE$3:$AE$870,"&lt;="&amp;$B102,$AF$3:$AF$870,"&gt;="&amp;$B102)=0,0,9.99),SUMIFS($AD$3:$AD$870,$AC$3:$AC$870,E$23,$AE$3:$AE$870,"&lt;="&amp;$B102,$AF$3:$AF$870,"&gt;="&amp;$B102)/INDEX('01_INPUTS'!$E$17:$E$31,MATCH(E$23,'01_INPUTS'!$B$17:$B$31,0)))</f>
        <v>0</v>
      </c>
      <c r="F102" s="61">
        <f>IF(INDEX('01_INPUTS'!$E$17:$E$31,MATCH(F$23,'01_INPUTS'!$B$17:$B$31,0))=0,IF(SUMIFS($AD$3:$AD$870,$AC$3:$AC$870,F$23,$AE$3:$AE$870,"&lt;="&amp;$B102,$AF$3:$AF$870,"&gt;="&amp;$B102)=0,0,9.99),SUMIFS($AD$3:$AD$870,$AC$3:$AC$870,F$23,$AE$3:$AE$870,"&lt;="&amp;$B102,$AF$3:$AF$870,"&gt;="&amp;$B102)/INDEX('01_INPUTS'!$E$17:$E$31,MATCH(F$23,'01_INPUTS'!$B$17:$B$31,0)))</f>
        <v>0</v>
      </c>
      <c r="G102" s="61">
        <f>IF(INDEX('01_INPUTS'!$E$17:$E$31,MATCH(G$23,'01_INPUTS'!$B$17:$B$31,0))=0,IF(SUMIFS($AD$3:$AD$870,$AC$3:$AC$870,G$23,$AE$3:$AE$870,"&lt;="&amp;$B102,$AF$3:$AF$870,"&gt;="&amp;$B102)=0,0,9.99),SUMIFS($AD$3:$AD$870,$AC$3:$AC$870,G$23,$AE$3:$AE$870,"&lt;="&amp;$B102,$AF$3:$AF$870,"&gt;="&amp;$B102)/INDEX('01_INPUTS'!$E$17:$E$31,MATCH(G$23,'01_INPUTS'!$B$17:$B$31,0)))</f>
        <v>0</v>
      </c>
      <c r="H102" s="61">
        <f>IF(INDEX('01_INPUTS'!$E$17:$E$31,MATCH(H$23,'01_INPUTS'!$B$17:$B$31,0))=0,IF(SUMIFS($AD$3:$AD$870,$AC$3:$AC$870,H$23,$AE$3:$AE$870,"&lt;="&amp;$B102,$AF$3:$AF$870,"&gt;="&amp;$B102)=0,0,9.99),SUMIFS($AD$3:$AD$870,$AC$3:$AC$870,H$23,$AE$3:$AE$870,"&lt;="&amp;$B102,$AF$3:$AF$870,"&gt;="&amp;$B102)/INDEX('01_INPUTS'!$E$17:$E$31,MATCH(H$23,'01_INPUTS'!$B$17:$B$31,0)))</f>
        <v>1</v>
      </c>
      <c r="I102" s="61">
        <f>IF(INDEX('01_INPUTS'!$E$17:$E$31,MATCH(I$23,'01_INPUTS'!$B$17:$B$31,0))=0,IF(SUMIFS($AD$3:$AD$870,$AC$3:$AC$870,I$23,$AE$3:$AE$870,"&lt;="&amp;$B102,$AF$3:$AF$870,"&gt;="&amp;$B102)=0,0,9.99),SUMIFS($AD$3:$AD$870,$AC$3:$AC$870,I$23,$AE$3:$AE$870,"&lt;="&amp;$B102,$AF$3:$AF$870,"&gt;="&amp;$B102)/INDEX('01_INPUTS'!$E$17:$E$31,MATCH(I$23,'01_INPUTS'!$B$17:$B$31,0)))</f>
        <v>0</v>
      </c>
      <c r="J102" s="61">
        <f>IF(INDEX('01_INPUTS'!$E$17:$E$31,MATCH(J$23,'01_INPUTS'!$B$17:$B$31,0))=0,IF(SUMIFS($AD$3:$AD$870,$AC$3:$AC$870,J$23,$AE$3:$AE$870,"&lt;="&amp;$B102,$AF$3:$AF$870,"&gt;="&amp;$B102)=0,0,9.99),SUMIFS($AD$3:$AD$870,$AC$3:$AC$870,J$23,$AE$3:$AE$870,"&lt;="&amp;$B102,$AF$3:$AF$870,"&gt;="&amp;$B102)/INDEX('01_INPUTS'!$E$17:$E$31,MATCH(J$23,'01_INPUTS'!$B$17:$B$31,0)))</f>
        <v>0.5</v>
      </c>
      <c r="K102" s="61">
        <f>IF(INDEX('01_INPUTS'!$E$17:$E$31,MATCH(K$23,'01_INPUTS'!$B$17:$B$31,0))=0,IF(SUMIFS($AD$3:$AD$870,$AC$3:$AC$870,K$23,$AE$3:$AE$870,"&lt;="&amp;$B102,$AF$3:$AF$870,"&gt;="&amp;$B102)=0,0,9.99),SUMIFS($AD$3:$AD$870,$AC$3:$AC$870,K$23,$AE$3:$AE$870,"&lt;="&amp;$B102,$AF$3:$AF$870,"&gt;="&amp;$B102)/INDEX('01_INPUTS'!$E$17:$E$31,MATCH(K$23,'01_INPUTS'!$B$17:$B$31,0)))</f>
        <v>0</v>
      </c>
      <c r="L102" s="61">
        <f>IF(INDEX('01_INPUTS'!$E$17:$E$31,MATCH(L$23,'01_INPUTS'!$B$17:$B$31,0))=0,IF(SUMIFS($AD$3:$AD$870,$AC$3:$AC$870,L$23,$AE$3:$AE$870,"&lt;="&amp;$B102,$AF$3:$AF$870,"&gt;="&amp;$B102)=0,0,9.99),SUMIFS($AD$3:$AD$870,$AC$3:$AC$870,L$23,$AE$3:$AE$870,"&lt;="&amp;$B102,$AF$3:$AF$870,"&gt;="&amp;$B102)/INDEX('01_INPUTS'!$E$17:$E$31,MATCH(L$23,'01_INPUTS'!$B$17:$B$31,0)))</f>
        <v>0</v>
      </c>
      <c r="M102" s="61">
        <f>IF(INDEX('01_INPUTS'!$E$17:$E$31,MATCH(M$23,'01_INPUTS'!$B$17:$B$31,0))=0,IF(SUMIFS($AD$3:$AD$870,$AC$3:$AC$870,M$23,$AE$3:$AE$870,"&lt;="&amp;$B102,$AF$3:$AF$870,"&gt;="&amp;$B102)=0,0,9.99),SUMIFS($AD$3:$AD$870,$AC$3:$AC$870,M$23,$AE$3:$AE$870,"&lt;="&amp;$B102,$AF$3:$AF$870,"&gt;="&amp;$B102)/INDEX('01_INPUTS'!$E$17:$E$31,MATCH(M$23,'01_INPUTS'!$B$17:$B$31,0)))</f>
        <v>0.75</v>
      </c>
      <c r="N102" s="61">
        <f>IF(INDEX('01_INPUTS'!$E$17:$E$31,MATCH(N$23,'01_INPUTS'!$B$17:$B$31,0))=0,IF(SUMIFS($AD$3:$AD$870,$AC$3:$AC$870,N$23,$AE$3:$AE$870,"&lt;="&amp;$B102,$AF$3:$AF$870,"&gt;="&amp;$B102)=0,0,9.99),SUMIFS($AD$3:$AD$870,$AC$3:$AC$870,N$23,$AE$3:$AE$870,"&lt;="&amp;$B102,$AF$3:$AF$870,"&gt;="&amp;$B102)/INDEX('01_INPUTS'!$E$17:$E$31,MATCH(N$23,'01_INPUTS'!$B$17:$B$31,0)))</f>
        <v>0.75</v>
      </c>
      <c r="O102" s="61">
        <f>IF(INDEX('01_INPUTS'!$E$17:$E$31,MATCH(O$23,'01_INPUTS'!$B$17:$B$31,0))=0,IF(SUMIFS($AD$3:$AD$870,$AC$3:$AC$870,O$23,$AE$3:$AE$870,"&lt;="&amp;$B102,$AF$3:$AF$870,"&gt;="&amp;$B102)=0,0,9.99),SUMIFS($AD$3:$AD$870,$AC$3:$AC$870,O$23,$AE$3:$AE$870,"&lt;="&amp;$B102,$AF$3:$AF$870,"&gt;="&amp;$B102)/INDEX('01_INPUTS'!$E$17:$E$31,MATCH(O$23,'01_INPUTS'!$B$17:$B$31,0)))</f>
        <v>0</v>
      </c>
      <c r="P102" s="61">
        <f>IF(INDEX('01_INPUTS'!$E$17:$E$31,MATCH(P$23,'01_INPUTS'!$B$17:$B$31,0))=0,IF(SUMIFS($AD$3:$AD$870,$AC$3:$AC$870,P$23,$AE$3:$AE$870,"&lt;="&amp;$B102,$AF$3:$AF$870,"&gt;="&amp;$B102)=0,0,9.99),SUMIFS($AD$3:$AD$870,$AC$3:$AC$870,P$23,$AE$3:$AE$870,"&lt;="&amp;$B102,$AF$3:$AF$870,"&gt;="&amp;$B102)/INDEX('01_INPUTS'!$E$17:$E$31,MATCH(P$23,'01_INPUTS'!$B$17:$B$31,0)))</f>
        <v>2</v>
      </c>
      <c r="Q102" s="61">
        <f>IF(INDEX('01_INPUTS'!$E$17:$E$31,MATCH(Q$23,'01_INPUTS'!$B$17:$B$31,0))=0,IF(SUMIFS($AD$3:$AD$870,$AC$3:$AC$870,Q$23,$AE$3:$AE$870,"&lt;="&amp;$B102,$AF$3:$AF$870,"&gt;="&amp;$B102)=0,0,9.99),SUMIFS($AD$3:$AD$870,$AC$3:$AC$870,Q$23,$AE$3:$AE$870,"&lt;="&amp;$B102,$AF$3:$AF$870,"&gt;="&amp;$B102)/INDEX('01_INPUTS'!$E$17:$E$31,MATCH(Q$23,'01_INPUTS'!$B$17:$B$31,0)))</f>
        <v>0.5</v>
      </c>
      <c r="R102" s="61">
        <f>IF(INDEX('01_INPUTS'!$E$17:$E$31,MATCH(R$23,'01_INPUTS'!$B$17:$B$31,0))=0,IF(SUMIFS($AD$3:$AD$870,$AC$3:$AC$870,R$23,$AE$3:$AE$870,"&lt;="&amp;$B102,$AF$3:$AF$870,"&gt;="&amp;$B102)=0,0,9.99),SUMIFS($AD$3:$AD$870,$AC$3:$AC$870,R$23,$AE$3:$AE$870,"&lt;="&amp;$B102,$AF$3:$AF$870,"&gt;="&amp;$B102)/INDEX('01_INPUTS'!$E$17:$E$31,MATCH(R$23,'01_INPUTS'!$B$17:$B$31,0)))</f>
        <v>0</v>
      </c>
      <c r="S102">
        <f t="shared" si="10"/>
        <v>8</v>
      </c>
      <c r="T102">
        <f>SUM('01_INPUTS'!$E$17:$E$31)</f>
        <v>20</v>
      </c>
      <c r="U102" s="61">
        <f t="shared" si="11"/>
        <v>0.4</v>
      </c>
      <c r="V102">
        <f t="shared" si="12"/>
        <v>1</v>
      </c>
      <c r="W102" t="str">
        <f t="shared" si="13"/>
        <v>ROJO</v>
      </c>
      <c r="AA102" s="51" t="str">
        <f>'Sites Master'!$B$3</f>
        <v>Site 02</v>
      </c>
      <c r="AB102" s="51" t="str">
        <f>'Phase-Resource Allocation'!$B$101</f>
        <v>DIALT</v>
      </c>
      <c r="AC102" s="51" t="str">
        <f>'Phase-Resource Allocation'!$C$101</f>
        <v>Trainers</v>
      </c>
      <c r="AD102" s="60">
        <f>'Phase-Resource Allocation'!$D$101</f>
        <v>1</v>
      </c>
      <c r="AE102" s="51">
        <f>IFERROR(INDEX('02_SCHEDULE'!$K$5:$K$124,MATCH(AA102&amp;"|"&amp;AB102,'02_SCHEDULE'!$M$5:$M$124,0)),0)</f>
        <v>11</v>
      </c>
      <c r="AF102" s="51">
        <f>IFERROR(INDEX('02_SCHEDULE'!$L$5:$L$124,MATCH(AA102&amp;"|"&amp;AB102,'02_SCHEDULE'!$M$5:$M$124,0)),0)</f>
        <v>11</v>
      </c>
      <c r="AG102" s="51">
        <f t="shared" si="9"/>
        <v>1</v>
      </c>
    </row>
    <row r="103" spans="2:33" x14ac:dyDescent="0.3">
      <c r="B103">
        <f>80</f>
        <v>80</v>
      </c>
      <c r="C103" s="55">
        <f>'01_INPUTS'!$C$7+(80-1)*7</f>
        <v>46804</v>
      </c>
      <c r="D103" s="61">
        <f>IF(INDEX('01_INPUTS'!$E$17:$E$31,MATCH(D$23,'01_INPUTS'!$B$17:$B$31,0))=0,IF(SUMIFS($AD$3:$AD$870,$AC$3:$AC$870,D$23,$AE$3:$AE$870,"&lt;="&amp;$B103,$AF$3:$AF$870,"&gt;="&amp;$B103)=0,0,9.99),SUMIFS($AD$3:$AD$870,$AC$3:$AC$870,D$23,$AE$3:$AE$870,"&lt;="&amp;$B103,$AF$3:$AF$870,"&gt;="&amp;$B103)/INDEX('01_INPUTS'!$E$17:$E$31,MATCH(D$23,'01_INPUTS'!$B$17:$B$31,0)))</f>
        <v>1</v>
      </c>
      <c r="E103" s="61">
        <f>IF(INDEX('01_INPUTS'!$E$17:$E$31,MATCH(E$23,'01_INPUTS'!$B$17:$B$31,0))=0,IF(SUMIFS($AD$3:$AD$870,$AC$3:$AC$870,E$23,$AE$3:$AE$870,"&lt;="&amp;$B103,$AF$3:$AF$870,"&gt;="&amp;$B103)=0,0,9.99),SUMIFS($AD$3:$AD$870,$AC$3:$AC$870,E$23,$AE$3:$AE$870,"&lt;="&amp;$B103,$AF$3:$AF$870,"&gt;="&amp;$B103)/INDEX('01_INPUTS'!$E$17:$E$31,MATCH(E$23,'01_INPUTS'!$B$17:$B$31,0)))</f>
        <v>0</v>
      </c>
      <c r="F103" s="61">
        <f>IF(INDEX('01_INPUTS'!$E$17:$E$31,MATCH(F$23,'01_INPUTS'!$B$17:$B$31,0))=0,IF(SUMIFS($AD$3:$AD$870,$AC$3:$AC$870,F$23,$AE$3:$AE$870,"&lt;="&amp;$B103,$AF$3:$AF$870,"&gt;="&amp;$B103)=0,0,9.99),SUMIFS($AD$3:$AD$870,$AC$3:$AC$870,F$23,$AE$3:$AE$870,"&lt;="&amp;$B103,$AF$3:$AF$870,"&gt;="&amp;$B103)/INDEX('01_INPUTS'!$E$17:$E$31,MATCH(F$23,'01_INPUTS'!$B$17:$B$31,0)))</f>
        <v>0</v>
      </c>
      <c r="G103" s="61">
        <f>IF(INDEX('01_INPUTS'!$E$17:$E$31,MATCH(G$23,'01_INPUTS'!$B$17:$B$31,0))=0,IF(SUMIFS($AD$3:$AD$870,$AC$3:$AC$870,G$23,$AE$3:$AE$870,"&lt;="&amp;$B103,$AF$3:$AF$870,"&gt;="&amp;$B103)=0,0,9.99),SUMIFS($AD$3:$AD$870,$AC$3:$AC$870,G$23,$AE$3:$AE$870,"&lt;="&amp;$B103,$AF$3:$AF$870,"&gt;="&amp;$B103)/INDEX('01_INPUTS'!$E$17:$E$31,MATCH(G$23,'01_INPUTS'!$B$17:$B$31,0)))</f>
        <v>0</v>
      </c>
      <c r="H103" s="61">
        <f>IF(INDEX('01_INPUTS'!$E$17:$E$31,MATCH(H$23,'01_INPUTS'!$B$17:$B$31,0))=0,IF(SUMIFS($AD$3:$AD$870,$AC$3:$AC$870,H$23,$AE$3:$AE$870,"&lt;="&amp;$B103,$AF$3:$AF$870,"&gt;="&amp;$B103)=0,0,9.99),SUMIFS($AD$3:$AD$870,$AC$3:$AC$870,H$23,$AE$3:$AE$870,"&lt;="&amp;$B103,$AF$3:$AF$870,"&gt;="&amp;$B103)/INDEX('01_INPUTS'!$E$17:$E$31,MATCH(H$23,'01_INPUTS'!$B$17:$B$31,0)))</f>
        <v>1</v>
      </c>
      <c r="I103" s="61">
        <f>IF(INDEX('01_INPUTS'!$E$17:$E$31,MATCH(I$23,'01_INPUTS'!$B$17:$B$31,0))=0,IF(SUMIFS($AD$3:$AD$870,$AC$3:$AC$870,I$23,$AE$3:$AE$870,"&lt;="&amp;$B103,$AF$3:$AF$870,"&gt;="&amp;$B103)=0,0,9.99),SUMIFS($AD$3:$AD$870,$AC$3:$AC$870,I$23,$AE$3:$AE$870,"&lt;="&amp;$B103,$AF$3:$AF$870,"&gt;="&amp;$B103)/INDEX('01_INPUTS'!$E$17:$E$31,MATCH(I$23,'01_INPUTS'!$B$17:$B$31,0)))</f>
        <v>0.5</v>
      </c>
      <c r="J103" s="61">
        <f>IF(INDEX('01_INPUTS'!$E$17:$E$31,MATCH(J$23,'01_INPUTS'!$B$17:$B$31,0))=0,IF(SUMIFS($AD$3:$AD$870,$AC$3:$AC$870,J$23,$AE$3:$AE$870,"&lt;="&amp;$B103,$AF$3:$AF$870,"&gt;="&amp;$B103)=0,0,9.99),SUMIFS($AD$3:$AD$870,$AC$3:$AC$870,J$23,$AE$3:$AE$870,"&lt;="&amp;$B103,$AF$3:$AF$870,"&gt;="&amp;$B103)/INDEX('01_INPUTS'!$E$17:$E$31,MATCH(J$23,'01_INPUTS'!$B$17:$B$31,0)))</f>
        <v>0.5</v>
      </c>
      <c r="K103" s="61">
        <f>IF(INDEX('01_INPUTS'!$E$17:$E$31,MATCH(K$23,'01_INPUTS'!$B$17:$B$31,0))=0,IF(SUMIFS($AD$3:$AD$870,$AC$3:$AC$870,K$23,$AE$3:$AE$870,"&lt;="&amp;$B103,$AF$3:$AF$870,"&gt;="&amp;$B103)=0,0,9.99),SUMIFS($AD$3:$AD$870,$AC$3:$AC$870,K$23,$AE$3:$AE$870,"&lt;="&amp;$B103,$AF$3:$AF$870,"&gt;="&amp;$B103)/INDEX('01_INPUTS'!$E$17:$E$31,MATCH(K$23,'01_INPUTS'!$B$17:$B$31,0)))</f>
        <v>1</v>
      </c>
      <c r="L103" s="61">
        <f>IF(INDEX('01_INPUTS'!$E$17:$E$31,MATCH(L$23,'01_INPUTS'!$B$17:$B$31,0))=0,IF(SUMIFS($AD$3:$AD$870,$AC$3:$AC$870,L$23,$AE$3:$AE$870,"&lt;="&amp;$B103,$AF$3:$AF$870,"&gt;="&amp;$B103)=0,0,9.99),SUMIFS($AD$3:$AD$870,$AC$3:$AC$870,L$23,$AE$3:$AE$870,"&lt;="&amp;$B103,$AF$3:$AF$870,"&gt;="&amp;$B103)/INDEX('01_INPUTS'!$E$17:$E$31,MATCH(L$23,'01_INPUTS'!$B$17:$B$31,0)))</f>
        <v>1</v>
      </c>
      <c r="M103" s="61">
        <f>IF(INDEX('01_INPUTS'!$E$17:$E$31,MATCH(M$23,'01_INPUTS'!$B$17:$B$31,0))=0,IF(SUMIFS($AD$3:$AD$870,$AC$3:$AC$870,M$23,$AE$3:$AE$870,"&lt;="&amp;$B103,$AF$3:$AF$870,"&gt;="&amp;$B103)=0,0,9.99),SUMIFS($AD$3:$AD$870,$AC$3:$AC$870,M$23,$AE$3:$AE$870,"&lt;="&amp;$B103,$AF$3:$AF$870,"&gt;="&amp;$B103)/INDEX('01_INPUTS'!$E$17:$E$31,MATCH(M$23,'01_INPUTS'!$B$17:$B$31,0)))</f>
        <v>1</v>
      </c>
      <c r="N103" s="61">
        <f>IF(INDEX('01_INPUTS'!$E$17:$E$31,MATCH(N$23,'01_INPUTS'!$B$17:$B$31,0))=0,IF(SUMIFS($AD$3:$AD$870,$AC$3:$AC$870,N$23,$AE$3:$AE$870,"&lt;="&amp;$B103,$AF$3:$AF$870,"&gt;="&amp;$B103)=0,0,9.99),SUMIFS($AD$3:$AD$870,$AC$3:$AC$870,N$23,$AE$3:$AE$870,"&lt;="&amp;$B103,$AF$3:$AF$870,"&gt;="&amp;$B103)/INDEX('01_INPUTS'!$E$17:$E$31,MATCH(N$23,'01_INPUTS'!$B$17:$B$31,0)))</f>
        <v>1</v>
      </c>
      <c r="O103" s="61">
        <f>IF(INDEX('01_INPUTS'!$E$17:$E$31,MATCH(O$23,'01_INPUTS'!$B$17:$B$31,0))=0,IF(SUMIFS($AD$3:$AD$870,$AC$3:$AC$870,O$23,$AE$3:$AE$870,"&lt;="&amp;$B103,$AF$3:$AF$870,"&gt;="&amp;$B103)=0,0,9.99),SUMIFS($AD$3:$AD$870,$AC$3:$AC$870,O$23,$AE$3:$AE$870,"&lt;="&amp;$B103,$AF$3:$AF$870,"&gt;="&amp;$B103)/INDEX('01_INPUTS'!$E$17:$E$31,MATCH(O$23,'01_INPUTS'!$B$17:$B$31,0)))</f>
        <v>0</v>
      </c>
      <c r="P103" s="61">
        <f>IF(INDEX('01_INPUTS'!$E$17:$E$31,MATCH(P$23,'01_INPUTS'!$B$17:$B$31,0))=0,IF(SUMIFS($AD$3:$AD$870,$AC$3:$AC$870,P$23,$AE$3:$AE$870,"&lt;="&amp;$B103,$AF$3:$AF$870,"&gt;="&amp;$B103)=0,0,9.99),SUMIFS($AD$3:$AD$870,$AC$3:$AC$870,P$23,$AE$3:$AE$870,"&lt;="&amp;$B103,$AF$3:$AF$870,"&gt;="&amp;$B103)/INDEX('01_INPUTS'!$E$17:$E$31,MATCH(P$23,'01_INPUTS'!$B$17:$B$31,0)))</f>
        <v>2</v>
      </c>
      <c r="Q103" s="61">
        <f>IF(INDEX('01_INPUTS'!$E$17:$E$31,MATCH(Q$23,'01_INPUTS'!$B$17:$B$31,0))=0,IF(SUMIFS($AD$3:$AD$870,$AC$3:$AC$870,Q$23,$AE$3:$AE$870,"&lt;="&amp;$B103,$AF$3:$AF$870,"&gt;="&amp;$B103)=0,0,9.99),SUMIFS($AD$3:$AD$870,$AC$3:$AC$870,Q$23,$AE$3:$AE$870,"&lt;="&amp;$B103,$AF$3:$AF$870,"&gt;="&amp;$B103)/INDEX('01_INPUTS'!$E$17:$E$31,MATCH(Q$23,'01_INPUTS'!$B$17:$B$31,0)))</f>
        <v>0.5</v>
      </c>
      <c r="R103" s="61">
        <f>IF(INDEX('01_INPUTS'!$E$17:$E$31,MATCH(R$23,'01_INPUTS'!$B$17:$B$31,0))=0,IF(SUMIFS($AD$3:$AD$870,$AC$3:$AC$870,R$23,$AE$3:$AE$870,"&lt;="&amp;$B103,$AF$3:$AF$870,"&gt;="&amp;$B103)=0,0,9.99),SUMIFS($AD$3:$AD$870,$AC$3:$AC$870,R$23,$AE$3:$AE$870,"&lt;="&amp;$B103,$AF$3:$AF$870,"&gt;="&amp;$B103)/INDEX('01_INPUTS'!$E$17:$E$31,MATCH(R$23,'01_INPUTS'!$B$17:$B$31,0)))</f>
        <v>0</v>
      </c>
      <c r="S103">
        <f t="shared" si="10"/>
        <v>12</v>
      </c>
      <c r="T103">
        <f>SUM('01_INPUTS'!$E$17:$E$31)</f>
        <v>20</v>
      </c>
      <c r="U103" s="61">
        <f t="shared" si="11"/>
        <v>0.6</v>
      </c>
      <c r="V103">
        <f t="shared" si="12"/>
        <v>1</v>
      </c>
      <c r="W103" t="str">
        <f t="shared" si="13"/>
        <v>ROJO</v>
      </c>
      <c r="AA103" s="51" t="str">
        <f>'Sites Master'!$B$3</f>
        <v>Site 02</v>
      </c>
      <c r="AB103" s="51" t="str">
        <f>'Phase-Resource Allocation'!$B$102</f>
        <v>DIALT</v>
      </c>
      <c r="AC103" s="51" t="str">
        <f>'Phase-Resource Allocation'!$C$102</f>
        <v>Functional Lead Vendor A</v>
      </c>
      <c r="AD103" s="60">
        <f>'Phase-Resource Allocation'!$D$102</f>
        <v>1</v>
      </c>
      <c r="AE103" s="51">
        <f>IFERROR(INDEX('02_SCHEDULE'!$K$5:$K$124,MATCH(AA103&amp;"|"&amp;AB103,'02_SCHEDULE'!$M$5:$M$124,0)),0)</f>
        <v>11</v>
      </c>
      <c r="AF103" s="51">
        <f>IFERROR(INDEX('02_SCHEDULE'!$L$5:$L$124,MATCH(AA103&amp;"|"&amp;AB103,'02_SCHEDULE'!$M$5:$M$124,0)),0)</f>
        <v>11</v>
      </c>
      <c r="AG103" s="51">
        <f t="shared" si="9"/>
        <v>1</v>
      </c>
    </row>
    <row r="104" spans="2:33" x14ac:dyDescent="0.3">
      <c r="B104">
        <f>81</f>
        <v>81</v>
      </c>
      <c r="C104" s="55">
        <f>'01_INPUTS'!$C$7+(81-1)*7</f>
        <v>46811</v>
      </c>
      <c r="D104" s="61">
        <f>IF(INDEX('01_INPUTS'!$E$17:$E$31,MATCH(D$23,'01_INPUTS'!$B$17:$B$31,0))=0,IF(SUMIFS($AD$3:$AD$870,$AC$3:$AC$870,D$23,$AE$3:$AE$870,"&lt;="&amp;$B104,$AF$3:$AF$870,"&gt;="&amp;$B104)=0,0,9.99),SUMIFS($AD$3:$AD$870,$AC$3:$AC$870,D$23,$AE$3:$AE$870,"&lt;="&amp;$B104,$AF$3:$AF$870,"&gt;="&amp;$B104)/INDEX('01_INPUTS'!$E$17:$E$31,MATCH(D$23,'01_INPUTS'!$B$17:$B$31,0)))</f>
        <v>1</v>
      </c>
      <c r="E104" s="61">
        <f>IF(INDEX('01_INPUTS'!$E$17:$E$31,MATCH(E$23,'01_INPUTS'!$B$17:$B$31,0))=0,IF(SUMIFS($AD$3:$AD$870,$AC$3:$AC$870,E$23,$AE$3:$AE$870,"&lt;="&amp;$B104,$AF$3:$AF$870,"&gt;="&amp;$B104)=0,0,9.99),SUMIFS($AD$3:$AD$870,$AC$3:$AC$870,E$23,$AE$3:$AE$870,"&lt;="&amp;$B104,$AF$3:$AF$870,"&gt;="&amp;$B104)/INDEX('01_INPUTS'!$E$17:$E$31,MATCH(E$23,'01_INPUTS'!$B$17:$B$31,0)))</f>
        <v>0</v>
      </c>
      <c r="F104" s="61">
        <f>IF(INDEX('01_INPUTS'!$E$17:$E$31,MATCH(F$23,'01_INPUTS'!$B$17:$B$31,0))=0,IF(SUMIFS($AD$3:$AD$870,$AC$3:$AC$870,F$23,$AE$3:$AE$870,"&lt;="&amp;$B104,$AF$3:$AF$870,"&gt;="&amp;$B104)=0,0,9.99),SUMIFS($AD$3:$AD$870,$AC$3:$AC$870,F$23,$AE$3:$AE$870,"&lt;="&amp;$B104,$AF$3:$AF$870,"&gt;="&amp;$B104)/INDEX('01_INPUTS'!$E$17:$E$31,MATCH(F$23,'01_INPUTS'!$B$17:$B$31,0)))</f>
        <v>0</v>
      </c>
      <c r="G104" s="61">
        <f>IF(INDEX('01_INPUTS'!$E$17:$E$31,MATCH(G$23,'01_INPUTS'!$B$17:$B$31,0))=0,IF(SUMIFS($AD$3:$AD$870,$AC$3:$AC$870,G$23,$AE$3:$AE$870,"&lt;="&amp;$B104,$AF$3:$AF$870,"&gt;="&amp;$B104)=0,0,9.99),SUMIFS($AD$3:$AD$870,$AC$3:$AC$870,G$23,$AE$3:$AE$870,"&lt;="&amp;$B104,$AF$3:$AF$870,"&gt;="&amp;$B104)/INDEX('01_INPUTS'!$E$17:$E$31,MATCH(G$23,'01_INPUTS'!$B$17:$B$31,0)))</f>
        <v>0</v>
      </c>
      <c r="H104" s="61">
        <f>IF(INDEX('01_INPUTS'!$E$17:$E$31,MATCH(H$23,'01_INPUTS'!$B$17:$B$31,0))=0,IF(SUMIFS($AD$3:$AD$870,$AC$3:$AC$870,H$23,$AE$3:$AE$870,"&lt;="&amp;$B104,$AF$3:$AF$870,"&gt;="&amp;$B104)=0,0,9.99),SUMIFS($AD$3:$AD$870,$AC$3:$AC$870,H$23,$AE$3:$AE$870,"&lt;="&amp;$B104,$AF$3:$AF$870,"&gt;="&amp;$B104)/INDEX('01_INPUTS'!$E$17:$E$31,MATCH(H$23,'01_INPUTS'!$B$17:$B$31,0)))</f>
        <v>1</v>
      </c>
      <c r="I104" s="61">
        <f>IF(INDEX('01_INPUTS'!$E$17:$E$31,MATCH(I$23,'01_INPUTS'!$B$17:$B$31,0))=0,IF(SUMIFS($AD$3:$AD$870,$AC$3:$AC$870,I$23,$AE$3:$AE$870,"&lt;="&amp;$B104,$AF$3:$AF$870,"&gt;="&amp;$B104)=0,0,9.99),SUMIFS($AD$3:$AD$870,$AC$3:$AC$870,I$23,$AE$3:$AE$870,"&lt;="&amp;$B104,$AF$3:$AF$870,"&gt;="&amp;$B104)/INDEX('01_INPUTS'!$E$17:$E$31,MATCH(I$23,'01_INPUTS'!$B$17:$B$31,0)))</f>
        <v>0.5</v>
      </c>
      <c r="J104" s="61">
        <f>IF(INDEX('01_INPUTS'!$E$17:$E$31,MATCH(J$23,'01_INPUTS'!$B$17:$B$31,0))=0,IF(SUMIFS($AD$3:$AD$870,$AC$3:$AC$870,J$23,$AE$3:$AE$870,"&lt;="&amp;$B104,$AF$3:$AF$870,"&gt;="&amp;$B104)=0,0,9.99),SUMIFS($AD$3:$AD$870,$AC$3:$AC$870,J$23,$AE$3:$AE$870,"&lt;="&amp;$B104,$AF$3:$AF$870,"&gt;="&amp;$B104)/INDEX('01_INPUTS'!$E$17:$E$31,MATCH(J$23,'01_INPUTS'!$B$17:$B$31,0)))</f>
        <v>1.5</v>
      </c>
      <c r="K104" s="61">
        <f>IF(INDEX('01_INPUTS'!$E$17:$E$31,MATCH(K$23,'01_INPUTS'!$B$17:$B$31,0))=0,IF(SUMIFS($AD$3:$AD$870,$AC$3:$AC$870,K$23,$AE$3:$AE$870,"&lt;="&amp;$B104,$AF$3:$AF$870,"&gt;="&amp;$B104)=0,0,9.99),SUMIFS($AD$3:$AD$870,$AC$3:$AC$870,K$23,$AE$3:$AE$870,"&lt;="&amp;$B104,$AF$3:$AF$870,"&gt;="&amp;$B104)/INDEX('01_INPUTS'!$E$17:$E$31,MATCH(K$23,'01_INPUTS'!$B$17:$B$31,0)))</f>
        <v>0.5</v>
      </c>
      <c r="L104" s="61">
        <f>IF(INDEX('01_INPUTS'!$E$17:$E$31,MATCH(L$23,'01_INPUTS'!$B$17:$B$31,0))=0,IF(SUMIFS($AD$3:$AD$870,$AC$3:$AC$870,L$23,$AE$3:$AE$870,"&lt;="&amp;$B104,$AF$3:$AF$870,"&gt;="&amp;$B104)=0,0,9.99),SUMIFS($AD$3:$AD$870,$AC$3:$AC$870,L$23,$AE$3:$AE$870,"&lt;="&amp;$B104,$AF$3:$AF$870,"&gt;="&amp;$B104)/INDEX('01_INPUTS'!$E$17:$E$31,MATCH(L$23,'01_INPUTS'!$B$17:$B$31,0)))</f>
        <v>0.5</v>
      </c>
      <c r="M104" s="61">
        <f>IF(INDEX('01_INPUTS'!$E$17:$E$31,MATCH(M$23,'01_INPUTS'!$B$17:$B$31,0))=0,IF(SUMIFS($AD$3:$AD$870,$AC$3:$AC$870,M$23,$AE$3:$AE$870,"&lt;="&amp;$B104,$AF$3:$AF$870,"&gt;="&amp;$B104)=0,0,9.99),SUMIFS($AD$3:$AD$870,$AC$3:$AC$870,M$23,$AE$3:$AE$870,"&lt;="&amp;$B104,$AF$3:$AF$870,"&gt;="&amp;$B104)/INDEX('01_INPUTS'!$E$17:$E$31,MATCH(M$23,'01_INPUTS'!$B$17:$B$31,0)))</f>
        <v>1.25</v>
      </c>
      <c r="N104" s="61">
        <f>IF(INDEX('01_INPUTS'!$E$17:$E$31,MATCH(N$23,'01_INPUTS'!$B$17:$B$31,0))=0,IF(SUMIFS($AD$3:$AD$870,$AC$3:$AC$870,N$23,$AE$3:$AE$870,"&lt;="&amp;$B104,$AF$3:$AF$870,"&gt;="&amp;$B104)=0,0,9.99),SUMIFS($AD$3:$AD$870,$AC$3:$AC$870,N$23,$AE$3:$AE$870,"&lt;="&amp;$B104,$AF$3:$AF$870,"&gt;="&amp;$B104)/INDEX('01_INPUTS'!$E$17:$E$31,MATCH(N$23,'01_INPUTS'!$B$17:$B$31,0)))</f>
        <v>1.25</v>
      </c>
      <c r="O104" s="61">
        <f>IF(INDEX('01_INPUTS'!$E$17:$E$31,MATCH(O$23,'01_INPUTS'!$B$17:$B$31,0))=0,IF(SUMIFS($AD$3:$AD$870,$AC$3:$AC$870,O$23,$AE$3:$AE$870,"&lt;="&amp;$B104,$AF$3:$AF$870,"&gt;="&amp;$B104)=0,0,9.99),SUMIFS($AD$3:$AD$870,$AC$3:$AC$870,O$23,$AE$3:$AE$870,"&lt;="&amp;$B104,$AF$3:$AF$870,"&gt;="&amp;$B104)/INDEX('01_INPUTS'!$E$17:$E$31,MATCH(O$23,'01_INPUTS'!$B$17:$B$31,0)))</f>
        <v>0</v>
      </c>
      <c r="P104" s="61">
        <f>IF(INDEX('01_INPUTS'!$E$17:$E$31,MATCH(P$23,'01_INPUTS'!$B$17:$B$31,0))=0,IF(SUMIFS($AD$3:$AD$870,$AC$3:$AC$870,P$23,$AE$3:$AE$870,"&lt;="&amp;$B104,$AF$3:$AF$870,"&gt;="&amp;$B104)=0,0,9.99),SUMIFS($AD$3:$AD$870,$AC$3:$AC$870,P$23,$AE$3:$AE$870,"&lt;="&amp;$B104,$AF$3:$AF$870,"&gt;="&amp;$B104)/INDEX('01_INPUTS'!$E$17:$E$31,MATCH(P$23,'01_INPUTS'!$B$17:$B$31,0)))</f>
        <v>4</v>
      </c>
      <c r="Q104" s="61">
        <f>IF(INDEX('01_INPUTS'!$E$17:$E$31,MATCH(Q$23,'01_INPUTS'!$B$17:$B$31,0))=0,IF(SUMIFS($AD$3:$AD$870,$AC$3:$AC$870,Q$23,$AE$3:$AE$870,"&lt;="&amp;$B104,$AF$3:$AF$870,"&gt;="&amp;$B104)=0,0,9.99),SUMIFS($AD$3:$AD$870,$AC$3:$AC$870,Q$23,$AE$3:$AE$870,"&lt;="&amp;$B104,$AF$3:$AF$870,"&gt;="&amp;$B104)/INDEX('01_INPUTS'!$E$17:$E$31,MATCH(Q$23,'01_INPUTS'!$B$17:$B$31,0)))</f>
        <v>0.75</v>
      </c>
      <c r="R104" s="61">
        <f>IF(INDEX('01_INPUTS'!$E$17:$E$31,MATCH(R$23,'01_INPUTS'!$B$17:$B$31,0))=0,IF(SUMIFS($AD$3:$AD$870,$AC$3:$AC$870,R$23,$AE$3:$AE$870,"&lt;="&amp;$B104,$AF$3:$AF$870,"&gt;="&amp;$B104)=0,0,9.99),SUMIFS($AD$3:$AD$870,$AC$3:$AC$870,R$23,$AE$3:$AE$870,"&lt;="&amp;$B104,$AF$3:$AF$870,"&gt;="&amp;$B104)/INDEX('01_INPUTS'!$E$17:$E$31,MATCH(R$23,'01_INPUTS'!$B$17:$B$31,0)))</f>
        <v>0</v>
      </c>
      <c r="S104">
        <f t="shared" si="10"/>
        <v>16</v>
      </c>
      <c r="T104">
        <f>SUM('01_INPUTS'!$E$17:$E$31)</f>
        <v>20</v>
      </c>
      <c r="U104" s="61">
        <f t="shared" si="11"/>
        <v>0.8</v>
      </c>
      <c r="V104">
        <f t="shared" si="12"/>
        <v>4</v>
      </c>
      <c r="W104" t="str">
        <f t="shared" si="13"/>
        <v>ROJO</v>
      </c>
      <c r="AA104" s="51" t="str">
        <f>'Sites Master'!$B$3</f>
        <v>Site 02</v>
      </c>
      <c r="AB104" s="51" t="str">
        <f>'Phase-Resource Allocation'!$B$103</f>
        <v>Go Live</v>
      </c>
      <c r="AC104" s="51" t="str">
        <f>'Phase-Resource Allocation'!$C$103</f>
        <v>Solution Architect</v>
      </c>
      <c r="AD104" s="60">
        <f>'Phase-Resource Allocation'!$D$103</f>
        <v>1</v>
      </c>
      <c r="AE104" s="51">
        <f>IFERROR(INDEX('02_SCHEDULE'!$K$5:$K$124,MATCH(AA104&amp;"|"&amp;AB104,'02_SCHEDULE'!$M$5:$M$124,0)),0)</f>
        <v>12</v>
      </c>
      <c r="AF104" s="51">
        <f>IFERROR(INDEX('02_SCHEDULE'!$L$5:$L$124,MATCH(AA104&amp;"|"&amp;AB104,'02_SCHEDULE'!$M$5:$M$124,0)),0)</f>
        <v>12</v>
      </c>
      <c r="AG104" s="51">
        <f t="shared" si="9"/>
        <v>1</v>
      </c>
    </row>
    <row r="105" spans="2:33" x14ac:dyDescent="0.3">
      <c r="B105">
        <f>82</f>
        <v>82</v>
      </c>
      <c r="C105" s="55">
        <f>'01_INPUTS'!$C$7+(82-1)*7</f>
        <v>46818</v>
      </c>
      <c r="D105" s="61">
        <f>IF(INDEX('01_INPUTS'!$E$17:$E$31,MATCH(D$23,'01_INPUTS'!$B$17:$B$31,0))=0,IF(SUMIFS($AD$3:$AD$870,$AC$3:$AC$870,D$23,$AE$3:$AE$870,"&lt;="&amp;$B105,$AF$3:$AF$870,"&gt;="&amp;$B105)=0,0,9.99),SUMIFS($AD$3:$AD$870,$AC$3:$AC$870,D$23,$AE$3:$AE$870,"&lt;="&amp;$B105,$AF$3:$AF$870,"&gt;="&amp;$B105)/INDEX('01_INPUTS'!$E$17:$E$31,MATCH(D$23,'01_INPUTS'!$B$17:$B$31,0)))</f>
        <v>1.5</v>
      </c>
      <c r="E105" s="61">
        <f>IF(INDEX('01_INPUTS'!$E$17:$E$31,MATCH(E$23,'01_INPUTS'!$B$17:$B$31,0))=0,IF(SUMIFS($AD$3:$AD$870,$AC$3:$AC$870,E$23,$AE$3:$AE$870,"&lt;="&amp;$B105,$AF$3:$AF$870,"&gt;="&amp;$B105)=0,0,9.99),SUMIFS($AD$3:$AD$870,$AC$3:$AC$870,E$23,$AE$3:$AE$870,"&lt;="&amp;$B105,$AF$3:$AF$870,"&gt;="&amp;$B105)/INDEX('01_INPUTS'!$E$17:$E$31,MATCH(E$23,'01_INPUTS'!$B$17:$B$31,0)))</f>
        <v>0</v>
      </c>
      <c r="F105" s="61">
        <f>IF(INDEX('01_INPUTS'!$E$17:$E$31,MATCH(F$23,'01_INPUTS'!$B$17:$B$31,0))=0,IF(SUMIFS($AD$3:$AD$870,$AC$3:$AC$870,F$23,$AE$3:$AE$870,"&lt;="&amp;$B105,$AF$3:$AF$870,"&gt;="&amp;$B105)=0,0,9.99),SUMIFS($AD$3:$AD$870,$AC$3:$AC$870,F$23,$AE$3:$AE$870,"&lt;="&amp;$B105,$AF$3:$AF$870,"&gt;="&amp;$B105)/INDEX('01_INPUTS'!$E$17:$E$31,MATCH(F$23,'01_INPUTS'!$B$17:$B$31,0)))</f>
        <v>0</v>
      </c>
      <c r="G105" s="61">
        <f>IF(INDEX('01_INPUTS'!$E$17:$E$31,MATCH(G$23,'01_INPUTS'!$B$17:$B$31,0))=0,IF(SUMIFS($AD$3:$AD$870,$AC$3:$AC$870,G$23,$AE$3:$AE$870,"&lt;="&amp;$B105,$AF$3:$AF$870,"&gt;="&amp;$B105)=0,0,9.99),SUMIFS($AD$3:$AD$870,$AC$3:$AC$870,G$23,$AE$3:$AE$870,"&lt;="&amp;$B105,$AF$3:$AF$870,"&gt;="&amp;$B105)/INDEX('01_INPUTS'!$E$17:$E$31,MATCH(G$23,'01_INPUTS'!$B$17:$B$31,0)))</f>
        <v>0</v>
      </c>
      <c r="H105" s="61">
        <f>IF(INDEX('01_INPUTS'!$E$17:$E$31,MATCH(H$23,'01_INPUTS'!$B$17:$B$31,0))=0,IF(SUMIFS($AD$3:$AD$870,$AC$3:$AC$870,H$23,$AE$3:$AE$870,"&lt;="&amp;$B105,$AF$3:$AF$870,"&gt;="&amp;$B105)=0,0,9.99),SUMIFS($AD$3:$AD$870,$AC$3:$AC$870,H$23,$AE$3:$AE$870,"&lt;="&amp;$B105,$AF$3:$AF$870,"&gt;="&amp;$B105)/INDEX('01_INPUTS'!$E$17:$E$31,MATCH(H$23,'01_INPUTS'!$B$17:$B$31,0)))</f>
        <v>1</v>
      </c>
      <c r="I105" s="61">
        <f>IF(INDEX('01_INPUTS'!$E$17:$E$31,MATCH(I$23,'01_INPUTS'!$B$17:$B$31,0))=0,IF(SUMIFS($AD$3:$AD$870,$AC$3:$AC$870,I$23,$AE$3:$AE$870,"&lt;="&amp;$B105,$AF$3:$AF$870,"&gt;="&amp;$B105)=0,0,9.99),SUMIFS($AD$3:$AD$870,$AC$3:$AC$870,I$23,$AE$3:$AE$870,"&lt;="&amp;$B105,$AF$3:$AF$870,"&gt;="&amp;$B105)/INDEX('01_INPUTS'!$E$17:$E$31,MATCH(I$23,'01_INPUTS'!$B$17:$B$31,0)))</f>
        <v>1</v>
      </c>
      <c r="J105" s="61">
        <f>IF(INDEX('01_INPUTS'!$E$17:$E$31,MATCH(J$23,'01_INPUTS'!$B$17:$B$31,0))=0,IF(SUMIFS($AD$3:$AD$870,$AC$3:$AC$870,J$23,$AE$3:$AE$870,"&lt;="&amp;$B105,$AF$3:$AF$870,"&gt;="&amp;$B105)=0,0,9.99),SUMIFS($AD$3:$AD$870,$AC$3:$AC$870,J$23,$AE$3:$AE$870,"&lt;="&amp;$B105,$AF$3:$AF$870,"&gt;="&amp;$B105)/INDEX('01_INPUTS'!$E$17:$E$31,MATCH(J$23,'01_INPUTS'!$B$17:$B$31,0)))</f>
        <v>1.5</v>
      </c>
      <c r="K105" s="61">
        <f>IF(INDEX('01_INPUTS'!$E$17:$E$31,MATCH(K$23,'01_INPUTS'!$B$17:$B$31,0))=0,IF(SUMIFS($AD$3:$AD$870,$AC$3:$AC$870,K$23,$AE$3:$AE$870,"&lt;="&amp;$B105,$AF$3:$AF$870,"&gt;="&amp;$B105)=0,0,9.99),SUMIFS($AD$3:$AD$870,$AC$3:$AC$870,K$23,$AE$3:$AE$870,"&lt;="&amp;$B105,$AF$3:$AF$870,"&gt;="&amp;$B105)/INDEX('01_INPUTS'!$E$17:$E$31,MATCH(K$23,'01_INPUTS'!$B$17:$B$31,0)))</f>
        <v>1.5</v>
      </c>
      <c r="L105" s="61">
        <f>IF(INDEX('01_INPUTS'!$E$17:$E$31,MATCH(L$23,'01_INPUTS'!$B$17:$B$31,0))=0,IF(SUMIFS($AD$3:$AD$870,$AC$3:$AC$870,L$23,$AE$3:$AE$870,"&lt;="&amp;$B105,$AF$3:$AF$870,"&gt;="&amp;$B105)=0,0,9.99),SUMIFS($AD$3:$AD$870,$AC$3:$AC$870,L$23,$AE$3:$AE$870,"&lt;="&amp;$B105,$AF$3:$AF$870,"&gt;="&amp;$B105)/INDEX('01_INPUTS'!$E$17:$E$31,MATCH(L$23,'01_INPUTS'!$B$17:$B$31,0)))</f>
        <v>1.5</v>
      </c>
      <c r="M105" s="61">
        <f>IF(INDEX('01_INPUTS'!$E$17:$E$31,MATCH(M$23,'01_INPUTS'!$B$17:$B$31,0))=0,IF(SUMIFS($AD$3:$AD$870,$AC$3:$AC$870,M$23,$AE$3:$AE$870,"&lt;="&amp;$B105,$AF$3:$AF$870,"&gt;="&amp;$B105)=0,0,9.99),SUMIFS($AD$3:$AD$870,$AC$3:$AC$870,M$23,$AE$3:$AE$870,"&lt;="&amp;$B105,$AF$3:$AF$870,"&gt;="&amp;$B105)/INDEX('01_INPUTS'!$E$17:$E$31,MATCH(M$23,'01_INPUTS'!$B$17:$B$31,0)))</f>
        <v>1.5</v>
      </c>
      <c r="N105" s="61">
        <f>IF(INDEX('01_INPUTS'!$E$17:$E$31,MATCH(N$23,'01_INPUTS'!$B$17:$B$31,0))=0,IF(SUMIFS($AD$3:$AD$870,$AC$3:$AC$870,N$23,$AE$3:$AE$870,"&lt;="&amp;$B105,$AF$3:$AF$870,"&gt;="&amp;$B105)=0,0,9.99),SUMIFS($AD$3:$AD$870,$AC$3:$AC$870,N$23,$AE$3:$AE$870,"&lt;="&amp;$B105,$AF$3:$AF$870,"&gt;="&amp;$B105)/INDEX('01_INPUTS'!$E$17:$E$31,MATCH(N$23,'01_INPUTS'!$B$17:$B$31,0)))</f>
        <v>1.5</v>
      </c>
      <c r="O105" s="61">
        <f>IF(INDEX('01_INPUTS'!$E$17:$E$31,MATCH(O$23,'01_INPUTS'!$B$17:$B$31,0))=0,IF(SUMIFS($AD$3:$AD$870,$AC$3:$AC$870,O$23,$AE$3:$AE$870,"&lt;="&amp;$B105,$AF$3:$AF$870,"&gt;="&amp;$B105)=0,0,9.99),SUMIFS($AD$3:$AD$870,$AC$3:$AC$870,O$23,$AE$3:$AE$870,"&lt;="&amp;$B105,$AF$3:$AF$870,"&gt;="&amp;$B105)/INDEX('01_INPUTS'!$E$17:$E$31,MATCH(O$23,'01_INPUTS'!$B$17:$B$31,0)))</f>
        <v>0</v>
      </c>
      <c r="P105" s="61">
        <f>IF(INDEX('01_INPUTS'!$E$17:$E$31,MATCH(P$23,'01_INPUTS'!$B$17:$B$31,0))=0,IF(SUMIFS($AD$3:$AD$870,$AC$3:$AC$870,P$23,$AE$3:$AE$870,"&lt;="&amp;$B105,$AF$3:$AF$870,"&gt;="&amp;$B105)=0,0,9.99),SUMIFS($AD$3:$AD$870,$AC$3:$AC$870,P$23,$AE$3:$AE$870,"&lt;="&amp;$B105,$AF$3:$AF$870,"&gt;="&amp;$B105)/INDEX('01_INPUTS'!$E$17:$E$31,MATCH(P$23,'01_INPUTS'!$B$17:$B$31,0)))</f>
        <v>4</v>
      </c>
      <c r="Q105" s="61">
        <f>IF(INDEX('01_INPUTS'!$E$17:$E$31,MATCH(Q$23,'01_INPUTS'!$B$17:$B$31,0))=0,IF(SUMIFS($AD$3:$AD$870,$AC$3:$AC$870,Q$23,$AE$3:$AE$870,"&lt;="&amp;$B105,$AF$3:$AF$870,"&gt;="&amp;$B105)=0,0,9.99),SUMIFS($AD$3:$AD$870,$AC$3:$AC$870,Q$23,$AE$3:$AE$870,"&lt;="&amp;$B105,$AF$3:$AF$870,"&gt;="&amp;$B105)/INDEX('01_INPUTS'!$E$17:$E$31,MATCH(Q$23,'01_INPUTS'!$B$17:$B$31,0)))</f>
        <v>0.75</v>
      </c>
      <c r="R105" s="61">
        <f>IF(INDEX('01_INPUTS'!$E$17:$E$31,MATCH(R$23,'01_INPUTS'!$B$17:$B$31,0))=0,IF(SUMIFS($AD$3:$AD$870,$AC$3:$AC$870,R$23,$AE$3:$AE$870,"&lt;="&amp;$B105,$AF$3:$AF$870,"&gt;="&amp;$B105)=0,0,9.99),SUMIFS($AD$3:$AD$870,$AC$3:$AC$870,R$23,$AE$3:$AE$870,"&lt;="&amp;$B105,$AF$3:$AF$870,"&gt;="&amp;$B105)/INDEX('01_INPUTS'!$E$17:$E$31,MATCH(R$23,'01_INPUTS'!$B$17:$B$31,0)))</f>
        <v>0</v>
      </c>
      <c r="S105">
        <f t="shared" si="10"/>
        <v>20</v>
      </c>
      <c r="T105">
        <f>SUM('01_INPUTS'!$E$17:$E$31)</f>
        <v>20</v>
      </c>
      <c r="U105" s="61">
        <f t="shared" si="11"/>
        <v>1</v>
      </c>
      <c r="V105">
        <f t="shared" si="12"/>
        <v>7</v>
      </c>
      <c r="W105" t="str">
        <f t="shared" si="13"/>
        <v>ROJO</v>
      </c>
      <c r="AA105" s="51" t="str">
        <f>'Sites Master'!$B$3</f>
        <v>Site 02</v>
      </c>
      <c r="AB105" s="51" t="str">
        <f>'Phase-Resource Allocation'!$B$104</f>
        <v>Go Live</v>
      </c>
      <c r="AC105" s="51" t="str">
        <f>'Phase-Resource Allocation'!$C$104</f>
        <v>Change Management Lead</v>
      </c>
      <c r="AD105" s="60">
        <f>'Phase-Resource Allocation'!$D$104</f>
        <v>1</v>
      </c>
      <c r="AE105" s="51">
        <f>IFERROR(INDEX('02_SCHEDULE'!$K$5:$K$124,MATCH(AA105&amp;"|"&amp;AB105,'02_SCHEDULE'!$M$5:$M$124,0)),0)</f>
        <v>12</v>
      </c>
      <c r="AF105" s="51">
        <f>IFERROR(INDEX('02_SCHEDULE'!$L$5:$L$124,MATCH(AA105&amp;"|"&amp;AB105,'02_SCHEDULE'!$M$5:$M$124,0)),0)</f>
        <v>12</v>
      </c>
      <c r="AG105" s="51">
        <f t="shared" si="9"/>
        <v>1</v>
      </c>
    </row>
    <row r="106" spans="2:33" x14ac:dyDescent="0.3">
      <c r="B106">
        <f>83</f>
        <v>83</v>
      </c>
      <c r="C106" s="55">
        <f>'01_INPUTS'!$C$7+(83-1)*7</f>
        <v>46825</v>
      </c>
      <c r="D106" s="61">
        <f>IF(INDEX('01_INPUTS'!$E$17:$E$31,MATCH(D$23,'01_INPUTS'!$B$17:$B$31,0))=0,IF(SUMIFS($AD$3:$AD$870,$AC$3:$AC$870,D$23,$AE$3:$AE$870,"&lt;="&amp;$B106,$AF$3:$AF$870,"&gt;="&amp;$B106)=0,0,9.99),SUMIFS($AD$3:$AD$870,$AC$3:$AC$870,D$23,$AE$3:$AE$870,"&lt;="&amp;$B106,$AF$3:$AF$870,"&gt;="&amp;$B106)/INDEX('01_INPUTS'!$E$17:$E$31,MATCH(D$23,'01_INPUTS'!$B$17:$B$31,0)))</f>
        <v>1</v>
      </c>
      <c r="E106" s="61">
        <f>IF(INDEX('01_INPUTS'!$E$17:$E$31,MATCH(E$23,'01_INPUTS'!$B$17:$B$31,0))=0,IF(SUMIFS($AD$3:$AD$870,$AC$3:$AC$870,E$23,$AE$3:$AE$870,"&lt;="&amp;$B106,$AF$3:$AF$870,"&gt;="&amp;$B106)=0,0,9.99),SUMIFS($AD$3:$AD$870,$AC$3:$AC$870,E$23,$AE$3:$AE$870,"&lt;="&amp;$B106,$AF$3:$AF$870,"&gt;="&amp;$B106)/INDEX('01_INPUTS'!$E$17:$E$31,MATCH(E$23,'01_INPUTS'!$B$17:$B$31,0)))</f>
        <v>0</v>
      </c>
      <c r="F106" s="61">
        <f>IF(INDEX('01_INPUTS'!$E$17:$E$31,MATCH(F$23,'01_INPUTS'!$B$17:$B$31,0))=0,IF(SUMIFS($AD$3:$AD$870,$AC$3:$AC$870,F$23,$AE$3:$AE$870,"&lt;="&amp;$B106,$AF$3:$AF$870,"&gt;="&amp;$B106)=0,0,9.99),SUMIFS($AD$3:$AD$870,$AC$3:$AC$870,F$23,$AE$3:$AE$870,"&lt;="&amp;$B106,$AF$3:$AF$870,"&gt;="&amp;$B106)/INDEX('01_INPUTS'!$E$17:$E$31,MATCH(F$23,'01_INPUTS'!$B$17:$B$31,0)))</f>
        <v>0</v>
      </c>
      <c r="G106" s="61">
        <f>IF(INDEX('01_INPUTS'!$E$17:$E$31,MATCH(G$23,'01_INPUTS'!$B$17:$B$31,0))=0,IF(SUMIFS($AD$3:$AD$870,$AC$3:$AC$870,G$23,$AE$3:$AE$870,"&lt;="&amp;$B106,$AF$3:$AF$870,"&gt;="&amp;$B106)=0,0,9.99),SUMIFS($AD$3:$AD$870,$AC$3:$AC$870,G$23,$AE$3:$AE$870,"&lt;="&amp;$B106,$AF$3:$AF$870,"&gt;="&amp;$B106)/INDEX('01_INPUTS'!$E$17:$E$31,MATCH(G$23,'01_INPUTS'!$B$17:$B$31,0)))</f>
        <v>0</v>
      </c>
      <c r="H106" s="61">
        <f>IF(INDEX('01_INPUTS'!$E$17:$E$31,MATCH(H$23,'01_INPUTS'!$B$17:$B$31,0))=0,IF(SUMIFS($AD$3:$AD$870,$AC$3:$AC$870,H$23,$AE$3:$AE$870,"&lt;="&amp;$B106,$AF$3:$AF$870,"&gt;="&amp;$B106)=0,0,9.99),SUMIFS($AD$3:$AD$870,$AC$3:$AC$870,H$23,$AE$3:$AE$870,"&lt;="&amp;$B106,$AF$3:$AF$870,"&gt;="&amp;$B106)/INDEX('01_INPUTS'!$E$17:$E$31,MATCH(H$23,'01_INPUTS'!$B$17:$B$31,0)))</f>
        <v>1</v>
      </c>
      <c r="I106" s="61">
        <f>IF(INDEX('01_INPUTS'!$E$17:$E$31,MATCH(I$23,'01_INPUTS'!$B$17:$B$31,0))=0,IF(SUMIFS($AD$3:$AD$870,$AC$3:$AC$870,I$23,$AE$3:$AE$870,"&lt;="&amp;$B106,$AF$3:$AF$870,"&gt;="&amp;$B106)=0,0,9.99),SUMIFS($AD$3:$AD$870,$AC$3:$AC$870,I$23,$AE$3:$AE$870,"&lt;="&amp;$B106,$AF$3:$AF$870,"&gt;="&amp;$B106)/INDEX('01_INPUTS'!$E$17:$E$31,MATCH(I$23,'01_INPUTS'!$B$17:$B$31,0)))</f>
        <v>1</v>
      </c>
      <c r="J106" s="61">
        <f>IF(INDEX('01_INPUTS'!$E$17:$E$31,MATCH(J$23,'01_INPUTS'!$B$17:$B$31,0))=0,IF(SUMIFS($AD$3:$AD$870,$AC$3:$AC$870,J$23,$AE$3:$AE$870,"&lt;="&amp;$B106,$AF$3:$AF$870,"&gt;="&amp;$B106)=0,0,9.99),SUMIFS($AD$3:$AD$870,$AC$3:$AC$870,J$23,$AE$3:$AE$870,"&lt;="&amp;$B106,$AF$3:$AF$870,"&gt;="&amp;$B106)/INDEX('01_INPUTS'!$E$17:$E$31,MATCH(J$23,'01_INPUTS'!$B$17:$B$31,0)))</f>
        <v>2</v>
      </c>
      <c r="K106" s="61">
        <f>IF(INDEX('01_INPUTS'!$E$17:$E$31,MATCH(K$23,'01_INPUTS'!$B$17:$B$31,0))=0,IF(SUMIFS($AD$3:$AD$870,$AC$3:$AC$870,K$23,$AE$3:$AE$870,"&lt;="&amp;$B106,$AF$3:$AF$870,"&gt;="&amp;$B106)=0,0,9.99),SUMIFS($AD$3:$AD$870,$AC$3:$AC$870,K$23,$AE$3:$AE$870,"&lt;="&amp;$B106,$AF$3:$AF$870,"&gt;="&amp;$B106)/INDEX('01_INPUTS'!$E$17:$E$31,MATCH(K$23,'01_INPUTS'!$B$17:$B$31,0)))</f>
        <v>1</v>
      </c>
      <c r="L106" s="61">
        <f>IF(INDEX('01_INPUTS'!$E$17:$E$31,MATCH(L$23,'01_INPUTS'!$B$17:$B$31,0))=0,IF(SUMIFS($AD$3:$AD$870,$AC$3:$AC$870,L$23,$AE$3:$AE$870,"&lt;="&amp;$B106,$AF$3:$AF$870,"&gt;="&amp;$B106)=0,0,9.99),SUMIFS($AD$3:$AD$870,$AC$3:$AC$870,L$23,$AE$3:$AE$870,"&lt;="&amp;$B106,$AF$3:$AF$870,"&gt;="&amp;$B106)/INDEX('01_INPUTS'!$E$17:$E$31,MATCH(L$23,'01_INPUTS'!$B$17:$B$31,0)))</f>
        <v>1</v>
      </c>
      <c r="M106" s="61">
        <f>IF(INDEX('01_INPUTS'!$E$17:$E$31,MATCH(M$23,'01_INPUTS'!$B$17:$B$31,0))=0,IF(SUMIFS($AD$3:$AD$870,$AC$3:$AC$870,M$23,$AE$3:$AE$870,"&lt;="&amp;$B106,$AF$3:$AF$870,"&gt;="&amp;$B106)=0,0,9.99),SUMIFS($AD$3:$AD$870,$AC$3:$AC$870,M$23,$AE$3:$AE$870,"&lt;="&amp;$B106,$AF$3:$AF$870,"&gt;="&amp;$B106)/INDEX('01_INPUTS'!$E$17:$E$31,MATCH(M$23,'01_INPUTS'!$B$17:$B$31,0)))</f>
        <v>1</v>
      </c>
      <c r="N106" s="61">
        <f>IF(INDEX('01_INPUTS'!$E$17:$E$31,MATCH(N$23,'01_INPUTS'!$B$17:$B$31,0))=0,IF(SUMIFS($AD$3:$AD$870,$AC$3:$AC$870,N$23,$AE$3:$AE$870,"&lt;="&amp;$B106,$AF$3:$AF$870,"&gt;="&amp;$B106)=0,0,9.99),SUMIFS($AD$3:$AD$870,$AC$3:$AC$870,N$23,$AE$3:$AE$870,"&lt;="&amp;$B106,$AF$3:$AF$870,"&gt;="&amp;$B106)/INDEX('01_INPUTS'!$E$17:$E$31,MATCH(N$23,'01_INPUTS'!$B$17:$B$31,0)))</f>
        <v>1</v>
      </c>
      <c r="O106" s="61">
        <f>IF(INDEX('01_INPUTS'!$E$17:$E$31,MATCH(O$23,'01_INPUTS'!$B$17:$B$31,0))=0,IF(SUMIFS($AD$3:$AD$870,$AC$3:$AC$870,O$23,$AE$3:$AE$870,"&lt;="&amp;$B106,$AF$3:$AF$870,"&gt;="&amp;$B106)=0,0,9.99),SUMIFS($AD$3:$AD$870,$AC$3:$AC$870,O$23,$AE$3:$AE$870,"&lt;="&amp;$B106,$AF$3:$AF$870,"&gt;="&amp;$B106)/INDEX('01_INPUTS'!$E$17:$E$31,MATCH(O$23,'01_INPUTS'!$B$17:$B$31,0)))</f>
        <v>0</v>
      </c>
      <c r="P106" s="61">
        <f>IF(INDEX('01_INPUTS'!$E$17:$E$31,MATCH(P$23,'01_INPUTS'!$B$17:$B$31,0))=0,IF(SUMIFS($AD$3:$AD$870,$AC$3:$AC$870,P$23,$AE$3:$AE$870,"&lt;="&amp;$B106,$AF$3:$AF$870,"&gt;="&amp;$B106)=0,0,9.99),SUMIFS($AD$3:$AD$870,$AC$3:$AC$870,P$23,$AE$3:$AE$870,"&lt;="&amp;$B106,$AF$3:$AF$870,"&gt;="&amp;$B106)/INDEX('01_INPUTS'!$E$17:$E$31,MATCH(P$23,'01_INPUTS'!$B$17:$B$31,0)))</f>
        <v>6</v>
      </c>
      <c r="Q106" s="61">
        <f>IF(INDEX('01_INPUTS'!$E$17:$E$31,MATCH(Q$23,'01_INPUTS'!$B$17:$B$31,0))=0,IF(SUMIFS($AD$3:$AD$870,$AC$3:$AC$870,Q$23,$AE$3:$AE$870,"&lt;="&amp;$B106,$AF$3:$AF$870,"&gt;="&amp;$B106)=0,0,9.99),SUMIFS($AD$3:$AD$870,$AC$3:$AC$870,Q$23,$AE$3:$AE$870,"&lt;="&amp;$B106,$AF$3:$AF$870,"&gt;="&amp;$B106)/INDEX('01_INPUTS'!$E$17:$E$31,MATCH(Q$23,'01_INPUTS'!$B$17:$B$31,0)))</f>
        <v>0.5</v>
      </c>
      <c r="R106" s="61">
        <f>IF(INDEX('01_INPUTS'!$E$17:$E$31,MATCH(R$23,'01_INPUTS'!$B$17:$B$31,0))=0,IF(SUMIFS($AD$3:$AD$870,$AC$3:$AC$870,R$23,$AE$3:$AE$870,"&lt;="&amp;$B106,$AF$3:$AF$870,"&gt;="&amp;$B106)=0,0,9.99),SUMIFS($AD$3:$AD$870,$AC$3:$AC$870,R$23,$AE$3:$AE$870,"&lt;="&amp;$B106,$AF$3:$AF$870,"&gt;="&amp;$B106)/INDEX('01_INPUTS'!$E$17:$E$31,MATCH(R$23,'01_INPUTS'!$B$17:$B$31,0)))</f>
        <v>0</v>
      </c>
      <c r="S106">
        <f t="shared" si="10"/>
        <v>20</v>
      </c>
      <c r="T106">
        <f>SUM('01_INPUTS'!$E$17:$E$31)</f>
        <v>20</v>
      </c>
      <c r="U106" s="61">
        <f t="shared" si="11"/>
        <v>1</v>
      </c>
      <c r="V106">
        <f t="shared" si="12"/>
        <v>2</v>
      </c>
      <c r="W106" t="str">
        <f t="shared" si="13"/>
        <v>ROJO</v>
      </c>
      <c r="AA106" s="51" t="str">
        <f>'Sites Master'!$B$3</f>
        <v>Site 02</v>
      </c>
      <c r="AB106" s="51" t="str">
        <f>'Phase-Resource Allocation'!$B$105</f>
        <v>Go Live</v>
      </c>
      <c r="AC106" s="51" t="str">
        <f>'Phase-Resource Allocation'!$C$105</f>
        <v>SAP Integrations Lead</v>
      </c>
      <c r="AD106" s="60">
        <f>'Phase-Resource Allocation'!$D$105</f>
        <v>1</v>
      </c>
      <c r="AE106" s="51">
        <f>IFERROR(INDEX('02_SCHEDULE'!$K$5:$K$124,MATCH(AA106&amp;"|"&amp;AB106,'02_SCHEDULE'!$M$5:$M$124,0)),0)</f>
        <v>12</v>
      </c>
      <c r="AF106" s="51">
        <f>IFERROR(INDEX('02_SCHEDULE'!$L$5:$L$124,MATCH(AA106&amp;"|"&amp;AB106,'02_SCHEDULE'!$M$5:$M$124,0)),0)</f>
        <v>12</v>
      </c>
      <c r="AG106" s="51">
        <f t="shared" si="9"/>
        <v>1</v>
      </c>
    </row>
    <row r="107" spans="2:33" x14ac:dyDescent="0.3">
      <c r="B107">
        <f>84</f>
        <v>84</v>
      </c>
      <c r="C107" s="55">
        <f>'01_INPUTS'!$C$7+(84-1)*7</f>
        <v>46832</v>
      </c>
      <c r="D107" s="61">
        <f>IF(INDEX('01_INPUTS'!$E$17:$E$31,MATCH(D$23,'01_INPUTS'!$B$17:$B$31,0))=0,IF(SUMIFS($AD$3:$AD$870,$AC$3:$AC$870,D$23,$AE$3:$AE$870,"&lt;="&amp;$B107,$AF$3:$AF$870,"&gt;="&amp;$B107)=0,0,9.99),SUMIFS($AD$3:$AD$870,$AC$3:$AC$870,D$23,$AE$3:$AE$870,"&lt;="&amp;$B107,$AF$3:$AF$870,"&gt;="&amp;$B107)/INDEX('01_INPUTS'!$E$17:$E$31,MATCH(D$23,'01_INPUTS'!$B$17:$B$31,0)))</f>
        <v>1</v>
      </c>
      <c r="E107" s="61">
        <f>IF(INDEX('01_INPUTS'!$E$17:$E$31,MATCH(E$23,'01_INPUTS'!$B$17:$B$31,0))=0,IF(SUMIFS($AD$3:$AD$870,$AC$3:$AC$870,E$23,$AE$3:$AE$870,"&lt;="&amp;$B107,$AF$3:$AF$870,"&gt;="&amp;$B107)=0,0,9.99),SUMIFS($AD$3:$AD$870,$AC$3:$AC$870,E$23,$AE$3:$AE$870,"&lt;="&amp;$B107,$AF$3:$AF$870,"&gt;="&amp;$B107)/INDEX('01_INPUTS'!$E$17:$E$31,MATCH(E$23,'01_INPUTS'!$B$17:$B$31,0)))</f>
        <v>0</v>
      </c>
      <c r="F107" s="61">
        <f>IF(INDEX('01_INPUTS'!$E$17:$E$31,MATCH(F$23,'01_INPUTS'!$B$17:$B$31,0))=0,IF(SUMIFS($AD$3:$AD$870,$AC$3:$AC$870,F$23,$AE$3:$AE$870,"&lt;="&amp;$B107,$AF$3:$AF$870,"&gt;="&amp;$B107)=0,0,9.99),SUMIFS($AD$3:$AD$870,$AC$3:$AC$870,F$23,$AE$3:$AE$870,"&lt;="&amp;$B107,$AF$3:$AF$870,"&gt;="&amp;$B107)/INDEX('01_INPUTS'!$E$17:$E$31,MATCH(F$23,'01_INPUTS'!$B$17:$B$31,0)))</f>
        <v>0</v>
      </c>
      <c r="G107" s="61">
        <f>IF(INDEX('01_INPUTS'!$E$17:$E$31,MATCH(G$23,'01_INPUTS'!$B$17:$B$31,0))=0,IF(SUMIFS($AD$3:$AD$870,$AC$3:$AC$870,G$23,$AE$3:$AE$870,"&lt;="&amp;$B107,$AF$3:$AF$870,"&gt;="&amp;$B107)=0,0,9.99),SUMIFS($AD$3:$AD$870,$AC$3:$AC$870,G$23,$AE$3:$AE$870,"&lt;="&amp;$B107,$AF$3:$AF$870,"&gt;="&amp;$B107)/INDEX('01_INPUTS'!$E$17:$E$31,MATCH(G$23,'01_INPUTS'!$B$17:$B$31,0)))</f>
        <v>0</v>
      </c>
      <c r="H107" s="61">
        <f>IF(INDEX('01_INPUTS'!$E$17:$E$31,MATCH(H$23,'01_INPUTS'!$B$17:$B$31,0))=0,IF(SUMIFS($AD$3:$AD$870,$AC$3:$AC$870,H$23,$AE$3:$AE$870,"&lt;="&amp;$B107,$AF$3:$AF$870,"&gt;="&amp;$B107)=0,0,9.99),SUMIFS($AD$3:$AD$870,$AC$3:$AC$870,H$23,$AE$3:$AE$870,"&lt;="&amp;$B107,$AF$3:$AF$870,"&gt;="&amp;$B107)/INDEX('01_INPUTS'!$E$17:$E$31,MATCH(H$23,'01_INPUTS'!$B$17:$B$31,0)))</f>
        <v>1</v>
      </c>
      <c r="I107" s="61">
        <f>IF(INDEX('01_INPUTS'!$E$17:$E$31,MATCH(I$23,'01_INPUTS'!$B$17:$B$31,0))=0,IF(SUMIFS($AD$3:$AD$870,$AC$3:$AC$870,I$23,$AE$3:$AE$870,"&lt;="&amp;$B107,$AF$3:$AF$870,"&gt;="&amp;$B107)=0,0,9.99),SUMIFS($AD$3:$AD$870,$AC$3:$AC$870,I$23,$AE$3:$AE$870,"&lt;="&amp;$B107,$AF$3:$AF$870,"&gt;="&amp;$B107)/INDEX('01_INPUTS'!$E$17:$E$31,MATCH(I$23,'01_INPUTS'!$B$17:$B$31,0)))</f>
        <v>1</v>
      </c>
      <c r="J107" s="61">
        <f>IF(INDEX('01_INPUTS'!$E$17:$E$31,MATCH(J$23,'01_INPUTS'!$B$17:$B$31,0))=0,IF(SUMIFS($AD$3:$AD$870,$AC$3:$AC$870,J$23,$AE$3:$AE$870,"&lt;="&amp;$B107,$AF$3:$AF$870,"&gt;="&amp;$B107)=0,0,9.99),SUMIFS($AD$3:$AD$870,$AC$3:$AC$870,J$23,$AE$3:$AE$870,"&lt;="&amp;$B107,$AF$3:$AF$870,"&gt;="&amp;$B107)/INDEX('01_INPUTS'!$E$17:$E$31,MATCH(J$23,'01_INPUTS'!$B$17:$B$31,0)))</f>
        <v>2</v>
      </c>
      <c r="K107" s="61">
        <f>IF(INDEX('01_INPUTS'!$E$17:$E$31,MATCH(K$23,'01_INPUTS'!$B$17:$B$31,0))=0,IF(SUMIFS($AD$3:$AD$870,$AC$3:$AC$870,K$23,$AE$3:$AE$870,"&lt;="&amp;$B107,$AF$3:$AF$870,"&gt;="&amp;$B107)=0,0,9.99),SUMIFS($AD$3:$AD$870,$AC$3:$AC$870,K$23,$AE$3:$AE$870,"&lt;="&amp;$B107,$AF$3:$AF$870,"&gt;="&amp;$B107)/INDEX('01_INPUTS'!$E$17:$E$31,MATCH(K$23,'01_INPUTS'!$B$17:$B$31,0)))</f>
        <v>1</v>
      </c>
      <c r="L107" s="61">
        <f>IF(INDEX('01_INPUTS'!$E$17:$E$31,MATCH(L$23,'01_INPUTS'!$B$17:$B$31,0))=0,IF(SUMIFS($AD$3:$AD$870,$AC$3:$AC$870,L$23,$AE$3:$AE$870,"&lt;="&amp;$B107,$AF$3:$AF$870,"&gt;="&amp;$B107)=0,0,9.99),SUMIFS($AD$3:$AD$870,$AC$3:$AC$870,L$23,$AE$3:$AE$870,"&lt;="&amp;$B107,$AF$3:$AF$870,"&gt;="&amp;$B107)/INDEX('01_INPUTS'!$E$17:$E$31,MATCH(L$23,'01_INPUTS'!$B$17:$B$31,0)))</f>
        <v>1</v>
      </c>
      <c r="M107" s="61">
        <f>IF(INDEX('01_INPUTS'!$E$17:$E$31,MATCH(M$23,'01_INPUTS'!$B$17:$B$31,0))=0,IF(SUMIFS($AD$3:$AD$870,$AC$3:$AC$870,M$23,$AE$3:$AE$870,"&lt;="&amp;$B107,$AF$3:$AF$870,"&gt;="&amp;$B107)=0,0,9.99),SUMIFS($AD$3:$AD$870,$AC$3:$AC$870,M$23,$AE$3:$AE$870,"&lt;="&amp;$B107,$AF$3:$AF$870,"&gt;="&amp;$B107)/INDEX('01_INPUTS'!$E$17:$E$31,MATCH(M$23,'01_INPUTS'!$B$17:$B$31,0)))</f>
        <v>1</v>
      </c>
      <c r="N107" s="61">
        <f>IF(INDEX('01_INPUTS'!$E$17:$E$31,MATCH(N$23,'01_INPUTS'!$B$17:$B$31,0))=0,IF(SUMIFS($AD$3:$AD$870,$AC$3:$AC$870,N$23,$AE$3:$AE$870,"&lt;="&amp;$B107,$AF$3:$AF$870,"&gt;="&amp;$B107)=0,0,9.99),SUMIFS($AD$3:$AD$870,$AC$3:$AC$870,N$23,$AE$3:$AE$870,"&lt;="&amp;$B107,$AF$3:$AF$870,"&gt;="&amp;$B107)/INDEX('01_INPUTS'!$E$17:$E$31,MATCH(N$23,'01_INPUTS'!$B$17:$B$31,0)))</f>
        <v>1</v>
      </c>
      <c r="O107" s="61">
        <f>IF(INDEX('01_INPUTS'!$E$17:$E$31,MATCH(O$23,'01_INPUTS'!$B$17:$B$31,0))=0,IF(SUMIFS($AD$3:$AD$870,$AC$3:$AC$870,O$23,$AE$3:$AE$870,"&lt;="&amp;$B107,$AF$3:$AF$870,"&gt;="&amp;$B107)=0,0,9.99),SUMIFS($AD$3:$AD$870,$AC$3:$AC$870,O$23,$AE$3:$AE$870,"&lt;="&amp;$B107,$AF$3:$AF$870,"&gt;="&amp;$B107)/INDEX('01_INPUTS'!$E$17:$E$31,MATCH(O$23,'01_INPUTS'!$B$17:$B$31,0)))</f>
        <v>0</v>
      </c>
      <c r="P107" s="61">
        <f>IF(INDEX('01_INPUTS'!$E$17:$E$31,MATCH(P$23,'01_INPUTS'!$B$17:$B$31,0))=0,IF(SUMIFS($AD$3:$AD$870,$AC$3:$AC$870,P$23,$AE$3:$AE$870,"&lt;="&amp;$B107,$AF$3:$AF$870,"&gt;="&amp;$B107)=0,0,9.99),SUMIFS($AD$3:$AD$870,$AC$3:$AC$870,P$23,$AE$3:$AE$870,"&lt;="&amp;$B107,$AF$3:$AF$870,"&gt;="&amp;$B107)/INDEX('01_INPUTS'!$E$17:$E$31,MATCH(P$23,'01_INPUTS'!$B$17:$B$31,0)))</f>
        <v>6</v>
      </c>
      <c r="Q107" s="61">
        <f>IF(INDEX('01_INPUTS'!$E$17:$E$31,MATCH(Q$23,'01_INPUTS'!$B$17:$B$31,0))=0,IF(SUMIFS($AD$3:$AD$870,$AC$3:$AC$870,Q$23,$AE$3:$AE$870,"&lt;="&amp;$B107,$AF$3:$AF$870,"&gt;="&amp;$B107)=0,0,9.99),SUMIFS($AD$3:$AD$870,$AC$3:$AC$870,Q$23,$AE$3:$AE$870,"&lt;="&amp;$B107,$AF$3:$AF$870,"&gt;="&amp;$B107)/INDEX('01_INPUTS'!$E$17:$E$31,MATCH(Q$23,'01_INPUTS'!$B$17:$B$31,0)))</f>
        <v>0.5</v>
      </c>
      <c r="R107" s="61">
        <f>IF(INDEX('01_INPUTS'!$E$17:$E$31,MATCH(R$23,'01_INPUTS'!$B$17:$B$31,0))=0,IF(SUMIFS($AD$3:$AD$870,$AC$3:$AC$870,R$23,$AE$3:$AE$870,"&lt;="&amp;$B107,$AF$3:$AF$870,"&gt;="&amp;$B107)=0,0,9.99),SUMIFS($AD$3:$AD$870,$AC$3:$AC$870,R$23,$AE$3:$AE$870,"&lt;="&amp;$B107,$AF$3:$AF$870,"&gt;="&amp;$B107)/INDEX('01_INPUTS'!$E$17:$E$31,MATCH(R$23,'01_INPUTS'!$B$17:$B$31,0)))</f>
        <v>0</v>
      </c>
      <c r="S107">
        <f t="shared" si="10"/>
        <v>20</v>
      </c>
      <c r="T107">
        <f>SUM('01_INPUTS'!$E$17:$E$31)</f>
        <v>20</v>
      </c>
      <c r="U107" s="61">
        <f t="shared" si="11"/>
        <v>1</v>
      </c>
      <c r="V107">
        <f t="shared" si="12"/>
        <v>2</v>
      </c>
      <c r="W107" t="str">
        <f t="shared" si="13"/>
        <v>ROJO</v>
      </c>
      <c r="AA107" s="51" t="str">
        <f>'Sites Master'!$B$3</f>
        <v>Site 02</v>
      </c>
      <c r="AB107" s="51" t="str">
        <f>'Phase-Resource Allocation'!$B$106</f>
        <v>Go Live</v>
      </c>
      <c r="AC107" s="51" t="str">
        <f>'Phase-Resource Allocation'!$C$106</f>
        <v>SAP Integrations Specialist</v>
      </c>
      <c r="AD107" s="60">
        <f>'Phase-Resource Allocation'!$D$106</f>
        <v>1</v>
      </c>
      <c r="AE107" s="51">
        <f>IFERROR(INDEX('02_SCHEDULE'!$K$5:$K$124,MATCH(AA107&amp;"|"&amp;AB107,'02_SCHEDULE'!$M$5:$M$124,0)),0)</f>
        <v>12</v>
      </c>
      <c r="AF107" s="51">
        <f>IFERROR(INDEX('02_SCHEDULE'!$L$5:$L$124,MATCH(AA107&amp;"|"&amp;AB107,'02_SCHEDULE'!$M$5:$M$124,0)),0)</f>
        <v>12</v>
      </c>
      <c r="AG107" s="51">
        <f t="shared" si="9"/>
        <v>1</v>
      </c>
    </row>
    <row r="108" spans="2:33" x14ac:dyDescent="0.3">
      <c r="B108">
        <f>85</f>
        <v>85</v>
      </c>
      <c r="C108" s="55">
        <f>'01_INPUTS'!$C$7+(85-1)*7</f>
        <v>46839</v>
      </c>
      <c r="D108" s="61">
        <f>IF(INDEX('01_INPUTS'!$E$17:$E$31,MATCH(D$23,'01_INPUTS'!$B$17:$B$31,0))=0,IF(SUMIFS($AD$3:$AD$870,$AC$3:$AC$870,D$23,$AE$3:$AE$870,"&lt;="&amp;$B108,$AF$3:$AF$870,"&gt;="&amp;$B108)=0,0,9.99),SUMIFS($AD$3:$AD$870,$AC$3:$AC$870,D$23,$AE$3:$AE$870,"&lt;="&amp;$B108,$AF$3:$AF$870,"&gt;="&amp;$B108)/INDEX('01_INPUTS'!$E$17:$E$31,MATCH(D$23,'01_INPUTS'!$B$17:$B$31,0)))</f>
        <v>0.5</v>
      </c>
      <c r="E108" s="61">
        <f>IF(INDEX('01_INPUTS'!$E$17:$E$31,MATCH(E$23,'01_INPUTS'!$B$17:$B$31,0))=0,IF(SUMIFS($AD$3:$AD$870,$AC$3:$AC$870,E$23,$AE$3:$AE$870,"&lt;="&amp;$B108,$AF$3:$AF$870,"&gt;="&amp;$B108)=0,0,9.99),SUMIFS($AD$3:$AD$870,$AC$3:$AC$870,E$23,$AE$3:$AE$870,"&lt;="&amp;$B108,$AF$3:$AF$870,"&gt;="&amp;$B108)/INDEX('01_INPUTS'!$E$17:$E$31,MATCH(E$23,'01_INPUTS'!$B$17:$B$31,0)))</f>
        <v>0</v>
      </c>
      <c r="F108" s="61">
        <f>IF(INDEX('01_INPUTS'!$E$17:$E$31,MATCH(F$23,'01_INPUTS'!$B$17:$B$31,0))=0,IF(SUMIFS($AD$3:$AD$870,$AC$3:$AC$870,F$23,$AE$3:$AE$870,"&lt;="&amp;$B108,$AF$3:$AF$870,"&gt;="&amp;$B108)=0,0,9.99),SUMIFS($AD$3:$AD$870,$AC$3:$AC$870,F$23,$AE$3:$AE$870,"&lt;="&amp;$B108,$AF$3:$AF$870,"&gt;="&amp;$B108)/INDEX('01_INPUTS'!$E$17:$E$31,MATCH(F$23,'01_INPUTS'!$B$17:$B$31,0)))</f>
        <v>0</v>
      </c>
      <c r="G108" s="61">
        <f>IF(INDEX('01_INPUTS'!$E$17:$E$31,MATCH(G$23,'01_INPUTS'!$B$17:$B$31,0))=0,IF(SUMIFS($AD$3:$AD$870,$AC$3:$AC$870,G$23,$AE$3:$AE$870,"&lt;="&amp;$B108,$AF$3:$AF$870,"&gt;="&amp;$B108)=0,0,9.99),SUMIFS($AD$3:$AD$870,$AC$3:$AC$870,G$23,$AE$3:$AE$870,"&lt;="&amp;$B108,$AF$3:$AF$870,"&gt;="&amp;$B108)/INDEX('01_INPUTS'!$E$17:$E$31,MATCH(G$23,'01_INPUTS'!$B$17:$B$31,0)))</f>
        <v>0</v>
      </c>
      <c r="H108" s="61">
        <f>IF(INDEX('01_INPUTS'!$E$17:$E$31,MATCH(H$23,'01_INPUTS'!$B$17:$B$31,0))=0,IF(SUMIFS($AD$3:$AD$870,$AC$3:$AC$870,H$23,$AE$3:$AE$870,"&lt;="&amp;$B108,$AF$3:$AF$870,"&gt;="&amp;$B108)=0,0,9.99),SUMIFS($AD$3:$AD$870,$AC$3:$AC$870,H$23,$AE$3:$AE$870,"&lt;="&amp;$B108,$AF$3:$AF$870,"&gt;="&amp;$B108)/INDEX('01_INPUTS'!$E$17:$E$31,MATCH(H$23,'01_INPUTS'!$B$17:$B$31,0)))</f>
        <v>0.5</v>
      </c>
      <c r="I108" s="61">
        <f>IF(INDEX('01_INPUTS'!$E$17:$E$31,MATCH(I$23,'01_INPUTS'!$B$17:$B$31,0))=0,IF(SUMIFS($AD$3:$AD$870,$AC$3:$AC$870,I$23,$AE$3:$AE$870,"&lt;="&amp;$B108,$AF$3:$AF$870,"&gt;="&amp;$B108)=0,0,9.99),SUMIFS($AD$3:$AD$870,$AC$3:$AC$870,I$23,$AE$3:$AE$870,"&lt;="&amp;$B108,$AF$3:$AF$870,"&gt;="&amp;$B108)/INDEX('01_INPUTS'!$E$17:$E$31,MATCH(I$23,'01_INPUTS'!$B$17:$B$31,0)))</f>
        <v>0.5</v>
      </c>
      <c r="J108" s="61">
        <f>IF(INDEX('01_INPUTS'!$E$17:$E$31,MATCH(J$23,'01_INPUTS'!$B$17:$B$31,0))=0,IF(SUMIFS($AD$3:$AD$870,$AC$3:$AC$870,J$23,$AE$3:$AE$870,"&lt;="&amp;$B108,$AF$3:$AF$870,"&gt;="&amp;$B108)=0,0,9.99),SUMIFS($AD$3:$AD$870,$AC$3:$AC$870,J$23,$AE$3:$AE$870,"&lt;="&amp;$B108,$AF$3:$AF$870,"&gt;="&amp;$B108)/INDEX('01_INPUTS'!$E$17:$E$31,MATCH(J$23,'01_INPUTS'!$B$17:$B$31,0)))</f>
        <v>1</v>
      </c>
      <c r="K108" s="61">
        <f>IF(INDEX('01_INPUTS'!$E$17:$E$31,MATCH(K$23,'01_INPUTS'!$B$17:$B$31,0))=0,IF(SUMIFS($AD$3:$AD$870,$AC$3:$AC$870,K$23,$AE$3:$AE$870,"&lt;="&amp;$B108,$AF$3:$AF$870,"&gt;="&amp;$B108)=0,0,9.99),SUMIFS($AD$3:$AD$870,$AC$3:$AC$870,K$23,$AE$3:$AE$870,"&lt;="&amp;$B108,$AF$3:$AF$870,"&gt;="&amp;$B108)/INDEX('01_INPUTS'!$E$17:$E$31,MATCH(K$23,'01_INPUTS'!$B$17:$B$31,0)))</f>
        <v>0.5</v>
      </c>
      <c r="L108" s="61">
        <f>IF(INDEX('01_INPUTS'!$E$17:$E$31,MATCH(L$23,'01_INPUTS'!$B$17:$B$31,0))=0,IF(SUMIFS($AD$3:$AD$870,$AC$3:$AC$870,L$23,$AE$3:$AE$870,"&lt;="&amp;$B108,$AF$3:$AF$870,"&gt;="&amp;$B108)=0,0,9.99),SUMIFS($AD$3:$AD$870,$AC$3:$AC$870,L$23,$AE$3:$AE$870,"&lt;="&amp;$B108,$AF$3:$AF$870,"&gt;="&amp;$B108)/INDEX('01_INPUTS'!$E$17:$E$31,MATCH(L$23,'01_INPUTS'!$B$17:$B$31,0)))</f>
        <v>0.5</v>
      </c>
      <c r="M108" s="61">
        <f>IF(INDEX('01_INPUTS'!$E$17:$E$31,MATCH(M$23,'01_INPUTS'!$B$17:$B$31,0))=0,IF(SUMIFS($AD$3:$AD$870,$AC$3:$AC$870,M$23,$AE$3:$AE$870,"&lt;="&amp;$B108,$AF$3:$AF$870,"&gt;="&amp;$B108)=0,0,9.99),SUMIFS($AD$3:$AD$870,$AC$3:$AC$870,M$23,$AE$3:$AE$870,"&lt;="&amp;$B108,$AF$3:$AF$870,"&gt;="&amp;$B108)/INDEX('01_INPUTS'!$E$17:$E$31,MATCH(M$23,'01_INPUTS'!$B$17:$B$31,0)))</f>
        <v>0.5</v>
      </c>
      <c r="N108" s="61">
        <f>IF(INDEX('01_INPUTS'!$E$17:$E$31,MATCH(N$23,'01_INPUTS'!$B$17:$B$31,0))=0,IF(SUMIFS($AD$3:$AD$870,$AC$3:$AC$870,N$23,$AE$3:$AE$870,"&lt;="&amp;$B108,$AF$3:$AF$870,"&gt;="&amp;$B108)=0,0,9.99),SUMIFS($AD$3:$AD$870,$AC$3:$AC$870,N$23,$AE$3:$AE$870,"&lt;="&amp;$B108,$AF$3:$AF$870,"&gt;="&amp;$B108)/INDEX('01_INPUTS'!$E$17:$E$31,MATCH(N$23,'01_INPUTS'!$B$17:$B$31,0)))</f>
        <v>0.5</v>
      </c>
      <c r="O108" s="61">
        <f>IF(INDEX('01_INPUTS'!$E$17:$E$31,MATCH(O$23,'01_INPUTS'!$B$17:$B$31,0))=0,IF(SUMIFS($AD$3:$AD$870,$AC$3:$AC$870,O$23,$AE$3:$AE$870,"&lt;="&amp;$B108,$AF$3:$AF$870,"&gt;="&amp;$B108)=0,0,9.99),SUMIFS($AD$3:$AD$870,$AC$3:$AC$870,O$23,$AE$3:$AE$870,"&lt;="&amp;$B108,$AF$3:$AF$870,"&gt;="&amp;$B108)/INDEX('01_INPUTS'!$E$17:$E$31,MATCH(O$23,'01_INPUTS'!$B$17:$B$31,0)))</f>
        <v>0</v>
      </c>
      <c r="P108" s="61">
        <f>IF(INDEX('01_INPUTS'!$E$17:$E$31,MATCH(P$23,'01_INPUTS'!$B$17:$B$31,0))=0,IF(SUMIFS($AD$3:$AD$870,$AC$3:$AC$870,P$23,$AE$3:$AE$870,"&lt;="&amp;$B108,$AF$3:$AF$870,"&gt;="&amp;$B108)=0,0,9.99),SUMIFS($AD$3:$AD$870,$AC$3:$AC$870,P$23,$AE$3:$AE$870,"&lt;="&amp;$B108,$AF$3:$AF$870,"&gt;="&amp;$B108)/INDEX('01_INPUTS'!$E$17:$E$31,MATCH(P$23,'01_INPUTS'!$B$17:$B$31,0)))</f>
        <v>3</v>
      </c>
      <c r="Q108" s="61">
        <f>IF(INDEX('01_INPUTS'!$E$17:$E$31,MATCH(Q$23,'01_INPUTS'!$B$17:$B$31,0))=0,IF(SUMIFS($AD$3:$AD$870,$AC$3:$AC$870,Q$23,$AE$3:$AE$870,"&lt;="&amp;$B108,$AF$3:$AF$870,"&gt;="&amp;$B108)=0,0,9.99),SUMIFS($AD$3:$AD$870,$AC$3:$AC$870,Q$23,$AE$3:$AE$870,"&lt;="&amp;$B108,$AF$3:$AF$870,"&gt;="&amp;$B108)/INDEX('01_INPUTS'!$E$17:$E$31,MATCH(Q$23,'01_INPUTS'!$B$17:$B$31,0)))</f>
        <v>0.25</v>
      </c>
      <c r="R108" s="61">
        <f>IF(INDEX('01_INPUTS'!$E$17:$E$31,MATCH(R$23,'01_INPUTS'!$B$17:$B$31,0))=0,IF(SUMIFS($AD$3:$AD$870,$AC$3:$AC$870,R$23,$AE$3:$AE$870,"&lt;="&amp;$B108,$AF$3:$AF$870,"&gt;="&amp;$B108)=0,0,9.99),SUMIFS($AD$3:$AD$870,$AC$3:$AC$870,R$23,$AE$3:$AE$870,"&lt;="&amp;$B108,$AF$3:$AF$870,"&gt;="&amp;$B108)/INDEX('01_INPUTS'!$E$17:$E$31,MATCH(R$23,'01_INPUTS'!$B$17:$B$31,0)))</f>
        <v>0</v>
      </c>
      <c r="S108">
        <f t="shared" si="10"/>
        <v>10</v>
      </c>
      <c r="T108">
        <f>SUM('01_INPUTS'!$E$17:$E$31)</f>
        <v>20</v>
      </c>
      <c r="U108" s="61">
        <f t="shared" si="11"/>
        <v>0.5</v>
      </c>
      <c r="V108">
        <f t="shared" si="12"/>
        <v>1</v>
      </c>
      <c r="W108" t="str">
        <f t="shared" si="13"/>
        <v>ROJO</v>
      </c>
      <c r="AA108" s="51" t="str">
        <f>'Sites Master'!$B$3</f>
        <v>Site 02</v>
      </c>
      <c r="AB108" s="51" t="str">
        <f>'Phase-Resource Allocation'!$B$107</f>
        <v>Go Live</v>
      </c>
      <c r="AC108" s="51" t="str">
        <f>'Phase-Resource Allocation'!$C$107</f>
        <v>Azure Lead</v>
      </c>
      <c r="AD108" s="60">
        <f>'Phase-Resource Allocation'!$D$107</f>
        <v>1</v>
      </c>
      <c r="AE108" s="51">
        <f>IFERROR(INDEX('02_SCHEDULE'!$K$5:$K$124,MATCH(AA108&amp;"|"&amp;AB108,'02_SCHEDULE'!$M$5:$M$124,0)),0)</f>
        <v>12</v>
      </c>
      <c r="AF108" s="51">
        <f>IFERROR(INDEX('02_SCHEDULE'!$L$5:$L$124,MATCH(AA108&amp;"|"&amp;AB108,'02_SCHEDULE'!$M$5:$M$124,0)),0)</f>
        <v>12</v>
      </c>
      <c r="AG108" s="51">
        <f t="shared" si="9"/>
        <v>1</v>
      </c>
    </row>
    <row r="109" spans="2:33" x14ac:dyDescent="0.3">
      <c r="B109">
        <f>86</f>
        <v>86</v>
      </c>
      <c r="C109" s="55">
        <f>'01_INPUTS'!$C$7+(86-1)*7</f>
        <v>46846</v>
      </c>
      <c r="D109" s="61">
        <f>IF(INDEX('01_INPUTS'!$E$17:$E$31,MATCH(D$23,'01_INPUTS'!$B$17:$B$31,0))=0,IF(SUMIFS($AD$3:$AD$870,$AC$3:$AC$870,D$23,$AE$3:$AE$870,"&lt;="&amp;$B109,$AF$3:$AF$870,"&gt;="&amp;$B109)=0,0,9.99),SUMIFS($AD$3:$AD$870,$AC$3:$AC$870,D$23,$AE$3:$AE$870,"&lt;="&amp;$B109,$AF$3:$AF$870,"&gt;="&amp;$B109)/INDEX('01_INPUTS'!$E$17:$E$31,MATCH(D$23,'01_INPUTS'!$B$17:$B$31,0)))</f>
        <v>0.5</v>
      </c>
      <c r="E109" s="61">
        <f>IF(INDEX('01_INPUTS'!$E$17:$E$31,MATCH(E$23,'01_INPUTS'!$B$17:$B$31,0))=0,IF(SUMIFS($AD$3:$AD$870,$AC$3:$AC$870,E$23,$AE$3:$AE$870,"&lt;="&amp;$B109,$AF$3:$AF$870,"&gt;="&amp;$B109)=0,0,9.99),SUMIFS($AD$3:$AD$870,$AC$3:$AC$870,E$23,$AE$3:$AE$870,"&lt;="&amp;$B109,$AF$3:$AF$870,"&gt;="&amp;$B109)/INDEX('01_INPUTS'!$E$17:$E$31,MATCH(E$23,'01_INPUTS'!$B$17:$B$31,0)))</f>
        <v>0</v>
      </c>
      <c r="F109" s="61">
        <f>IF(INDEX('01_INPUTS'!$E$17:$E$31,MATCH(F$23,'01_INPUTS'!$B$17:$B$31,0))=0,IF(SUMIFS($AD$3:$AD$870,$AC$3:$AC$870,F$23,$AE$3:$AE$870,"&lt;="&amp;$B109,$AF$3:$AF$870,"&gt;="&amp;$B109)=0,0,9.99),SUMIFS($AD$3:$AD$870,$AC$3:$AC$870,F$23,$AE$3:$AE$870,"&lt;="&amp;$B109,$AF$3:$AF$870,"&gt;="&amp;$B109)/INDEX('01_INPUTS'!$E$17:$E$31,MATCH(F$23,'01_INPUTS'!$B$17:$B$31,0)))</f>
        <v>0</v>
      </c>
      <c r="G109" s="61">
        <f>IF(INDEX('01_INPUTS'!$E$17:$E$31,MATCH(G$23,'01_INPUTS'!$B$17:$B$31,0))=0,IF(SUMIFS($AD$3:$AD$870,$AC$3:$AC$870,G$23,$AE$3:$AE$870,"&lt;="&amp;$B109,$AF$3:$AF$870,"&gt;="&amp;$B109)=0,0,9.99),SUMIFS($AD$3:$AD$870,$AC$3:$AC$870,G$23,$AE$3:$AE$870,"&lt;="&amp;$B109,$AF$3:$AF$870,"&gt;="&amp;$B109)/INDEX('01_INPUTS'!$E$17:$E$31,MATCH(G$23,'01_INPUTS'!$B$17:$B$31,0)))</f>
        <v>0</v>
      </c>
      <c r="H109" s="61">
        <f>IF(INDEX('01_INPUTS'!$E$17:$E$31,MATCH(H$23,'01_INPUTS'!$B$17:$B$31,0))=0,IF(SUMIFS($AD$3:$AD$870,$AC$3:$AC$870,H$23,$AE$3:$AE$870,"&lt;="&amp;$B109,$AF$3:$AF$870,"&gt;="&amp;$B109)=0,0,9.99),SUMIFS($AD$3:$AD$870,$AC$3:$AC$870,H$23,$AE$3:$AE$870,"&lt;="&amp;$B109,$AF$3:$AF$870,"&gt;="&amp;$B109)/INDEX('01_INPUTS'!$E$17:$E$31,MATCH(H$23,'01_INPUTS'!$B$17:$B$31,0)))</f>
        <v>0.5</v>
      </c>
      <c r="I109" s="61">
        <f>IF(INDEX('01_INPUTS'!$E$17:$E$31,MATCH(I$23,'01_INPUTS'!$B$17:$B$31,0))=0,IF(SUMIFS($AD$3:$AD$870,$AC$3:$AC$870,I$23,$AE$3:$AE$870,"&lt;="&amp;$B109,$AF$3:$AF$870,"&gt;="&amp;$B109)=0,0,9.99),SUMIFS($AD$3:$AD$870,$AC$3:$AC$870,I$23,$AE$3:$AE$870,"&lt;="&amp;$B109,$AF$3:$AF$870,"&gt;="&amp;$B109)/INDEX('01_INPUTS'!$E$17:$E$31,MATCH(I$23,'01_INPUTS'!$B$17:$B$31,0)))</f>
        <v>0.5</v>
      </c>
      <c r="J109" s="61">
        <f>IF(INDEX('01_INPUTS'!$E$17:$E$31,MATCH(J$23,'01_INPUTS'!$B$17:$B$31,0))=0,IF(SUMIFS($AD$3:$AD$870,$AC$3:$AC$870,J$23,$AE$3:$AE$870,"&lt;="&amp;$B109,$AF$3:$AF$870,"&gt;="&amp;$B109)=0,0,9.99),SUMIFS($AD$3:$AD$870,$AC$3:$AC$870,J$23,$AE$3:$AE$870,"&lt;="&amp;$B109,$AF$3:$AF$870,"&gt;="&amp;$B109)/INDEX('01_INPUTS'!$E$17:$E$31,MATCH(J$23,'01_INPUTS'!$B$17:$B$31,0)))</f>
        <v>1</v>
      </c>
      <c r="K109" s="61">
        <f>IF(INDEX('01_INPUTS'!$E$17:$E$31,MATCH(K$23,'01_INPUTS'!$B$17:$B$31,0))=0,IF(SUMIFS($AD$3:$AD$870,$AC$3:$AC$870,K$23,$AE$3:$AE$870,"&lt;="&amp;$B109,$AF$3:$AF$870,"&gt;="&amp;$B109)=0,0,9.99),SUMIFS($AD$3:$AD$870,$AC$3:$AC$870,K$23,$AE$3:$AE$870,"&lt;="&amp;$B109,$AF$3:$AF$870,"&gt;="&amp;$B109)/INDEX('01_INPUTS'!$E$17:$E$31,MATCH(K$23,'01_INPUTS'!$B$17:$B$31,0)))</f>
        <v>0.5</v>
      </c>
      <c r="L109" s="61">
        <f>IF(INDEX('01_INPUTS'!$E$17:$E$31,MATCH(L$23,'01_INPUTS'!$B$17:$B$31,0))=0,IF(SUMIFS($AD$3:$AD$870,$AC$3:$AC$870,L$23,$AE$3:$AE$870,"&lt;="&amp;$B109,$AF$3:$AF$870,"&gt;="&amp;$B109)=0,0,9.99),SUMIFS($AD$3:$AD$870,$AC$3:$AC$870,L$23,$AE$3:$AE$870,"&lt;="&amp;$B109,$AF$3:$AF$870,"&gt;="&amp;$B109)/INDEX('01_INPUTS'!$E$17:$E$31,MATCH(L$23,'01_INPUTS'!$B$17:$B$31,0)))</f>
        <v>0.5</v>
      </c>
      <c r="M109" s="61">
        <f>IF(INDEX('01_INPUTS'!$E$17:$E$31,MATCH(M$23,'01_INPUTS'!$B$17:$B$31,0))=0,IF(SUMIFS($AD$3:$AD$870,$AC$3:$AC$870,M$23,$AE$3:$AE$870,"&lt;="&amp;$B109,$AF$3:$AF$870,"&gt;="&amp;$B109)=0,0,9.99),SUMIFS($AD$3:$AD$870,$AC$3:$AC$870,M$23,$AE$3:$AE$870,"&lt;="&amp;$B109,$AF$3:$AF$870,"&gt;="&amp;$B109)/INDEX('01_INPUTS'!$E$17:$E$31,MATCH(M$23,'01_INPUTS'!$B$17:$B$31,0)))</f>
        <v>0.5</v>
      </c>
      <c r="N109" s="61">
        <f>IF(INDEX('01_INPUTS'!$E$17:$E$31,MATCH(N$23,'01_INPUTS'!$B$17:$B$31,0))=0,IF(SUMIFS($AD$3:$AD$870,$AC$3:$AC$870,N$23,$AE$3:$AE$870,"&lt;="&amp;$B109,$AF$3:$AF$870,"&gt;="&amp;$B109)=0,0,9.99),SUMIFS($AD$3:$AD$870,$AC$3:$AC$870,N$23,$AE$3:$AE$870,"&lt;="&amp;$B109,$AF$3:$AF$870,"&gt;="&amp;$B109)/INDEX('01_INPUTS'!$E$17:$E$31,MATCH(N$23,'01_INPUTS'!$B$17:$B$31,0)))</f>
        <v>0.5</v>
      </c>
      <c r="O109" s="61">
        <f>IF(INDEX('01_INPUTS'!$E$17:$E$31,MATCH(O$23,'01_INPUTS'!$B$17:$B$31,0))=0,IF(SUMIFS($AD$3:$AD$870,$AC$3:$AC$870,O$23,$AE$3:$AE$870,"&lt;="&amp;$B109,$AF$3:$AF$870,"&gt;="&amp;$B109)=0,0,9.99),SUMIFS($AD$3:$AD$870,$AC$3:$AC$870,O$23,$AE$3:$AE$870,"&lt;="&amp;$B109,$AF$3:$AF$870,"&gt;="&amp;$B109)/INDEX('01_INPUTS'!$E$17:$E$31,MATCH(O$23,'01_INPUTS'!$B$17:$B$31,0)))</f>
        <v>0</v>
      </c>
      <c r="P109" s="61">
        <f>IF(INDEX('01_INPUTS'!$E$17:$E$31,MATCH(P$23,'01_INPUTS'!$B$17:$B$31,0))=0,IF(SUMIFS($AD$3:$AD$870,$AC$3:$AC$870,P$23,$AE$3:$AE$870,"&lt;="&amp;$B109,$AF$3:$AF$870,"&gt;="&amp;$B109)=0,0,9.99),SUMIFS($AD$3:$AD$870,$AC$3:$AC$870,P$23,$AE$3:$AE$870,"&lt;="&amp;$B109,$AF$3:$AF$870,"&gt;="&amp;$B109)/INDEX('01_INPUTS'!$E$17:$E$31,MATCH(P$23,'01_INPUTS'!$B$17:$B$31,0)))</f>
        <v>3</v>
      </c>
      <c r="Q109" s="61">
        <f>IF(INDEX('01_INPUTS'!$E$17:$E$31,MATCH(Q$23,'01_INPUTS'!$B$17:$B$31,0))=0,IF(SUMIFS($AD$3:$AD$870,$AC$3:$AC$870,Q$23,$AE$3:$AE$870,"&lt;="&amp;$B109,$AF$3:$AF$870,"&gt;="&amp;$B109)=0,0,9.99),SUMIFS($AD$3:$AD$870,$AC$3:$AC$870,Q$23,$AE$3:$AE$870,"&lt;="&amp;$B109,$AF$3:$AF$870,"&gt;="&amp;$B109)/INDEX('01_INPUTS'!$E$17:$E$31,MATCH(Q$23,'01_INPUTS'!$B$17:$B$31,0)))</f>
        <v>0.25</v>
      </c>
      <c r="R109" s="61">
        <f>IF(INDEX('01_INPUTS'!$E$17:$E$31,MATCH(R$23,'01_INPUTS'!$B$17:$B$31,0))=0,IF(SUMIFS($AD$3:$AD$870,$AC$3:$AC$870,R$23,$AE$3:$AE$870,"&lt;="&amp;$B109,$AF$3:$AF$870,"&gt;="&amp;$B109)=0,0,9.99),SUMIFS($AD$3:$AD$870,$AC$3:$AC$870,R$23,$AE$3:$AE$870,"&lt;="&amp;$B109,$AF$3:$AF$870,"&gt;="&amp;$B109)/INDEX('01_INPUTS'!$E$17:$E$31,MATCH(R$23,'01_INPUTS'!$B$17:$B$31,0)))</f>
        <v>0</v>
      </c>
      <c r="S109">
        <f t="shared" si="10"/>
        <v>10</v>
      </c>
      <c r="T109">
        <f>SUM('01_INPUTS'!$E$17:$E$31)</f>
        <v>20</v>
      </c>
      <c r="U109" s="61">
        <f t="shared" si="11"/>
        <v>0.5</v>
      </c>
      <c r="V109">
        <f t="shared" si="12"/>
        <v>1</v>
      </c>
      <c r="W109" t="str">
        <f t="shared" si="13"/>
        <v>ROJO</v>
      </c>
      <c r="AA109" s="51" t="str">
        <f>'Sites Master'!$B$3</f>
        <v>Site 02</v>
      </c>
      <c r="AB109" s="51" t="str">
        <f>'Phase-Resource Allocation'!$B$108</f>
        <v>Go Live</v>
      </c>
      <c r="AC109" s="51" t="str">
        <f>'Phase-Resource Allocation'!$C$108</f>
        <v>Azure Specialist</v>
      </c>
      <c r="AD109" s="60">
        <f>'Phase-Resource Allocation'!$D$108</f>
        <v>1</v>
      </c>
      <c r="AE109" s="51">
        <f>IFERROR(INDEX('02_SCHEDULE'!$K$5:$K$124,MATCH(AA109&amp;"|"&amp;AB109,'02_SCHEDULE'!$M$5:$M$124,0)),0)</f>
        <v>12</v>
      </c>
      <c r="AF109" s="51">
        <f>IFERROR(INDEX('02_SCHEDULE'!$L$5:$L$124,MATCH(AA109&amp;"|"&amp;AB109,'02_SCHEDULE'!$M$5:$M$124,0)),0)</f>
        <v>12</v>
      </c>
      <c r="AG109" s="51">
        <f t="shared" si="9"/>
        <v>1</v>
      </c>
    </row>
    <row r="110" spans="2:33" x14ac:dyDescent="0.3">
      <c r="B110">
        <f>87</f>
        <v>87</v>
      </c>
      <c r="C110" s="55">
        <f>'01_INPUTS'!$C$7+(87-1)*7</f>
        <v>46853</v>
      </c>
      <c r="D110" s="61">
        <f>IF(INDEX('01_INPUTS'!$E$17:$E$31,MATCH(D$23,'01_INPUTS'!$B$17:$B$31,0))=0,IF(SUMIFS($AD$3:$AD$870,$AC$3:$AC$870,D$23,$AE$3:$AE$870,"&lt;="&amp;$B110,$AF$3:$AF$870,"&gt;="&amp;$B110)=0,0,9.99),SUMIFS($AD$3:$AD$870,$AC$3:$AC$870,D$23,$AE$3:$AE$870,"&lt;="&amp;$B110,$AF$3:$AF$870,"&gt;="&amp;$B110)/INDEX('01_INPUTS'!$E$17:$E$31,MATCH(D$23,'01_INPUTS'!$B$17:$B$31,0)))</f>
        <v>0</v>
      </c>
      <c r="E110" s="61">
        <f>IF(INDEX('01_INPUTS'!$E$17:$E$31,MATCH(E$23,'01_INPUTS'!$B$17:$B$31,0))=0,IF(SUMIFS($AD$3:$AD$870,$AC$3:$AC$870,E$23,$AE$3:$AE$870,"&lt;="&amp;$B110,$AF$3:$AF$870,"&gt;="&amp;$B110)=0,0,9.99),SUMIFS($AD$3:$AD$870,$AC$3:$AC$870,E$23,$AE$3:$AE$870,"&lt;="&amp;$B110,$AF$3:$AF$870,"&gt;="&amp;$B110)/INDEX('01_INPUTS'!$E$17:$E$31,MATCH(E$23,'01_INPUTS'!$B$17:$B$31,0)))</f>
        <v>0</v>
      </c>
      <c r="F110" s="61">
        <f>IF(INDEX('01_INPUTS'!$E$17:$E$31,MATCH(F$23,'01_INPUTS'!$B$17:$B$31,0))=0,IF(SUMIFS($AD$3:$AD$870,$AC$3:$AC$870,F$23,$AE$3:$AE$870,"&lt;="&amp;$B110,$AF$3:$AF$870,"&gt;="&amp;$B110)=0,0,9.99),SUMIFS($AD$3:$AD$870,$AC$3:$AC$870,F$23,$AE$3:$AE$870,"&lt;="&amp;$B110,$AF$3:$AF$870,"&gt;="&amp;$B110)/INDEX('01_INPUTS'!$E$17:$E$31,MATCH(F$23,'01_INPUTS'!$B$17:$B$31,0)))</f>
        <v>0</v>
      </c>
      <c r="G110" s="61">
        <f>IF(INDEX('01_INPUTS'!$E$17:$E$31,MATCH(G$23,'01_INPUTS'!$B$17:$B$31,0))=0,IF(SUMIFS($AD$3:$AD$870,$AC$3:$AC$870,G$23,$AE$3:$AE$870,"&lt;="&amp;$B110,$AF$3:$AF$870,"&gt;="&amp;$B110)=0,0,9.99),SUMIFS($AD$3:$AD$870,$AC$3:$AC$870,G$23,$AE$3:$AE$870,"&lt;="&amp;$B110,$AF$3:$AF$870,"&gt;="&amp;$B110)/INDEX('01_INPUTS'!$E$17:$E$31,MATCH(G$23,'01_INPUTS'!$B$17:$B$31,0)))</f>
        <v>0</v>
      </c>
      <c r="H110" s="61">
        <f>IF(INDEX('01_INPUTS'!$E$17:$E$31,MATCH(H$23,'01_INPUTS'!$B$17:$B$31,0))=0,IF(SUMIFS($AD$3:$AD$870,$AC$3:$AC$870,H$23,$AE$3:$AE$870,"&lt;="&amp;$B110,$AF$3:$AF$870,"&gt;="&amp;$B110)=0,0,9.99),SUMIFS($AD$3:$AD$870,$AC$3:$AC$870,H$23,$AE$3:$AE$870,"&lt;="&amp;$B110,$AF$3:$AF$870,"&gt;="&amp;$B110)/INDEX('01_INPUTS'!$E$17:$E$31,MATCH(H$23,'01_INPUTS'!$B$17:$B$31,0)))</f>
        <v>0</v>
      </c>
      <c r="I110" s="61">
        <f>IF(INDEX('01_INPUTS'!$E$17:$E$31,MATCH(I$23,'01_INPUTS'!$B$17:$B$31,0))=0,IF(SUMIFS($AD$3:$AD$870,$AC$3:$AC$870,I$23,$AE$3:$AE$870,"&lt;="&amp;$B110,$AF$3:$AF$870,"&gt;="&amp;$B110)=0,0,9.99),SUMIFS($AD$3:$AD$870,$AC$3:$AC$870,I$23,$AE$3:$AE$870,"&lt;="&amp;$B110,$AF$3:$AF$870,"&gt;="&amp;$B110)/INDEX('01_INPUTS'!$E$17:$E$31,MATCH(I$23,'01_INPUTS'!$B$17:$B$31,0)))</f>
        <v>0</v>
      </c>
      <c r="J110" s="61">
        <f>IF(INDEX('01_INPUTS'!$E$17:$E$31,MATCH(J$23,'01_INPUTS'!$B$17:$B$31,0))=0,IF(SUMIFS($AD$3:$AD$870,$AC$3:$AC$870,J$23,$AE$3:$AE$870,"&lt;="&amp;$B110,$AF$3:$AF$870,"&gt;="&amp;$B110)=0,0,9.99),SUMIFS($AD$3:$AD$870,$AC$3:$AC$870,J$23,$AE$3:$AE$870,"&lt;="&amp;$B110,$AF$3:$AF$870,"&gt;="&amp;$B110)/INDEX('01_INPUTS'!$E$17:$E$31,MATCH(J$23,'01_INPUTS'!$B$17:$B$31,0)))</f>
        <v>0</v>
      </c>
      <c r="K110" s="61">
        <f>IF(INDEX('01_INPUTS'!$E$17:$E$31,MATCH(K$23,'01_INPUTS'!$B$17:$B$31,0))=0,IF(SUMIFS($AD$3:$AD$870,$AC$3:$AC$870,K$23,$AE$3:$AE$870,"&lt;="&amp;$B110,$AF$3:$AF$870,"&gt;="&amp;$B110)=0,0,9.99),SUMIFS($AD$3:$AD$870,$AC$3:$AC$870,K$23,$AE$3:$AE$870,"&lt;="&amp;$B110,$AF$3:$AF$870,"&gt;="&amp;$B110)/INDEX('01_INPUTS'!$E$17:$E$31,MATCH(K$23,'01_INPUTS'!$B$17:$B$31,0)))</f>
        <v>0</v>
      </c>
      <c r="L110" s="61">
        <f>IF(INDEX('01_INPUTS'!$E$17:$E$31,MATCH(L$23,'01_INPUTS'!$B$17:$B$31,0))=0,IF(SUMIFS($AD$3:$AD$870,$AC$3:$AC$870,L$23,$AE$3:$AE$870,"&lt;="&amp;$B110,$AF$3:$AF$870,"&gt;="&amp;$B110)=0,0,9.99),SUMIFS($AD$3:$AD$870,$AC$3:$AC$870,L$23,$AE$3:$AE$870,"&lt;="&amp;$B110,$AF$3:$AF$870,"&gt;="&amp;$B110)/INDEX('01_INPUTS'!$E$17:$E$31,MATCH(L$23,'01_INPUTS'!$B$17:$B$31,0)))</f>
        <v>0</v>
      </c>
      <c r="M110" s="61">
        <f>IF(INDEX('01_INPUTS'!$E$17:$E$31,MATCH(M$23,'01_INPUTS'!$B$17:$B$31,0))=0,IF(SUMIFS($AD$3:$AD$870,$AC$3:$AC$870,M$23,$AE$3:$AE$870,"&lt;="&amp;$B110,$AF$3:$AF$870,"&gt;="&amp;$B110)=0,0,9.99),SUMIFS($AD$3:$AD$870,$AC$3:$AC$870,M$23,$AE$3:$AE$870,"&lt;="&amp;$B110,$AF$3:$AF$870,"&gt;="&amp;$B110)/INDEX('01_INPUTS'!$E$17:$E$31,MATCH(M$23,'01_INPUTS'!$B$17:$B$31,0)))</f>
        <v>0</v>
      </c>
      <c r="N110" s="61">
        <f>IF(INDEX('01_INPUTS'!$E$17:$E$31,MATCH(N$23,'01_INPUTS'!$B$17:$B$31,0))=0,IF(SUMIFS($AD$3:$AD$870,$AC$3:$AC$870,N$23,$AE$3:$AE$870,"&lt;="&amp;$B110,$AF$3:$AF$870,"&gt;="&amp;$B110)=0,0,9.99),SUMIFS($AD$3:$AD$870,$AC$3:$AC$870,N$23,$AE$3:$AE$870,"&lt;="&amp;$B110,$AF$3:$AF$870,"&gt;="&amp;$B110)/INDEX('01_INPUTS'!$E$17:$E$31,MATCH(N$23,'01_INPUTS'!$B$17:$B$31,0)))</f>
        <v>0</v>
      </c>
      <c r="O110" s="61">
        <f>IF(INDEX('01_INPUTS'!$E$17:$E$31,MATCH(O$23,'01_INPUTS'!$B$17:$B$31,0))=0,IF(SUMIFS($AD$3:$AD$870,$AC$3:$AC$870,O$23,$AE$3:$AE$870,"&lt;="&amp;$B110,$AF$3:$AF$870,"&gt;="&amp;$B110)=0,0,9.99),SUMIFS($AD$3:$AD$870,$AC$3:$AC$870,O$23,$AE$3:$AE$870,"&lt;="&amp;$B110,$AF$3:$AF$870,"&gt;="&amp;$B110)/INDEX('01_INPUTS'!$E$17:$E$31,MATCH(O$23,'01_INPUTS'!$B$17:$B$31,0)))</f>
        <v>0</v>
      </c>
      <c r="P110" s="61">
        <f>IF(INDEX('01_INPUTS'!$E$17:$E$31,MATCH(P$23,'01_INPUTS'!$B$17:$B$31,0))=0,IF(SUMIFS($AD$3:$AD$870,$AC$3:$AC$870,P$23,$AE$3:$AE$870,"&lt;="&amp;$B110,$AF$3:$AF$870,"&gt;="&amp;$B110)=0,0,9.99),SUMIFS($AD$3:$AD$870,$AC$3:$AC$870,P$23,$AE$3:$AE$870,"&lt;="&amp;$B110,$AF$3:$AF$870,"&gt;="&amp;$B110)/INDEX('01_INPUTS'!$E$17:$E$31,MATCH(P$23,'01_INPUTS'!$B$17:$B$31,0)))</f>
        <v>0</v>
      </c>
      <c r="Q110" s="61">
        <f>IF(INDEX('01_INPUTS'!$E$17:$E$31,MATCH(Q$23,'01_INPUTS'!$B$17:$B$31,0))=0,IF(SUMIFS($AD$3:$AD$870,$AC$3:$AC$870,Q$23,$AE$3:$AE$870,"&lt;="&amp;$B110,$AF$3:$AF$870,"&gt;="&amp;$B110)=0,0,9.99),SUMIFS($AD$3:$AD$870,$AC$3:$AC$870,Q$23,$AE$3:$AE$870,"&lt;="&amp;$B110,$AF$3:$AF$870,"&gt;="&amp;$B110)/INDEX('01_INPUTS'!$E$17:$E$31,MATCH(Q$23,'01_INPUTS'!$B$17:$B$31,0)))</f>
        <v>0</v>
      </c>
      <c r="R110" s="61">
        <f>IF(INDEX('01_INPUTS'!$E$17:$E$31,MATCH(R$23,'01_INPUTS'!$B$17:$B$31,0))=0,IF(SUMIFS($AD$3:$AD$870,$AC$3:$AC$870,R$23,$AE$3:$AE$870,"&lt;="&amp;$B110,$AF$3:$AF$870,"&gt;="&amp;$B110)=0,0,9.99),SUMIFS($AD$3:$AD$870,$AC$3:$AC$870,R$23,$AE$3:$AE$870,"&lt;="&amp;$B110,$AF$3:$AF$870,"&gt;="&amp;$B110)/INDEX('01_INPUTS'!$E$17:$E$31,MATCH(R$23,'01_INPUTS'!$B$17:$B$31,0)))</f>
        <v>0</v>
      </c>
      <c r="S110">
        <f t="shared" si="10"/>
        <v>0</v>
      </c>
      <c r="T110">
        <f>SUM('01_INPUTS'!$E$17:$E$31)</f>
        <v>20</v>
      </c>
      <c r="U110" s="61">
        <f t="shared" si="11"/>
        <v>0</v>
      </c>
      <c r="V110">
        <f t="shared" si="12"/>
        <v>0</v>
      </c>
      <c r="W110" t="str">
        <f t="shared" si="13"/>
        <v>VERDE</v>
      </c>
      <c r="AA110" s="51" t="str">
        <f>'Sites Master'!$B$3</f>
        <v>Site 02</v>
      </c>
      <c r="AB110" s="51" t="str">
        <f>'Phase-Resource Allocation'!$B$109</f>
        <v>Go Live</v>
      </c>
      <c r="AC110" s="51" t="str">
        <f>'Phase-Resource Allocation'!$C$109</f>
        <v>Functional Lead</v>
      </c>
      <c r="AD110" s="60">
        <f>'Phase-Resource Allocation'!$D$109</f>
        <v>1</v>
      </c>
      <c r="AE110" s="51">
        <f>IFERROR(INDEX('02_SCHEDULE'!$K$5:$K$124,MATCH(AA110&amp;"|"&amp;AB110,'02_SCHEDULE'!$M$5:$M$124,0)),0)</f>
        <v>12</v>
      </c>
      <c r="AF110" s="51">
        <f>IFERROR(INDEX('02_SCHEDULE'!$L$5:$L$124,MATCH(AA110&amp;"|"&amp;AB110,'02_SCHEDULE'!$M$5:$M$124,0)),0)</f>
        <v>12</v>
      </c>
      <c r="AG110" s="51">
        <f t="shared" si="9"/>
        <v>1</v>
      </c>
    </row>
    <row r="111" spans="2:33" x14ac:dyDescent="0.3">
      <c r="B111">
        <f>88</f>
        <v>88</v>
      </c>
      <c r="C111" s="55">
        <f>'01_INPUTS'!$C$7+(88-1)*7</f>
        <v>46860</v>
      </c>
      <c r="D111" s="61">
        <f>IF(INDEX('01_INPUTS'!$E$17:$E$31,MATCH(D$23,'01_INPUTS'!$B$17:$B$31,0))=0,IF(SUMIFS($AD$3:$AD$870,$AC$3:$AC$870,D$23,$AE$3:$AE$870,"&lt;="&amp;$B111,$AF$3:$AF$870,"&gt;="&amp;$B111)=0,0,9.99),SUMIFS($AD$3:$AD$870,$AC$3:$AC$870,D$23,$AE$3:$AE$870,"&lt;="&amp;$B111,$AF$3:$AF$870,"&gt;="&amp;$B111)/INDEX('01_INPUTS'!$E$17:$E$31,MATCH(D$23,'01_INPUTS'!$B$17:$B$31,0)))</f>
        <v>0</v>
      </c>
      <c r="E111" s="61">
        <f>IF(INDEX('01_INPUTS'!$E$17:$E$31,MATCH(E$23,'01_INPUTS'!$B$17:$B$31,0))=0,IF(SUMIFS($AD$3:$AD$870,$AC$3:$AC$870,E$23,$AE$3:$AE$870,"&lt;="&amp;$B111,$AF$3:$AF$870,"&gt;="&amp;$B111)=0,0,9.99),SUMIFS($AD$3:$AD$870,$AC$3:$AC$870,E$23,$AE$3:$AE$870,"&lt;="&amp;$B111,$AF$3:$AF$870,"&gt;="&amp;$B111)/INDEX('01_INPUTS'!$E$17:$E$31,MATCH(E$23,'01_INPUTS'!$B$17:$B$31,0)))</f>
        <v>0</v>
      </c>
      <c r="F111" s="61">
        <f>IF(INDEX('01_INPUTS'!$E$17:$E$31,MATCH(F$23,'01_INPUTS'!$B$17:$B$31,0))=0,IF(SUMIFS($AD$3:$AD$870,$AC$3:$AC$870,F$23,$AE$3:$AE$870,"&lt;="&amp;$B111,$AF$3:$AF$870,"&gt;="&amp;$B111)=0,0,9.99),SUMIFS($AD$3:$AD$870,$AC$3:$AC$870,F$23,$AE$3:$AE$870,"&lt;="&amp;$B111,$AF$3:$AF$870,"&gt;="&amp;$B111)/INDEX('01_INPUTS'!$E$17:$E$31,MATCH(F$23,'01_INPUTS'!$B$17:$B$31,0)))</f>
        <v>0</v>
      </c>
      <c r="G111" s="61">
        <f>IF(INDEX('01_INPUTS'!$E$17:$E$31,MATCH(G$23,'01_INPUTS'!$B$17:$B$31,0))=0,IF(SUMIFS($AD$3:$AD$870,$AC$3:$AC$870,G$23,$AE$3:$AE$870,"&lt;="&amp;$B111,$AF$3:$AF$870,"&gt;="&amp;$B111)=0,0,9.99),SUMIFS($AD$3:$AD$870,$AC$3:$AC$870,G$23,$AE$3:$AE$870,"&lt;="&amp;$B111,$AF$3:$AF$870,"&gt;="&amp;$B111)/INDEX('01_INPUTS'!$E$17:$E$31,MATCH(G$23,'01_INPUTS'!$B$17:$B$31,0)))</f>
        <v>0</v>
      </c>
      <c r="H111" s="61">
        <f>IF(INDEX('01_INPUTS'!$E$17:$E$31,MATCH(H$23,'01_INPUTS'!$B$17:$B$31,0))=0,IF(SUMIFS($AD$3:$AD$870,$AC$3:$AC$870,H$23,$AE$3:$AE$870,"&lt;="&amp;$B111,$AF$3:$AF$870,"&gt;="&amp;$B111)=0,0,9.99),SUMIFS($AD$3:$AD$870,$AC$3:$AC$870,H$23,$AE$3:$AE$870,"&lt;="&amp;$B111,$AF$3:$AF$870,"&gt;="&amp;$B111)/INDEX('01_INPUTS'!$E$17:$E$31,MATCH(H$23,'01_INPUTS'!$B$17:$B$31,0)))</f>
        <v>0</v>
      </c>
      <c r="I111" s="61">
        <f>IF(INDEX('01_INPUTS'!$E$17:$E$31,MATCH(I$23,'01_INPUTS'!$B$17:$B$31,0))=0,IF(SUMIFS($AD$3:$AD$870,$AC$3:$AC$870,I$23,$AE$3:$AE$870,"&lt;="&amp;$B111,$AF$3:$AF$870,"&gt;="&amp;$B111)=0,0,9.99),SUMIFS($AD$3:$AD$870,$AC$3:$AC$870,I$23,$AE$3:$AE$870,"&lt;="&amp;$B111,$AF$3:$AF$870,"&gt;="&amp;$B111)/INDEX('01_INPUTS'!$E$17:$E$31,MATCH(I$23,'01_INPUTS'!$B$17:$B$31,0)))</f>
        <v>0</v>
      </c>
      <c r="J111" s="61">
        <f>IF(INDEX('01_INPUTS'!$E$17:$E$31,MATCH(J$23,'01_INPUTS'!$B$17:$B$31,0))=0,IF(SUMIFS($AD$3:$AD$870,$AC$3:$AC$870,J$23,$AE$3:$AE$870,"&lt;="&amp;$B111,$AF$3:$AF$870,"&gt;="&amp;$B111)=0,0,9.99),SUMIFS($AD$3:$AD$870,$AC$3:$AC$870,J$23,$AE$3:$AE$870,"&lt;="&amp;$B111,$AF$3:$AF$870,"&gt;="&amp;$B111)/INDEX('01_INPUTS'!$E$17:$E$31,MATCH(J$23,'01_INPUTS'!$B$17:$B$31,0)))</f>
        <v>0</v>
      </c>
      <c r="K111" s="61">
        <f>IF(INDEX('01_INPUTS'!$E$17:$E$31,MATCH(K$23,'01_INPUTS'!$B$17:$B$31,0))=0,IF(SUMIFS($AD$3:$AD$870,$AC$3:$AC$870,K$23,$AE$3:$AE$870,"&lt;="&amp;$B111,$AF$3:$AF$870,"&gt;="&amp;$B111)=0,0,9.99),SUMIFS($AD$3:$AD$870,$AC$3:$AC$870,K$23,$AE$3:$AE$870,"&lt;="&amp;$B111,$AF$3:$AF$870,"&gt;="&amp;$B111)/INDEX('01_INPUTS'!$E$17:$E$31,MATCH(K$23,'01_INPUTS'!$B$17:$B$31,0)))</f>
        <v>0</v>
      </c>
      <c r="L111" s="61">
        <f>IF(INDEX('01_INPUTS'!$E$17:$E$31,MATCH(L$23,'01_INPUTS'!$B$17:$B$31,0))=0,IF(SUMIFS($AD$3:$AD$870,$AC$3:$AC$870,L$23,$AE$3:$AE$870,"&lt;="&amp;$B111,$AF$3:$AF$870,"&gt;="&amp;$B111)=0,0,9.99),SUMIFS($AD$3:$AD$870,$AC$3:$AC$870,L$23,$AE$3:$AE$870,"&lt;="&amp;$B111,$AF$3:$AF$870,"&gt;="&amp;$B111)/INDEX('01_INPUTS'!$E$17:$E$31,MATCH(L$23,'01_INPUTS'!$B$17:$B$31,0)))</f>
        <v>0</v>
      </c>
      <c r="M111" s="61">
        <f>IF(INDEX('01_INPUTS'!$E$17:$E$31,MATCH(M$23,'01_INPUTS'!$B$17:$B$31,0))=0,IF(SUMIFS($AD$3:$AD$870,$AC$3:$AC$870,M$23,$AE$3:$AE$870,"&lt;="&amp;$B111,$AF$3:$AF$870,"&gt;="&amp;$B111)=0,0,9.99),SUMIFS($AD$3:$AD$870,$AC$3:$AC$870,M$23,$AE$3:$AE$870,"&lt;="&amp;$B111,$AF$3:$AF$870,"&gt;="&amp;$B111)/INDEX('01_INPUTS'!$E$17:$E$31,MATCH(M$23,'01_INPUTS'!$B$17:$B$31,0)))</f>
        <v>0</v>
      </c>
      <c r="N111" s="61">
        <f>IF(INDEX('01_INPUTS'!$E$17:$E$31,MATCH(N$23,'01_INPUTS'!$B$17:$B$31,0))=0,IF(SUMIFS($AD$3:$AD$870,$AC$3:$AC$870,N$23,$AE$3:$AE$870,"&lt;="&amp;$B111,$AF$3:$AF$870,"&gt;="&amp;$B111)=0,0,9.99),SUMIFS($AD$3:$AD$870,$AC$3:$AC$870,N$23,$AE$3:$AE$870,"&lt;="&amp;$B111,$AF$3:$AF$870,"&gt;="&amp;$B111)/INDEX('01_INPUTS'!$E$17:$E$31,MATCH(N$23,'01_INPUTS'!$B$17:$B$31,0)))</f>
        <v>0</v>
      </c>
      <c r="O111" s="61">
        <f>IF(INDEX('01_INPUTS'!$E$17:$E$31,MATCH(O$23,'01_INPUTS'!$B$17:$B$31,0))=0,IF(SUMIFS($AD$3:$AD$870,$AC$3:$AC$870,O$23,$AE$3:$AE$870,"&lt;="&amp;$B111,$AF$3:$AF$870,"&gt;="&amp;$B111)=0,0,9.99),SUMIFS($AD$3:$AD$870,$AC$3:$AC$870,O$23,$AE$3:$AE$870,"&lt;="&amp;$B111,$AF$3:$AF$870,"&gt;="&amp;$B111)/INDEX('01_INPUTS'!$E$17:$E$31,MATCH(O$23,'01_INPUTS'!$B$17:$B$31,0)))</f>
        <v>0</v>
      </c>
      <c r="P111" s="61">
        <f>IF(INDEX('01_INPUTS'!$E$17:$E$31,MATCH(P$23,'01_INPUTS'!$B$17:$B$31,0))=0,IF(SUMIFS($AD$3:$AD$870,$AC$3:$AC$870,P$23,$AE$3:$AE$870,"&lt;="&amp;$B111,$AF$3:$AF$870,"&gt;="&amp;$B111)=0,0,9.99),SUMIFS($AD$3:$AD$870,$AC$3:$AC$870,P$23,$AE$3:$AE$870,"&lt;="&amp;$B111,$AF$3:$AF$870,"&gt;="&amp;$B111)/INDEX('01_INPUTS'!$E$17:$E$31,MATCH(P$23,'01_INPUTS'!$B$17:$B$31,0)))</f>
        <v>0</v>
      </c>
      <c r="Q111" s="61">
        <f>IF(INDEX('01_INPUTS'!$E$17:$E$31,MATCH(Q$23,'01_INPUTS'!$B$17:$B$31,0))=0,IF(SUMIFS($AD$3:$AD$870,$AC$3:$AC$870,Q$23,$AE$3:$AE$870,"&lt;="&amp;$B111,$AF$3:$AF$870,"&gt;="&amp;$B111)=0,0,9.99),SUMIFS($AD$3:$AD$870,$AC$3:$AC$870,Q$23,$AE$3:$AE$870,"&lt;="&amp;$B111,$AF$3:$AF$870,"&gt;="&amp;$B111)/INDEX('01_INPUTS'!$E$17:$E$31,MATCH(Q$23,'01_INPUTS'!$B$17:$B$31,0)))</f>
        <v>0</v>
      </c>
      <c r="R111" s="61">
        <f>IF(INDEX('01_INPUTS'!$E$17:$E$31,MATCH(R$23,'01_INPUTS'!$B$17:$B$31,0))=0,IF(SUMIFS($AD$3:$AD$870,$AC$3:$AC$870,R$23,$AE$3:$AE$870,"&lt;="&amp;$B111,$AF$3:$AF$870,"&gt;="&amp;$B111)=0,0,9.99),SUMIFS($AD$3:$AD$870,$AC$3:$AC$870,R$23,$AE$3:$AE$870,"&lt;="&amp;$B111,$AF$3:$AF$870,"&gt;="&amp;$B111)/INDEX('01_INPUTS'!$E$17:$E$31,MATCH(R$23,'01_INPUTS'!$B$17:$B$31,0)))</f>
        <v>0</v>
      </c>
      <c r="S111">
        <f t="shared" si="10"/>
        <v>0</v>
      </c>
      <c r="T111">
        <f>SUM('01_INPUTS'!$E$17:$E$31)</f>
        <v>20</v>
      </c>
      <c r="U111" s="61">
        <f t="shared" si="11"/>
        <v>0</v>
      </c>
      <c r="V111">
        <f t="shared" si="12"/>
        <v>0</v>
      </c>
      <c r="W111" t="str">
        <f t="shared" si="13"/>
        <v>VERDE</v>
      </c>
      <c r="AA111" s="51" t="str">
        <f>'Sites Master'!$B$3</f>
        <v>Site 02</v>
      </c>
      <c r="AB111" s="51" t="str">
        <f>'Phase-Resource Allocation'!$B$110</f>
        <v>Go Live</v>
      </c>
      <c r="AC111" s="51" t="str">
        <f>'Phase-Resource Allocation'!$C$110</f>
        <v>Trainers</v>
      </c>
      <c r="AD111" s="60">
        <f>'Phase-Resource Allocation'!$D$110</f>
        <v>1</v>
      </c>
      <c r="AE111" s="51">
        <f>IFERROR(INDEX('02_SCHEDULE'!$K$5:$K$124,MATCH(AA111&amp;"|"&amp;AB111,'02_SCHEDULE'!$M$5:$M$124,0)),0)</f>
        <v>12</v>
      </c>
      <c r="AF111" s="51">
        <f>IFERROR(INDEX('02_SCHEDULE'!$L$5:$L$124,MATCH(AA111&amp;"|"&amp;AB111,'02_SCHEDULE'!$M$5:$M$124,0)),0)</f>
        <v>12</v>
      </c>
      <c r="AG111" s="51">
        <f t="shared" si="9"/>
        <v>1</v>
      </c>
    </row>
    <row r="112" spans="2:33" x14ac:dyDescent="0.3">
      <c r="B112">
        <f>89</f>
        <v>89</v>
      </c>
      <c r="C112" s="55">
        <f>'01_INPUTS'!$C$7+(89-1)*7</f>
        <v>46867</v>
      </c>
      <c r="D112" s="61">
        <f>IF(INDEX('01_INPUTS'!$E$17:$E$31,MATCH(D$23,'01_INPUTS'!$B$17:$B$31,0))=0,IF(SUMIFS($AD$3:$AD$870,$AC$3:$AC$870,D$23,$AE$3:$AE$870,"&lt;="&amp;$B112,$AF$3:$AF$870,"&gt;="&amp;$B112)=0,0,9.99),SUMIFS($AD$3:$AD$870,$AC$3:$AC$870,D$23,$AE$3:$AE$870,"&lt;="&amp;$B112,$AF$3:$AF$870,"&gt;="&amp;$B112)/INDEX('01_INPUTS'!$E$17:$E$31,MATCH(D$23,'01_INPUTS'!$B$17:$B$31,0)))</f>
        <v>0</v>
      </c>
      <c r="E112" s="61">
        <f>IF(INDEX('01_INPUTS'!$E$17:$E$31,MATCH(E$23,'01_INPUTS'!$B$17:$B$31,0))=0,IF(SUMIFS($AD$3:$AD$870,$AC$3:$AC$870,E$23,$AE$3:$AE$870,"&lt;="&amp;$B112,$AF$3:$AF$870,"&gt;="&amp;$B112)=0,0,9.99),SUMIFS($AD$3:$AD$870,$AC$3:$AC$870,E$23,$AE$3:$AE$870,"&lt;="&amp;$B112,$AF$3:$AF$870,"&gt;="&amp;$B112)/INDEX('01_INPUTS'!$E$17:$E$31,MATCH(E$23,'01_INPUTS'!$B$17:$B$31,0)))</f>
        <v>0</v>
      </c>
      <c r="F112" s="61">
        <f>IF(INDEX('01_INPUTS'!$E$17:$E$31,MATCH(F$23,'01_INPUTS'!$B$17:$B$31,0))=0,IF(SUMIFS($AD$3:$AD$870,$AC$3:$AC$870,F$23,$AE$3:$AE$870,"&lt;="&amp;$B112,$AF$3:$AF$870,"&gt;="&amp;$B112)=0,0,9.99),SUMIFS($AD$3:$AD$870,$AC$3:$AC$870,F$23,$AE$3:$AE$870,"&lt;="&amp;$B112,$AF$3:$AF$870,"&gt;="&amp;$B112)/INDEX('01_INPUTS'!$E$17:$E$31,MATCH(F$23,'01_INPUTS'!$B$17:$B$31,0)))</f>
        <v>0</v>
      </c>
      <c r="G112" s="61">
        <f>IF(INDEX('01_INPUTS'!$E$17:$E$31,MATCH(G$23,'01_INPUTS'!$B$17:$B$31,0))=0,IF(SUMIFS($AD$3:$AD$870,$AC$3:$AC$870,G$23,$AE$3:$AE$870,"&lt;="&amp;$B112,$AF$3:$AF$870,"&gt;="&amp;$B112)=0,0,9.99),SUMIFS($AD$3:$AD$870,$AC$3:$AC$870,G$23,$AE$3:$AE$870,"&lt;="&amp;$B112,$AF$3:$AF$870,"&gt;="&amp;$B112)/INDEX('01_INPUTS'!$E$17:$E$31,MATCH(G$23,'01_INPUTS'!$B$17:$B$31,0)))</f>
        <v>0</v>
      </c>
      <c r="H112" s="61">
        <f>IF(INDEX('01_INPUTS'!$E$17:$E$31,MATCH(H$23,'01_INPUTS'!$B$17:$B$31,0))=0,IF(SUMIFS($AD$3:$AD$870,$AC$3:$AC$870,H$23,$AE$3:$AE$870,"&lt;="&amp;$B112,$AF$3:$AF$870,"&gt;="&amp;$B112)=0,0,9.99),SUMIFS($AD$3:$AD$870,$AC$3:$AC$870,H$23,$AE$3:$AE$870,"&lt;="&amp;$B112,$AF$3:$AF$870,"&gt;="&amp;$B112)/INDEX('01_INPUTS'!$E$17:$E$31,MATCH(H$23,'01_INPUTS'!$B$17:$B$31,0)))</f>
        <v>0</v>
      </c>
      <c r="I112" s="61">
        <f>IF(INDEX('01_INPUTS'!$E$17:$E$31,MATCH(I$23,'01_INPUTS'!$B$17:$B$31,0))=0,IF(SUMIFS($AD$3:$AD$870,$AC$3:$AC$870,I$23,$AE$3:$AE$870,"&lt;="&amp;$B112,$AF$3:$AF$870,"&gt;="&amp;$B112)=0,0,9.99),SUMIFS($AD$3:$AD$870,$AC$3:$AC$870,I$23,$AE$3:$AE$870,"&lt;="&amp;$B112,$AF$3:$AF$870,"&gt;="&amp;$B112)/INDEX('01_INPUTS'!$E$17:$E$31,MATCH(I$23,'01_INPUTS'!$B$17:$B$31,0)))</f>
        <v>0</v>
      </c>
      <c r="J112" s="61">
        <f>IF(INDEX('01_INPUTS'!$E$17:$E$31,MATCH(J$23,'01_INPUTS'!$B$17:$B$31,0))=0,IF(SUMIFS($AD$3:$AD$870,$AC$3:$AC$870,J$23,$AE$3:$AE$870,"&lt;="&amp;$B112,$AF$3:$AF$870,"&gt;="&amp;$B112)=0,0,9.99),SUMIFS($AD$3:$AD$870,$AC$3:$AC$870,J$23,$AE$3:$AE$870,"&lt;="&amp;$B112,$AF$3:$AF$870,"&gt;="&amp;$B112)/INDEX('01_INPUTS'!$E$17:$E$31,MATCH(J$23,'01_INPUTS'!$B$17:$B$31,0)))</f>
        <v>0</v>
      </c>
      <c r="K112" s="61">
        <f>IF(INDEX('01_INPUTS'!$E$17:$E$31,MATCH(K$23,'01_INPUTS'!$B$17:$B$31,0))=0,IF(SUMIFS($AD$3:$AD$870,$AC$3:$AC$870,K$23,$AE$3:$AE$870,"&lt;="&amp;$B112,$AF$3:$AF$870,"&gt;="&amp;$B112)=0,0,9.99),SUMIFS($AD$3:$AD$870,$AC$3:$AC$870,K$23,$AE$3:$AE$870,"&lt;="&amp;$B112,$AF$3:$AF$870,"&gt;="&amp;$B112)/INDEX('01_INPUTS'!$E$17:$E$31,MATCH(K$23,'01_INPUTS'!$B$17:$B$31,0)))</f>
        <v>0</v>
      </c>
      <c r="L112" s="61">
        <f>IF(INDEX('01_INPUTS'!$E$17:$E$31,MATCH(L$23,'01_INPUTS'!$B$17:$B$31,0))=0,IF(SUMIFS($AD$3:$AD$870,$AC$3:$AC$870,L$23,$AE$3:$AE$870,"&lt;="&amp;$B112,$AF$3:$AF$870,"&gt;="&amp;$B112)=0,0,9.99),SUMIFS($AD$3:$AD$870,$AC$3:$AC$870,L$23,$AE$3:$AE$870,"&lt;="&amp;$B112,$AF$3:$AF$870,"&gt;="&amp;$B112)/INDEX('01_INPUTS'!$E$17:$E$31,MATCH(L$23,'01_INPUTS'!$B$17:$B$31,0)))</f>
        <v>0</v>
      </c>
      <c r="M112" s="61">
        <f>IF(INDEX('01_INPUTS'!$E$17:$E$31,MATCH(M$23,'01_INPUTS'!$B$17:$B$31,0))=0,IF(SUMIFS($AD$3:$AD$870,$AC$3:$AC$870,M$23,$AE$3:$AE$870,"&lt;="&amp;$B112,$AF$3:$AF$870,"&gt;="&amp;$B112)=0,0,9.99),SUMIFS($AD$3:$AD$870,$AC$3:$AC$870,M$23,$AE$3:$AE$870,"&lt;="&amp;$B112,$AF$3:$AF$870,"&gt;="&amp;$B112)/INDEX('01_INPUTS'!$E$17:$E$31,MATCH(M$23,'01_INPUTS'!$B$17:$B$31,0)))</f>
        <v>0</v>
      </c>
      <c r="N112" s="61">
        <f>IF(INDEX('01_INPUTS'!$E$17:$E$31,MATCH(N$23,'01_INPUTS'!$B$17:$B$31,0))=0,IF(SUMIFS($AD$3:$AD$870,$AC$3:$AC$870,N$23,$AE$3:$AE$870,"&lt;="&amp;$B112,$AF$3:$AF$870,"&gt;="&amp;$B112)=0,0,9.99),SUMIFS($AD$3:$AD$870,$AC$3:$AC$870,N$23,$AE$3:$AE$870,"&lt;="&amp;$B112,$AF$3:$AF$870,"&gt;="&amp;$B112)/INDEX('01_INPUTS'!$E$17:$E$31,MATCH(N$23,'01_INPUTS'!$B$17:$B$31,0)))</f>
        <v>0</v>
      </c>
      <c r="O112" s="61">
        <f>IF(INDEX('01_INPUTS'!$E$17:$E$31,MATCH(O$23,'01_INPUTS'!$B$17:$B$31,0))=0,IF(SUMIFS($AD$3:$AD$870,$AC$3:$AC$870,O$23,$AE$3:$AE$870,"&lt;="&amp;$B112,$AF$3:$AF$870,"&gt;="&amp;$B112)=0,0,9.99),SUMIFS($AD$3:$AD$870,$AC$3:$AC$870,O$23,$AE$3:$AE$870,"&lt;="&amp;$B112,$AF$3:$AF$870,"&gt;="&amp;$B112)/INDEX('01_INPUTS'!$E$17:$E$31,MATCH(O$23,'01_INPUTS'!$B$17:$B$31,0)))</f>
        <v>0</v>
      </c>
      <c r="P112" s="61">
        <f>IF(INDEX('01_INPUTS'!$E$17:$E$31,MATCH(P$23,'01_INPUTS'!$B$17:$B$31,0))=0,IF(SUMIFS($AD$3:$AD$870,$AC$3:$AC$870,P$23,$AE$3:$AE$870,"&lt;="&amp;$B112,$AF$3:$AF$870,"&gt;="&amp;$B112)=0,0,9.99),SUMIFS($AD$3:$AD$870,$AC$3:$AC$870,P$23,$AE$3:$AE$870,"&lt;="&amp;$B112,$AF$3:$AF$870,"&gt;="&amp;$B112)/INDEX('01_INPUTS'!$E$17:$E$31,MATCH(P$23,'01_INPUTS'!$B$17:$B$31,0)))</f>
        <v>0</v>
      </c>
      <c r="Q112" s="61">
        <f>IF(INDEX('01_INPUTS'!$E$17:$E$31,MATCH(Q$23,'01_INPUTS'!$B$17:$B$31,0))=0,IF(SUMIFS($AD$3:$AD$870,$AC$3:$AC$870,Q$23,$AE$3:$AE$870,"&lt;="&amp;$B112,$AF$3:$AF$870,"&gt;="&amp;$B112)=0,0,9.99),SUMIFS($AD$3:$AD$870,$AC$3:$AC$870,Q$23,$AE$3:$AE$870,"&lt;="&amp;$B112,$AF$3:$AF$870,"&gt;="&amp;$B112)/INDEX('01_INPUTS'!$E$17:$E$31,MATCH(Q$23,'01_INPUTS'!$B$17:$B$31,0)))</f>
        <v>0</v>
      </c>
      <c r="R112" s="61">
        <f>IF(INDEX('01_INPUTS'!$E$17:$E$31,MATCH(R$23,'01_INPUTS'!$B$17:$B$31,0))=0,IF(SUMIFS($AD$3:$AD$870,$AC$3:$AC$870,R$23,$AE$3:$AE$870,"&lt;="&amp;$B112,$AF$3:$AF$870,"&gt;="&amp;$B112)=0,0,9.99),SUMIFS($AD$3:$AD$870,$AC$3:$AC$870,R$23,$AE$3:$AE$870,"&lt;="&amp;$B112,$AF$3:$AF$870,"&gt;="&amp;$B112)/INDEX('01_INPUTS'!$E$17:$E$31,MATCH(R$23,'01_INPUTS'!$B$17:$B$31,0)))</f>
        <v>0</v>
      </c>
      <c r="S112">
        <f t="shared" si="10"/>
        <v>0</v>
      </c>
      <c r="T112">
        <f>SUM('01_INPUTS'!$E$17:$E$31)</f>
        <v>20</v>
      </c>
      <c r="U112" s="61">
        <f t="shared" si="11"/>
        <v>0</v>
      </c>
      <c r="V112">
        <f t="shared" si="12"/>
        <v>0</v>
      </c>
      <c r="W112" t="str">
        <f t="shared" si="13"/>
        <v>VERDE</v>
      </c>
      <c r="AA112" s="51" t="str">
        <f>'Sites Master'!$B$3</f>
        <v>Site 02</v>
      </c>
      <c r="AB112" s="51" t="str">
        <f>'Phase-Resource Allocation'!$B$111</f>
        <v>Go Live</v>
      </c>
      <c r="AC112" s="51" t="str">
        <f>'Phase-Resource Allocation'!$C$111</f>
        <v>Infrastructure Lead</v>
      </c>
      <c r="AD112" s="60">
        <f>'Phase-Resource Allocation'!$D$111</f>
        <v>1</v>
      </c>
      <c r="AE112" s="51">
        <f>IFERROR(INDEX('02_SCHEDULE'!$K$5:$K$124,MATCH(AA112&amp;"|"&amp;AB112,'02_SCHEDULE'!$M$5:$M$124,0)),0)</f>
        <v>12</v>
      </c>
      <c r="AF112" s="51">
        <f>IFERROR(INDEX('02_SCHEDULE'!$L$5:$L$124,MATCH(AA112&amp;"|"&amp;AB112,'02_SCHEDULE'!$M$5:$M$124,0)),0)</f>
        <v>12</v>
      </c>
      <c r="AG112" s="51">
        <f t="shared" si="9"/>
        <v>1</v>
      </c>
    </row>
    <row r="113" spans="2:33" x14ac:dyDescent="0.3">
      <c r="B113">
        <f>90</f>
        <v>90</v>
      </c>
      <c r="C113" s="55">
        <f>'01_INPUTS'!$C$7+(90-1)*7</f>
        <v>46874</v>
      </c>
      <c r="D113" s="61">
        <f>IF(INDEX('01_INPUTS'!$E$17:$E$31,MATCH(D$23,'01_INPUTS'!$B$17:$B$31,0))=0,IF(SUMIFS($AD$3:$AD$870,$AC$3:$AC$870,D$23,$AE$3:$AE$870,"&lt;="&amp;$B113,$AF$3:$AF$870,"&gt;="&amp;$B113)=0,0,9.99),SUMIFS($AD$3:$AD$870,$AC$3:$AC$870,D$23,$AE$3:$AE$870,"&lt;="&amp;$B113,$AF$3:$AF$870,"&gt;="&amp;$B113)/INDEX('01_INPUTS'!$E$17:$E$31,MATCH(D$23,'01_INPUTS'!$B$17:$B$31,0)))</f>
        <v>0</v>
      </c>
      <c r="E113" s="61">
        <f>IF(INDEX('01_INPUTS'!$E$17:$E$31,MATCH(E$23,'01_INPUTS'!$B$17:$B$31,0))=0,IF(SUMIFS($AD$3:$AD$870,$AC$3:$AC$870,E$23,$AE$3:$AE$870,"&lt;="&amp;$B113,$AF$3:$AF$870,"&gt;="&amp;$B113)=0,0,9.99),SUMIFS($AD$3:$AD$870,$AC$3:$AC$870,E$23,$AE$3:$AE$870,"&lt;="&amp;$B113,$AF$3:$AF$870,"&gt;="&amp;$B113)/INDEX('01_INPUTS'!$E$17:$E$31,MATCH(E$23,'01_INPUTS'!$B$17:$B$31,0)))</f>
        <v>0</v>
      </c>
      <c r="F113" s="61">
        <f>IF(INDEX('01_INPUTS'!$E$17:$E$31,MATCH(F$23,'01_INPUTS'!$B$17:$B$31,0))=0,IF(SUMIFS($AD$3:$AD$870,$AC$3:$AC$870,F$23,$AE$3:$AE$870,"&lt;="&amp;$B113,$AF$3:$AF$870,"&gt;="&amp;$B113)=0,0,9.99),SUMIFS($AD$3:$AD$870,$AC$3:$AC$870,F$23,$AE$3:$AE$870,"&lt;="&amp;$B113,$AF$3:$AF$870,"&gt;="&amp;$B113)/INDEX('01_INPUTS'!$E$17:$E$31,MATCH(F$23,'01_INPUTS'!$B$17:$B$31,0)))</f>
        <v>0</v>
      </c>
      <c r="G113" s="61">
        <f>IF(INDEX('01_INPUTS'!$E$17:$E$31,MATCH(G$23,'01_INPUTS'!$B$17:$B$31,0))=0,IF(SUMIFS($AD$3:$AD$870,$AC$3:$AC$870,G$23,$AE$3:$AE$870,"&lt;="&amp;$B113,$AF$3:$AF$870,"&gt;="&amp;$B113)=0,0,9.99),SUMIFS($AD$3:$AD$870,$AC$3:$AC$870,G$23,$AE$3:$AE$870,"&lt;="&amp;$B113,$AF$3:$AF$870,"&gt;="&amp;$B113)/INDEX('01_INPUTS'!$E$17:$E$31,MATCH(G$23,'01_INPUTS'!$B$17:$B$31,0)))</f>
        <v>0</v>
      </c>
      <c r="H113" s="61">
        <f>IF(INDEX('01_INPUTS'!$E$17:$E$31,MATCH(H$23,'01_INPUTS'!$B$17:$B$31,0))=0,IF(SUMIFS($AD$3:$AD$870,$AC$3:$AC$870,H$23,$AE$3:$AE$870,"&lt;="&amp;$B113,$AF$3:$AF$870,"&gt;="&amp;$B113)=0,0,9.99),SUMIFS($AD$3:$AD$870,$AC$3:$AC$870,H$23,$AE$3:$AE$870,"&lt;="&amp;$B113,$AF$3:$AF$870,"&gt;="&amp;$B113)/INDEX('01_INPUTS'!$E$17:$E$31,MATCH(H$23,'01_INPUTS'!$B$17:$B$31,0)))</f>
        <v>0</v>
      </c>
      <c r="I113" s="61">
        <f>IF(INDEX('01_INPUTS'!$E$17:$E$31,MATCH(I$23,'01_INPUTS'!$B$17:$B$31,0))=0,IF(SUMIFS($AD$3:$AD$870,$AC$3:$AC$870,I$23,$AE$3:$AE$870,"&lt;="&amp;$B113,$AF$3:$AF$870,"&gt;="&amp;$B113)=0,0,9.99),SUMIFS($AD$3:$AD$870,$AC$3:$AC$870,I$23,$AE$3:$AE$870,"&lt;="&amp;$B113,$AF$3:$AF$870,"&gt;="&amp;$B113)/INDEX('01_INPUTS'!$E$17:$E$31,MATCH(I$23,'01_INPUTS'!$B$17:$B$31,0)))</f>
        <v>0</v>
      </c>
      <c r="J113" s="61">
        <f>IF(INDEX('01_INPUTS'!$E$17:$E$31,MATCH(J$23,'01_INPUTS'!$B$17:$B$31,0))=0,IF(SUMIFS($AD$3:$AD$870,$AC$3:$AC$870,J$23,$AE$3:$AE$870,"&lt;="&amp;$B113,$AF$3:$AF$870,"&gt;="&amp;$B113)=0,0,9.99),SUMIFS($AD$3:$AD$870,$AC$3:$AC$870,J$23,$AE$3:$AE$870,"&lt;="&amp;$B113,$AF$3:$AF$870,"&gt;="&amp;$B113)/INDEX('01_INPUTS'!$E$17:$E$31,MATCH(J$23,'01_INPUTS'!$B$17:$B$31,0)))</f>
        <v>0</v>
      </c>
      <c r="K113" s="61">
        <f>IF(INDEX('01_INPUTS'!$E$17:$E$31,MATCH(K$23,'01_INPUTS'!$B$17:$B$31,0))=0,IF(SUMIFS($AD$3:$AD$870,$AC$3:$AC$870,K$23,$AE$3:$AE$870,"&lt;="&amp;$B113,$AF$3:$AF$870,"&gt;="&amp;$B113)=0,0,9.99),SUMIFS($AD$3:$AD$870,$AC$3:$AC$870,K$23,$AE$3:$AE$870,"&lt;="&amp;$B113,$AF$3:$AF$870,"&gt;="&amp;$B113)/INDEX('01_INPUTS'!$E$17:$E$31,MATCH(K$23,'01_INPUTS'!$B$17:$B$31,0)))</f>
        <v>0</v>
      </c>
      <c r="L113" s="61">
        <f>IF(INDEX('01_INPUTS'!$E$17:$E$31,MATCH(L$23,'01_INPUTS'!$B$17:$B$31,0))=0,IF(SUMIFS($AD$3:$AD$870,$AC$3:$AC$870,L$23,$AE$3:$AE$870,"&lt;="&amp;$B113,$AF$3:$AF$870,"&gt;="&amp;$B113)=0,0,9.99),SUMIFS($AD$3:$AD$870,$AC$3:$AC$870,L$23,$AE$3:$AE$870,"&lt;="&amp;$B113,$AF$3:$AF$870,"&gt;="&amp;$B113)/INDEX('01_INPUTS'!$E$17:$E$31,MATCH(L$23,'01_INPUTS'!$B$17:$B$31,0)))</f>
        <v>0</v>
      </c>
      <c r="M113" s="61">
        <f>IF(INDEX('01_INPUTS'!$E$17:$E$31,MATCH(M$23,'01_INPUTS'!$B$17:$B$31,0))=0,IF(SUMIFS($AD$3:$AD$870,$AC$3:$AC$870,M$23,$AE$3:$AE$870,"&lt;="&amp;$B113,$AF$3:$AF$870,"&gt;="&amp;$B113)=0,0,9.99),SUMIFS($AD$3:$AD$870,$AC$3:$AC$870,M$23,$AE$3:$AE$870,"&lt;="&amp;$B113,$AF$3:$AF$870,"&gt;="&amp;$B113)/INDEX('01_INPUTS'!$E$17:$E$31,MATCH(M$23,'01_INPUTS'!$B$17:$B$31,0)))</f>
        <v>0</v>
      </c>
      <c r="N113" s="61">
        <f>IF(INDEX('01_INPUTS'!$E$17:$E$31,MATCH(N$23,'01_INPUTS'!$B$17:$B$31,0))=0,IF(SUMIFS($AD$3:$AD$870,$AC$3:$AC$870,N$23,$AE$3:$AE$870,"&lt;="&amp;$B113,$AF$3:$AF$870,"&gt;="&amp;$B113)=0,0,9.99),SUMIFS($AD$3:$AD$870,$AC$3:$AC$870,N$23,$AE$3:$AE$870,"&lt;="&amp;$B113,$AF$3:$AF$870,"&gt;="&amp;$B113)/INDEX('01_INPUTS'!$E$17:$E$31,MATCH(N$23,'01_INPUTS'!$B$17:$B$31,0)))</f>
        <v>0</v>
      </c>
      <c r="O113" s="61">
        <f>IF(INDEX('01_INPUTS'!$E$17:$E$31,MATCH(O$23,'01_INPUTS'!$B$17:$B$31,0))=0,IF(SUMIFS($AD$3:$AD$870,$AC$3:$AC$870,O$23,$AE$3:$AE$870,"&lt;="&amp;$B113,$AF$3:$AF$870,"&gt;="&amp;$B113)=0,0,9.99),SUMIFS($AD$3:$AD$870,$AC$3:$AC$870,O$23,$AE$3:$AE$870,"&lt;="&amp;$B113,$AF$3:$AF$870,"&gt;="&amp;$B113)/INDEX('01_INPUTS'!$E$17:$E$31,MATCH(O$23,'01_INPUTS'!$B$17:$B$31,0)))</f>
        <v>0</v>
      </c>
      <c r="P113" s="61">
        <f>IF(INDEX('01_INPUTS'!$E$17:$E$31,MATCH(P$23,'01_INPUTS'!$B$17:$B$31,0))=0,IF(SUMIFS($AD$3:$AD$870,$AC$3:$AC$870,P$23,$AE$3:$AE$870,"&lt;="&amp;$B113,$AF$3:$AF$870,"&gt;="&amp;$B113)=0,0,9.99),SUMIFS($AD$3:$AD$870,$AC$3:$AC$870,P$23,$AE$3:$AE$870,"&lt;="&amp;$B113,$AF$3:$AF$870,"&gt;="&amp;$B113)/INDEX('01_INPUTS'!$E$17:$E$31,MATCH(P$23,'01_INPUTS'!$B$17:$B$31,0)))</f>
        <v>0</v>
      </c>
      <c r="Q113" s="61">
        <f>IF(INDEX('01_INPUTS'!$E$17:$E$31,MATCH(Q$23,'01_INPUTS'!$B$17:$B$31,0))=0,IF(SUMIFS($AD$3:$AD$870,$AC$3:$AC$870,Q$23,$AE$3:$AE$870,"&lt;="&amp;$B113,$AF$3:$AF$870,"&gt;="&amp;$B113)=0,0,9.99),SUMIFS($AD$3:$AD$870,$AC$3:$AC$870,Q$23,$AE$3:$AE$870,"&lt;="&amp;$B113,$AF$3:$AF$870,"&gt;="&amp;$B113)/INDEX('01_INPUTS'!$E$17:$E$31,MATCH(Q$23,'01_INPUTS'!$B$17:$B$31,0)))</f>
        <v>0</v>
      </c>
      <c r="R113" s="61">
        <f>IF(INDEX('01_INPUTS'!$E$17:$E$31,MATCH(R$23,'01_INPUTS'!$B$17:$B$31,0))=0,IF(SUMIFS($AD$3:$AD$870,$AC$3:$AC$870,R$23,$AE$3:$AE$870,"&lt;="&amp;$B113,$AF$3:$AF$870,"&gt;="&amp;$B113)=0,0,9.99),SUMIFS($AD$3:$AD$870,$AC$3:$AC$870,R$23,$AE$3:$AE$870,"&lt;="&amp;$B113,$AF$3:$AF$870,"&gt;="&amp;$B113)/INDEX('01_INPUTS'!$E$17:$E$31,MATCH(R$23,'01_INPUTS'!$B$17:$B$31,0)))</f>
        <v>0</v>
      </c>
      <c r="S113">
        <f t="shared" si="10"/>
        <v>0</v>
      </c>
      <c r="T113">
        <f>SUM('01_INPUTS'!$E$17:$E$31)</f>
        <v>20</v>
      </c>
      <c r="U113" s="61">
        <f t="shared" si="11"/>
        <v>0</v>
      </c>
      <c r="V113">
        <f t="shared" si="12"/>
        <v>0</v>
      </c>
      <c r="W113" t="str">
        <f t="shared" si="13"/>
        <v>VERDE</v>
      </c>
      <c r="AA113" s="51" t="str">
        <f>'Sites Master'!$B$3</f>
        <v>Site 02</v>
      </c>
      <c r="AB113" s="51" t="str">
        <f>'Phase-Resource Allocation'!$B$112</f>
        <v>Go Live</v>
      </c>
      <c r="AC113" s="51" t="str">
        <f>'Phase-Resource Allocation'!$C$112</f>
        <v>Functional Lead Vendor A</v>
      </c>
      <c r="AD113" s="60">
        <f>'Phase-Resource Allocation'!$D$112</f>
        <v>1</v>
      </c>
      <c r="AE113" s="51">
        <f>IFERROR(INDEX('02_SCHEDULE'!$K$5:$K$124,MATCH(AA113&amp;"|"&amp;AB113,'02_SCHEDULE'!$M$5:$M$124,0)),0)</f>
        <v>12</v>
      </c>
      <c r="AF113" s="51">
        <f>IFERROR(INDEX('02_SCHEDULE'!$L$5:$L$124,MATCH(AA113&amp;"|"&amp;AB113,'02_SCHEDULE'!$M$5:$M$124,0)),0)</f>
        <v>12</v>
      </c>
      <c r="AG113" s="51">
        <f t="shared" si="9"/>
        <v>1</v>
      </c>
    </row>
    <row r="114" spans="2:33" x14ac:dyDescent="0.3">
      <c r="B114">
        <f>91</f>
        <v>91</v>
      </c>
      <c r="C114" s="55">
        <f>'01_INPUTS'!$C$7+(91-1)*7</f>
        <v>46881</v>
      </c>
      <c r="D114" s="61">
        <f>IF(INDEX('01_INPUTS'!$E$17:$E$31,MATCH(D$23,'01_INPUTS'!$B$17:$B$31,0))=0,IF(SUMIFS($AD$3:$AD$870,$AC$3:$AC$870,D$23,$AE$3:$AE$870,"&lt;="&amp;$B114,$AF$3:$AF$870,"&gt;="&amp;$B114)=0,0,9.99),SUMIFS($AD$3:$AD$870,$AC$3:$AC$870,D$23,$AE$3:$AE$870,"&lt;="&amp;$B114,$AF$3:$AF$870,"&gt;="&amp;$B114)/INDEX('01_INPUTS'!$E$17:$E$31,MATCH(D$23,'01_INPUTS'!$B$17:$B$31,0)))</f>
        <v>0</v>
      </c>
      <c r="E114" s="61">
        <f>IF(INDEX('01_INPUTS'!$E$17:$E$31,MATCH(E$23,'01_INPUTS'!$B$17:$B$31,0))=0,IF(SUMIFS($AD$3:$AD$870,$AC$3:$AC$870,E$23,$AE$3:$AE$870,"&lt;="&amp;$B114,$AF$3:$AF$870,"&gt;="&amp;$B114)=0,0,9.99),SUMIFS($AD$3:$AD$870,$AC$3:$AC$870,E$23,$AE$3:$AE$870,"&lt;="&amp;$B114,$AF$3:$AF$870,"&gt;="&amp;$B114)/INDEX('01_INPUTS'!$E$17:$E$31,MATCH(E$23,'01_INPUTS'!$B$17:$B$31,0)))</f>
        <v>0</v>
      </c>
      <c r="F114" s="61">
        <f>IF(INDEX('01_INPUTS'!$E$17:$E$31,MATCH(F$23,'01_INPUTS'!$B$17:$B$31,0))=0,IF(SUMIFS($AD$3:$AD$870,$AC$3:$AC$870,F$23,$AE$3:$AE$870,"&lt;="&amp;$B114,$AF$3:$AF$870,"&gt;="&amp;$B114)=0,0,9.99),SUMIFS($AD$3:$AD$870,$AC$3:$AC$870,F$23,$AE$3:$AE$870,"&lt;="&amp;$B114,$AF$3:$AF$870,"&gt;="&amp;$B114)/INDEX('01_INPUTS'!$E$17:$E$31,MATCH(F$23,'01_INPUTS'!$B$17:$B$31,0)))</f>
        <v>0</v>
      </c>
      <c r="G114" s="61">
        <f>IF(INDEX('01_INPUTS'!$E$17:$E$31,MATCH(G$23,'01_INPUTS'!$B$17:$B$31,0))=0,IF(SUMIFS($AD$3:$AD$870,$AC$3:$AC$870,G$23,$AE$3:$AE$870,"&lt;="&amp;$B114,$AF$3:$AF$870,"&gt;="&amp;$B114)=0,0,9.99),SUMIFS($AD$3:$AD$870,$AC$3:$AC$870,G$23,$AE$3:$AE$870,"&lt;="&amp;$B114,$AF$3:$AF$870,"&gt;="&amp;$B114)/INDEX('01_INPUTS'!$E$17:$E$31,MATCH(G$23,'01_INPUTS'!$B$17:$B$31,0)))</f>
        <v>0</v>
      </c>
      <c r="H114" s="61">
        <f>IF(INDEX('01_INPUTS'!$E$17:$E$31,MATCH(H$23,'01_INPUTS'!$B$17:$B$31,0))=0,IF(SUMIFS($AD$3:$AD$870,$AC$3:$AC$870,H$23,$AE$3:$AE$870,"&lt;="&amp;$B114,$AF$3:$AF$870,"&gt;="&amp;$B114)=0,0,9.99),SUMIFS($AD$3:$AD$870,$AC$3:$AC$870,H$23,$AE$3:$AE$870,"&lt;="&amp;$B114,$AF$3:$AF$870,"&gt;="&amp;$B114)/INDEX('01_INPUTS'!$E$17:$E$31,MATCH(H$23,'01_INPUTS'!$B$17:$B$31,0)))</f>
        <v>0</v>
      </c>
      <c r="I114" s="61">
        <f>IF(INDEX('01_INPUTS'!$E$17:$E$31,MATCH(I$23,'01_INPUTS'!$B$17:$B$31,0))=0,IF(SUMIFS($AD$3:$AD$870,$AC$3:$AC$870,I$23,$AE$3:$AE$870,"&lt;="&amp;$B114,$AF$3:$AF$870,"&gt;="&amp;$B114)=0,0,9.99),SUMIFS($AD$3:$AD$870,$AC$3:$AC$870,I$23,$AE$3:$AE$870,"&lt;="&amp;$B114,$AF$3:$AF$870,"&gt;="&amp;$B114)/INDEX('01_INPUTS'!$E$17:$E$31,MATCH(I$23,'01_INPUTS'!$B$17:$B$31,0)))</f>
        <v>0</v>
      </c>
      <c r="J114" s="61">
        <f>IF(INDEX('01_INPUTS'!$E$17:$E$31,MATCH(J$23,'01_INPUTS'!$B$17:$B$31,0))=0,IF(SUMIFS($AD$3:$AD$870,$AC$3:$AC$870,J$23,$AE$3:$AE$870,"&lt;="&amp;$B114,$AF$3:$AF$870,"&gt;="&amp;$B114)=0,0,9.99),SUMIFS($AD$3:$AD$870,$AC$3:$AC$870,J$23,$AE$3:$AE$870,"&lt;="&amp;$B114,$AF$3:$AF$870,"&gt;="&amp;$B114)/INDEX('01_INPUTS'!$E$17:$E$31,MATCH(J$23,'01_INPUTS'!$B$17:$B$31,0)))</f>
        <v>0</v>
      </c>
      <c r="K114" s="61">
        <f>IF(INDEX('01_INPUTS'!$E$17:$E$31,MATCH(K$23,'01_INPUTS'!$B$17:$B$31,0))=0,IF(SUMIFS($AD$3:$AD$870,$AC$3:$AC$870,K$23,$AE$3:$AE$870,"&lt;="&amp;$B114,$AF$3:$AF$870,"&gt;="&amp;$B114)=0,0,9.99),SUMIFS($AD$3:$AD$870,$AC$3:$AC$870,K$23,$AE$3:$AE$870,"&lt;="&amp;$B114,$AF$3:$AF$870,"&gt;="&amp;$B114)/INDEX('01_INPUTS'!$E$17:$E$31,MATCH(K$23,'01_INPUTS'!$B$17:$B$31,0)))</f>
        <v>0</v>
      </c>
      <c r="L114" s="61">
        <f>IF(INDEX('01_INPUTS'!$E$17:$E$31,MATCH(L$23,'01_INPUTS'!$B$17:$B$31,0))=0,IF(SUMIFS($AD$3:$AD$870,$AC$3:$AC$870,L$23,$AE$3:$AE$870,"&lt;="&amp;$B114,$AF$3:$AF$870,"&gt;="&amp;$B114)=0,0,9.99),SUMIFS($AD$3:$AD$870,$AC$3:$AC$870,L$23,$AE$3:$AE$870,"&lt;="&amp;$B114,$AF$3:$AF$870,"&gt;="&amp;$B114)/INDEX('01_INPUTS'!$E$17:$E$31,MATCH(L$23,'01_INPUTS'!$B$17:$B$31,0)))</f>
        <v>0</v>
      </c>
      <c r="M114" s="61">
        <f>IF(INDEX('01_INPUTS'!$E$17:$E$31,MATCH(M$23,'01_INPUTS'!$B$17:$B$31,0))=0,IF(SUMIFS($AD$3:$AD$870,$AC$3:$AC$870,M$23,$AE$3:$AE$870,"&lt;="&amp;$B114,$AF$3:$AF$870,"&gt;="&amp;$B114)=0,0,9.99),SUMIFS($AD$3:$AD$870,$AC$3:$AC$870,M$23,$AE$3:$AE$870,"&lt;="&amp;$B114,$AF$3:$AF$870,"&gt;="&amp;$B114)/INDEX('01_INPUTS'!$E$17:$E$31,MATCH(M$23,'01_INPUTS'!$B$17:$B$31,0)))</f>
        <v>0</v>
      </c>
      <c r="N114" s="61">
        <f>IF(INDEX('01_INPUTS'!$E$17:$E$31,MATCH(N$23,'01_INPUTS'!$B$17:$B$31,0))=0,IF(SUMIFS($AD$3:$AD$870,$AC$3:$AC$870,N$23,$AE$3:$AE$870,"&lt;="&amp;$B114,$AF$3:$AF$870,"&gt;="&amp;$B114)=0,0,9.99),SUMIFS($AD$3:$AD$870,$AC$3:$AC$870,N$23,$AE$3:$AE$870,"&lt;="&amp;$B114,$AF$3:$AF$870,"&gt;="&amp;$B114)/INDEX('01_INPUTS'!$E$17:$E$31,MATCH(N$23,'01_INPUTS'!$B$17:$B$31,0)))</f>
        <v>0</v>
      </c>
      <c r="O114" s="61">
        <f>IF(INDEX('01_INPUTS'!$E$17:$E$31,MATCH(O$23,'01_INPUTS'!$B$17:$B$31,0))=0,IF(SUMIFS($AD$3:$AD$870,$AC$3:$AC$870,O$23,$AE$3:$AE$870,"&lt;="&amp;$B114,$AF$3:$AF$870,"&gt;="&amp;$B114)=0,0,9.99),SUMIFS($AD$3:$AD$870,$AC$3:$AC$870,O$23,$AE$3:$AE$870,"&lt;="&amp;$B114,$AF$3:$AF$870,"&gt;="&amp;$B114)/INDEX('01_INPUTS'!$E$17:$E$31,MATCH(O$23,'01_INPUTS'!$B$17:$B$31,0)))</f>
        <v>0</v>
      </c>
      <c r="P114" s="61">
        <f>IF(INDEX('01_INPUTS'!$E$17:$E$31,MATCH(P$23,'01_INPUTS'!$B$17:$B$31,0))=0,IF(SUMIFS($AD$3:$AD$870,$AC$3:$AC$870,P$23,$AE$3:$AE$870,"&lt;="&amp;$B114,$AF$3:$AF$870,"&gt;="&amp;$B114)=0,0,9.99),SUMIFS($AD$3:$AD$870,$AC$3:$AC$870,P$23,$AE$3:$AE$870,"&lt;="&amp;$B114,$AF$3:$AF$870,"&gt;="&amp;$B114)/INDEX('01_INPUTS'!$E$17:$E$31,MATCH(P$23,'01_INPUTS'!$B$17:$B$31,0)))</f>
        <v>0</v>
      </c>
      <c r="Q114" s="61">
        <f>IF(INDEX('01_INPUTS'!$E$17:$E$31,MATCH(Q$23,'01_INPUTS'!$B$17:$B$31,0))=0,IF(SUMIFS($AD$3:$AD$870,$AC$3:$AC$870,Q$23,$AE$3:$AE$870,"&lt;="&amp;$B114,$AF$3:$AF$870,"&gt;="&amp;$B114)=0,0,9.99),SUMIFS($AD$3:$AD$870,$AC$3:$AC$870,Q$23,$AE$3:$AE$870,"&lt;="&amp;$B114,$AF$3:$AF$870,"&gt;="&amp;$B114)/INDEX('01_INPUTS'!$E$17:$E$31,MATCH(Q$23,'01_INPUTS'!$B$17:$B$31,0)))</f>
        <v>0</v>
      </c>
      <c r="R114" s="61">
        <f>IF(INDEX('01_INPUTS'!$E$17:$E$31,MATCH(R$23,'01_INPUTS'!$B$17:$B$31,0))=0,IF(SUMIFS($AD$3:$AD$870,$AC$3:$AC$870,R$23,$AE$3:$AE$870,"&lt;="&amp;$B114,$AF$3:$AF$870,"&gt;="&amp;$B114)=0,0,9.99),SUMIFS($AD$3:$AD$870,$AC$3:$AC$870,R$23,$AE$3:$AE$870,"&lt;="&amp;$B114,$AF$3:$AF$870,"&gt;="&amp;$B114)/INDEX('01_INPUTS'!$E$17:$E$31,MATCH(R$23,'01_INPUTS'!$B$17:$B$31,0)))</f>
        <v>0</v>
      </c>
      <c r="S114">
        <f t="shared" si="10"/>
        <v>0</v>
      </c>
      <c r="T114">
        <f>SUM('01_INPUTS'!$E$17:$E$31)</f>
        <v>20</v>
      </c>
      <c r="U114" s="61">
        <f t="shared" si="11"/>
        <v>0</v>
      </c>
      <c r="V114">
        <f t="shared" si="12"/>
        <v>0</v>
      </c>
      <c r="W114" t="str">
        <f t="shared" si="13"/>
        <v>VERDE</v>
      </c>
      <c r="AA114" s="51" t="str">
        <f>'Sites Master'!$B$3</f>
        <v>Site 02</v>
      </c>
      <c r="AB114" s="51" t="str">
        <f>'Phase-Resource Allocation'!$B$113</f>
        <v>Hypercare</v>
      </c>
      <c r="AC114" s="51" t="str">
        <f>'Phase-Resource Allocation'!$C$113</f>
        <v>Solution Architect</v>
      </c>
      <c r="AD114" s="60">
        <f>'Phase-Resource Allocation'!$D$113</f>
        <v>0.5</v>
      </c>
      <c r="AE114" s="51">
        <f>IFERROR(INDEX('02_SCHEDULE'!$K$5:$K$124,MATCH(AA114&amp;"|"&amp;AB114,'02_SCHEDULE'!$M$5:$M$124,0)),0)</f>
        <v>13</v>
      </c>
      <c r="AF114" s="51">
        <f>IFERROR(INDEX('02_SCHEDULE'!$L$5:$L$124,MATCH(AA114&amp;"|"&amp;AB114,'02_SCHEDULE'!$M$5:$M$124,0)),0)</f>
        <v>16</v>
      </c>
      <c r="AG114" s="51">
        <f t="shared" si="9"/>
        <v>2</v>
      </c>
    </row>
    <row r="115" spans="2:33" x14ac:dyDescent="0.3">
      <c r="B115">
        <f>92</f>
        <v>92</v>
      </c>
      <c r="C115" s="55">
        <f>'01_INPUTS'!$C$7+(92-1)*7</f>
        <v>46888</v>
      </c>
      <c r="D115" s="61">
        <f>IF(INDEX('01_INPUTS'!$E$17:$E$31,MATCH(D$23,'01_INPUTS'!$B$17:$B$31,0))=0,IF(SUMIFS($AD$3:$AD$870,$AC$3:$AC$870,D$23,$AE$3:$AE$870,"&lt;="&amp;$B115,$AF$3:$AF$870,"&gt;="&amp;$B115)=0,0,9.99),SUMIFS($AD$3:$AD$870,$AC$3:$AC$870,D$23,$AE$3:$AE$870,"&lt;="&amp;$B115,$AF$3:$AF$870,"&gt;="&amp;$B115)/INDEX('01_INPUTS'!$E$17:$E$31,MATCH(D$23,'01_INPUTS'!$B$17:$B$31,0)))</f>
        <v>0</v>
      </c>
      <c r="E115" s="61">
        <f>IF(INDEX('01_INPUTS'!$E$17:$E$31,MATCH(E$23,'01_INPUTS'!$B$17:$B$31,0))=0,IF(SUMIFS($AD$3:$AD$870,$AC$3:$AC$870,E$23,$AE$3:$AE$870,"&lt;="&amp;$B115,$AF$3:$AF$870,"&gt;="&amp;$B115)=0,0,9.99),SUMIFS($AD$3:$AD$870,$AC$3:$AC$870,E$23,$AE$3:$AE$870,"&lt;="&amp;$B115,$AF$3:$AF$870,"&gt;="&amp;$B115)/INDEX('01_INPUTS'!$E$17:$E$31,MATCH(E$23,'01_INPUTS'!$B$17:$B$31,0)))</f>
        <v>0</v>
      </c>
      <c r="F115" s="61">
        <f>IF(INDEX('01_INPUTS'!$E$17:$E$31,MATCH(F$23,'01_INPUTS'!$B$17:$B$31,0))=0,IF(SUMIFS($AD$3:$AD$870,$AC$3:$AC$870,F$23,$AE$3:$AE$870,"&lt;="&amp;$B115,$AF$3:$AF$870,"&gt;="&amp;$B115)=0,0,9.99),SUMIFS($AD$3:$AD$870,$AC$3:$AC$870,F$23,$AE$3:$AE$870,"&lt;="&amp;$B115,$AF$3:$AF$870,"&gt;="&amp;$B115)/INDEX('01_INPUTS'!$E$17:$E$31,MATCH(F$23,'01_INPUTS'!$B$17:$B$31,0)))</f>
        <v>0</v>
      </c>
      <c r="G115" s="61">
        <f>IF(INDEX('01_INPUTS'!$E$17:$E$31,MATCH(G$23,'01_INPUTS'!$B$17:$B$31,0))=0,IF(SUMIFS($AD$3:$AD$870,$AC$3:$AC$870,G$23,$AE$3:$AE$870,"&lt;="&amp;$B115,$AF$3:$AF$870,"&gt;="&amp;$B115)=0,0,9.99),SUMIFS($AD$3:$AD$870,$AC$3:$AC$870,G$23,$AE$3:$AE$870,"&lt;="&amp;$B115,$AF$3:$AF$870,"&gt;="&amp;$B115)/INDEX('01_INPUTS'!$E$17:$E$31,MATCH(G$23,'01_INPUTS'!$B$17:$B$31,0)))</f>
        <v>0</v>
      </c>
      <c r="H115" s="61">
        <f>IF(INDEX('01_INPUTS'!$E$17:$E$31,MATCH(H$23,'01_INPUTS'!$B$17:$B$31,0))=0,IF(SUMIFS($AD$3:$AD$870,$AC$3:$AC$870,H$23,$AE$3:$AE$870,"&lt;="&amp;$B115,$AF$3:$AF$870,"&gt;="&amp;$B115)=0,0,9.99),SUMIFS($AD$3:$AD$870,$AC$3:$AC$870,H$23,$AE$3:$AE$870,"&lt;="&amp;$B115,$AF$3:$AF$870,"&gt;="&amp;$B115)/INDEX('01_INPUTS'!$E$17:$E$31,MATCH(H$23,'01_INPUTS'!$B$17:$B$31,0)))</f>
        <v>0</v>
      </c>
      <c r="I115" s="61">
        <f>IF(INDEX('01_INPUTS'!$E$17:$E$31,MATCH(I$23,'01_INPUTS'!$B$17:$B$31,0))=0,IF(SUMIFS($AD$3:$AD$870,$AC$3:$AC$870,I$23,$AE$3:$AE$870,"&lt;="&amp;$B115,$AF$3:$AF$870,"&gt;="&amp;$B115)=0,0,9.99),SUMIFS($AD$3:$AD$870,$AC$3:$AC$870,I$23,$AE$3:$AE$870,"&lt;="&amp;$B115,$AF$3:$AF$870,"&gt;="&amp;$B115)/INDEX('01_INPUTS'!$E$17:$E$31,MATCH(I$23,'01_INPUTS'!$B$17:$B$31,0)))</f>
        <v>0</v>
      </c>
      <c r="J115" s="61">
        <f>IF(INDEX('01_INPUTS'!$E$17:$E$31,MATCH(J$23,'01_INPUTS'!$B$17:$B$31,0))=0,IF(SUMIFS($AD$3:$AD$870,$AC$3:$AC$870,J$23,$AE$3:$AE$870,"&lt;="&amp;$B115,$AF$3:$AF$870,"&gt;="&amp;$B115)=0,0,9.99),SUMIFS($AD$3:$AD$870,$AC$3:$AC$870,J$23,$AE$3:$AE$870,"&lt;="&amp;$B115,$AF$3:$AF$870,"&gt;="&amp;$B115)/INDEX('01_INPUTS'!$E$17:$E$31,MATCH(J$23,'01_INPUTS'!$B$17:$B$31,0)))</f>
        <v>0</v>
      </c>
      <c r="K115" s="61">
        <f>IF(INDEX('01_INPUTS'!$E$17:$E$31,MATCH(K$23,'01_INPUTS'!$B$17:$B$31,0))=0,IF(SUMIFS($AD$3:$AD$870,$AC$3:$AC$870,K$23,$AE$3:$AE$870,"&lt;="&amp;$B115,$AF$3:$AF$870,"&gt;="&amp;$B115)=0,0,9.99),SUMIFS($AD$3:$AD$870,$AC$3:$AC$870,K$23,$AE$3:$AE$870,"&lt;="&amp;$B115,$AF$3:$AF$870,"&gt;="&amp;$B115)/INDEX('01_INPUTS'!$E$17:$E$31,MATCH(K$23,'01_INPUTS'!$B$17:$B$31,0)))</f>
        <v>0</v>
      </c>
      <c r="L115" s="61">
        <f>IF(INDEX('01_INPUTS'!$E$17:$E$31,MATCH(L$23,'01_INPUTS'!$B$17:$B$31,0))=0,IF(SUMIFS($AD$3:$AD$870,$AC$3:$AC$870,L$23,$AE$3:$AE$870,"&lt;="&amp;$B115,$AF$3:$AF$870,"&gt;="&amp;$B115)=0,0,9.99),SUMIFS($AD$3:$AD$870,$AC$3:$AC$870,L$23,$AE$3:$AE$870,"&lt;="&amp;$B115,$AF$3:$AF$870,"&gt;="&amp;$B115)/INDEX('01_INPUTS'!$E$17:$E$31,MATCH(L$23,'01_INPUTS'!$B$17:$B$31,0)))</f>
        <v>0</v>
      </c>
      <c r="M115" s="61">
        <f>IF(INDEX('01_INPUTS'!$E$17:$E$31,MATCH(M$23,'01_INPUTS'!$B$17:$B$31,0))=0,IF(SUMIFS($AD$3:$AD$870,$AC$3:$AC$870,M$23,$AE$3:$AE$870,"&lt;="&amp;$B115,$AF$3:$AF$870,"&gt;="&amp;$B115)=0,0,9.99),SUMIFS($AD$3:$AD$870,$AC$3:$AC$870,M$23,$AE$3:$AE$870,"&lt;="&amp;$B115,$AF$3:$AF$870,"&gt;="&amp;$B115)/INDEX('01_INPUTS'!$E$17:$E$31,MATCH(M$23,'01_INPUTS'!$B$17:$B$31,0)))</f>
        <v>0</v>
      </c>
      <c r="N115" s="61">
        <f>IF(INDEX('01_INPUTS'!$E$17:$E$31,MATCH(N$23,'01_INPUTS'!$B$17:$B$31,0))=0,IF(SUMIFS($AD$3:$AD$870,$AC$3:$AC$870,N$23,$AE$3:$AE$870,"&lt;="&amp;$B115,$AF$3:$AF$870,"&gt;="&amp;$B115)=0,0,9.99),SUMIFS($AD$3:$AD$870,$AC$3:$AC$870,N$23,$AE$3:$AE$870,"&lt;="&amp;$B115,$AF$3:$AF$870,"&gt;="&amp;$B115)/INDEX('01_INPUTS'!$E$17:$E$31,MATCH(N$23,'01_INPUTS'!$B$17:$B$31,0)))</f>
        <v>0</v>
      </c>
      <c r="O115" s="61">
        <f>IF(INDEX('01_INPUTS'!$E$17:$E$31,MATCH(O$23,'01_INPUTS'!$B$17:$B$31,0))=0,IF(SUMIFS($AD$3:$AD$870,$AC$3:$AC$870,O$23,$AE$3:$AE$870,"&lt;="&amp;$B115,$AF$3:$AF$870,"&gt;="&amp;$B115)=0,0,9.99),SUMIFS($AD$3:$AD$870,$AC$3:$AC$870,O$23,$AE$3:$AE$870,"&lt;="&amp;$B115,$AF$3:$AF$870,"&gt;="&amp;$B115)/INDEX('01_INPUTS'!$E$17:$E$31,MATCH(O$23,'01_INPUTS'!$B$17:$B$31,0)))</f>
        <v>0</v>
      </c>
      <c r="P115" s="61">
        <f>IF(INDEX('01_INPUTS'!$E$17:$E$31,MATCH(P$23,'01_INPUTS'!$B$17:$B$31,0))=0,IF(SUMIFS($AD$3:$AD$870,$AC$3:$AC$870,P$23,$AE$3:$AE$870,"&lt;="&amp;$B115,$AF$3:$AF$870,"&gt;="&amp;$B115)=0,0,9.99),SUMIFS($AD$3:$AD$870,$AC$3:$AC$870,P$23,$AE$3:$AE$870,"&lt;="&amp;$B115,$AF$3:$AF$870,"&gt;="&amp;$B115)/INDEX('01_INPUTS'!$E$17:$E$31,MATCH(P$23,'01_INPUTS'!$B$17:$B$31,0)))</f>
        <v>0</v>
      </c>
      <c r="Q115" s="61">
        <f>IF(INDEX('01_INPUTS'!$E$17:$E$31,MATCH(Q$23,'01_INPUTS'!$B$17:$B$31,0))=0,IF(SUMIFS($AD$3:$AD$870,$AC$3:$AC$870,Q$23,$AE$3:$AE$870,"&lt;="&amp;$B115,$AF$3:$AF$870,"&gt;="&amp;$B115)=0,0,9.99),SUMIFS($AD$3:$AD$870,$AC$3:$AC$870,Q$23,$AE$3:$AE$870,"&lt;="&amp;$B115,$AF$3:$AF$870,"&gt;="&amp;$B115)/INDEX('01_INPUTS'!$E$17:$E$31,MATCH(Q$23,'01_INPUTS'!$B$17:$B$31,0)))</f>
        <v>0</v>
      </c>
      <c r="R115" s="61">
        <f>IF(INDEX('01_INPUTS'!$E$17:$E$31,MATCH(R$23,'01_INPUTS'!$B$17:$B$31,0))=0,IF(SUMIFS($AD$3:$AD$870,$AC$3:$AC$870,R$23,$AE$3:$AE$870,"&lt;="&amp;$B115,$AF$3:$AF$870,"&gt;="&amp;$B115)=0,0,9.99),SUMIFS($AD$3:$AD$870,$AC$3:$AC$870,R$23,$AE$3:$AE$870,"&lt;="&amp;$B115,$AF$3:$AF$870,"&gt;="&amp;$B115)/INDEX('01_INPUTS'!$E$17:$E$31,MATCH(R$23,'01_INPUTS'!$B$17:$B$31,0)))</f>
        <v>0</v>
      </c>
      <c r="S115">
        <f t="shared" si="10"/>
        <v>0</v>
      </c>
      <c r="T115">
        <f>SUM('01_INPUTS'!$E$17:$E$31)</f>
        <v>20</v>
      </c>
      <c r="U115" s="61">
        <f t="shared" si="11"/>
        <v>0</v>
      </c>
      <c r="V115">
        <f t="shared" si="12"/>
        <v>0</v>
      </c>
      <c r="W115" t="str">
        <f t="shared" si="13"/>
        <v>VERDE</v>
      </c>
      <c r="AA115" s="51" t="str">
        <f>'Sites Master'!$B$3</f>
        <v>Site 02</v>
      </c>
      <c r="AB115" s="51" t="str">
        <f>'Phase-Resource Allocation'!$B$114</f>
        <v>Hypercare</v>
      </c>
      <c r="AC115" s="51" t="str">
        <f>'Phase-Resource Allocation'!$C$114</f>
        <v>Change Management Lead</v>
      </c>
      <c r="AD115" s="60">
        <f>'Phase-Resource Allocation'!$D$114</f>
        <v>1</v>
      </c>
      <c r="AE115" s="51">
        <f>IFERROR(INDEX('02_SCHEDULE'!$K$5:$K$124,MATCH(AA115&amp;"|"&amp;AB115,'02_SCHEDULE'!$M$5:$M$124,0)),0)</f>
        <v>13</v>
      </c>
      <c r="AF115" s="51">
        <f>IFERROR(INDEX('02_SCHEDULE'!$L$5:$L$124,MATCH(AA115&amp;"|"&amp;AB115,'02_SCHEDULE'!$M$5:$M$124,0)),0)</f>
        <v>16</v>
      </c>
      <c r="AG115" s="51">
        <f t="shared" si="9"/>
        <v>4</v>
      </c>
    </row>
    <row r="116" spans="2:33" x14ac:dyDescent="0.3">
      <c r="B116">
        <f>93</f>
        <v>93</v>
      </c>
      <c r="C116" s="55">
        <f>'01_INPUTS'!$C$7+(93-1)*7</f>
        <v>46895</v>
      </c>
      <c r="D116" s="61">
        <f>IF(INDEX('01_INPUTS'!$E$17:$E$31,MATCH(D$23,'01_INPUTS'!$B$17:$B$31,0))=0,IF(SUMIFS($AD$3:$AD$870,$AC$3:$AC$870,D$23,$AE$3:$AE$870,"&lt;="&amp;$B116,$AF$3:$AF$870,"&gt;="&amp;$B116)=0,0,9.99),SUMIFS($AD$3:$AD$870,$AC$3:$AC$870,D$23,$AE$3:$AE$870,"&lt;="&amp;$B116,$AF$3:$AF$870,"&gt;="&amp;$B116)/INDEX('01_INPUTS'!$E$17:$E$31,MATCH(D$23,'01_INPUTS'!$B$17:$B$31,0)))</f>
        <v>0</v>
      </c>
      <c r="E116" s="61">
        <f>IF(INDEX('01_INPUTS'!$E$17:$E$31,MATCH(E$23,'01_INPUTS'!$B$17:$B$31,0))=0,IF(SUMIFS($AD$3:$AD$870,$AC$3:$AC$870,E$23,$AE$3:$AE$870,"&lt;="&amp;$B116,$AF$3:$AF$870,"&gt;="&amp;$B116)=0,0,9.99),SUMIFS($AD$3:$AD$870,$AC$3:$AC$870,E$23,$AE$3:$AE$870,"&lt;="&amp;$B116,$AF$3:$AF$870,"&gt;="&amp;$B116)/INDEX('01_INPUTS'!$E$17:$E$31,MATCH(E$23,'01_INPUTS'!$B$17:$B$31,0)))</f>
        <v>0</v>
      </c>
      <c r="F116" s="61">
        <f>IF(INDEX('01_INPUTS'!$E$17:$E$31,MATCH(F$23,'01_INPUTS'!$B$17:$B$31,0))=0,IF(SUMIFS($AD$3:$AD$870,$AC$3:$AC$870,F$23,$AE$3:$AE$870,"&lt;="&amp;$B116,$AF$3:$AF$870,"&gt;="&amp;$B116)=0,0,9.99),SUMIFS($AD$3:$AD$870,$AC$3:$AC$870,F$23,$AE$3:$AE$870,"&lt;="&amp;$B116,$AF$3:$AF$870,"&gt;="&amp;$B116)/INDEX('01_INPUTS'!$E$17:$E$31,MATCH(F$23,'01_INPUTS'!$B$17:$B$31,0)))</f>
        <v>0</v>
      </c>
      <c r="G116" s="61">
        <f>IF(INDEX('01_INPUTS'!$E$17:$E$31,MATCH(G$23,'01_INPUTS'!$B$17:$B$31,0))=0,IF(SUMIFS($AD$3:$AD$870,$AC$3:$AC$870,G$23,$AE$3:$AE$870,"&lt;="&amp;$B116,$AF$3:$AF$870,"&gt;="&amp;$B116)=0,0,9.99),SUMIFS($AD$3:$AD$870,$AC$3:$AC$870,G$23,$AE$3:$AE$870,"&lt;="&amp;$B116,$AF$3:$AF$870,"&gt;="&amp;$B116)/INDEX('01_INPUTS'!$E$17:$E$31,MATCH(G$23,'01_INPUTS'!$B$17:$B$31,0)))</f>
        <v>0</v>
      </c>
      <c r="H116" s="61">
        <f>IF(INDEX('01_INPUTS'!$E$17:$E$31,MATCH(H$23,'01_INPUTS'!$B$17:$B$31,0))=0,IF(SUMIFS($AD$3:$AD$870,$AC$3:$AC$870,H$23,$AE$3:$AE$870,"&lt;="&amp;$B116,$AF$3:$AF$870,"&gt;="&amp;$B116)=0,0,9.99),SUMIFS($AD$3:$AD$870,$AC$3:$AC$870,H$23,$AE$3:$AE$870,"&lt;="&amp;$B116,$AF$3:$AF$870,"&gt;="&amp;$B116)/INDEX('01_INPUTS'!$E$17:$E$31,MATCH(H$23,'01_INPUTS'!$B$17:$B$31,0)))</f>
        <v>0</v>
      </c>
      <c r="I116" s="61">
        <f>IF(INDEX('01_INPUTS'!$E$17:$E$31,MATCH(I$23,'01_INPUTS'!$B$17:$B$31,0))=0,IF(SUMIFS($AD$3:$AD$870,$AC$3:$AC$870,I$23,$AE$3:$AE$870,"&lt;="&amp;$B116,$AF$3:$AF$870,"&gt;="&amp;$B116)=0,0,9.99),SUMIFS($AD$3:$AD$870,$AC$3:$AC$870,I$23,$AE$3:$AE$870,"&lt;="&amp;$B116,$AF$3:$AF$870,"&gt;="&amp;$B116)/INDEX('01_INPUTS'!$E$17:$E$31,MATCH(I$23,'01_INPUTS'!$B$17:$B$31,0)))</f>
        <v>0</v>
      </c>
      <c r="J116" s="61">
        <f>IF(INDEX('01_INPUTS'!$E$17:$E$31,MATCH(J$23,'01_INPUTS'!$B$17:$B$31,0))=0,IF(SUMIFS($AD$3:$AD$870,$AC$3:$AC$870,J$23,$AE$3:$AE$870,"&lt;="&amp;$B116,$AF$3:$AF$870,"&gt;="&amp;$B116)=0,0,9.99),SUMIFS($AD$3:$AD$870,$AC$3:$AC$870,J$23,$AE$3:$AE$870,"&lt;="&amp;$B116,$AF$3:$AF$870,"&gt;="&amp;$B116)/INDEX('01_INPUTS'!$E$17:$E$31,MATCH(J$23,'01_INPUTS'!$B$17:$B$31,0)))</f>
        <v>0</v>
      </c>
      <c r="K116" s="61">
        <f>IF(INDEX('01_INPUTS'!$E$17:$E$31,MATCH(K$23,'01_INPUTS'!$B$17:$B$31,0))=0,IF(SUMIFS($AD$3:$AD$870,$AC$3:$AC$870,K$23,$AE$3:$AE$870,"&lt;="&amp;$B116,$AF$3:$AF$870,"&gt;="&amp;$B116)=0,0,9.99),SUMIFS($AD$3:$AD$870,$AC$3:$AC$870,K$23,$AE$3:$AE$870,"&lt;="&amp;$B116,$AF$3:$AF$870,"&gt;="&amp;$B116)/INDEX('01_INPUTS'!$E$17:$E$31,MATCH(K$23,'01_INPUTS'!$B$17:$B$31,0)))</f>
        <v>0</v>
      </c>
      <c r="L116" s="61">
        <f>IF(INDEX('01_INPUTS'!$E$17:$E$31,MATCH(L$23,'01_INPUTS'!$B$17:$B$31,0))=0,IF(SUMIFS($AD$3:$AD$870,$AC$3:$AC$870,L$23,$AE$3:$AE$870,"&lt;="&amp;$B116,$AF$3:$AF$870,"&gt;="&amp;$B116)=0,0,9.99),SUMIFS($AD$3:$AD$870,$AC$3:$AC$870,L$23,$AE$3:$AE$870,"&lt;="&amp;$B116,$AF$3:$AF$870,"&gt;="&amp;$B116)/INDEX('01_INPUTS'!$E$17:$E$31,MATCH(L$23,'01_INPUTS'!$B$17:$B$31,0)))</f>
        <v>0</v>
      </c>
      <c r="M116" s="61">
        <f>IF(INDEX('01_INPUTS'!$E$17:$E$31,MATCH(M$23,'01_INPUTS'!$B$17:$B$31,0))=0,IF(SUMIFS($AD$3:$AD$870,$AC$3:$AC$870,M$23,$AE$3:$AE$870,"&lt;="&amp;$B116,$AF$3:$AF$870,"&gt;="&amp;$B116)=0,0,9.99),SUMIFS($AD$3:$AD$870,$AC$3:$AC$870,M$23,$AE$3:$AE$870,"&lt;="&amp;$B116,$AF$3:$AF$870,"&gt;="&amp;$B116)/INDEX('01_INPUTS'!$E$17:$E$31,MATCH(M$23,'01_INPUTS'!$B$17:$B$31,0)))</f>
        <v>0</v>
      </c>
      <c r="N116" s="61">
        <f>IF(INDEX('01_INPUTS'!$E$17:$E$31,MATCH(N$23,'01_INPUTS'!$B$17:$B$31,0))=0,IF(SUMIFS($AD$3:$AD$870,$AC$3:$AC$870,N$23,$AE$3:$AE$870,"&lt;="&amp;$B116,$AF$3:$AF$870,"&gt;="&amp;$B116)=0,0,9.99),SUMIFS($AD$3:$AD$870,$AC$3:$AC$870,N$23,$AE$3:$AE$870,"&lt;="&amp;$B116,$AF$3:$AF$870,"&gt;="&amp;$B116)/INDEX('01_INPUTS'!$E$17:$E$31,MATCH(N$23,'01_INPUTS'!$B$17:$B$31,0)))</f>
        <v>0</v>
      </c>
      <c r="O116" s="61">
        <f>IF(INDEX('01_INPUTS'!$E$17:$E$31,MATCH(O$23,'01_INPUTS'!$B$17:$B$31,0))=0,IF(SUMIFS($AD$3:$AD$870,$AC$3:$AC$870,O$23,$AE$3:$AE$870,"&lt;="&amp;$B116,$AF$3:$AF$870,"&gt;="&amp;$B116)=0,0,9.99),SUMIFS($AD$3:$AD$870,$AC$3:$AC$870,O$23,$AE$3:$AE$870,"&lt;="&amp;$B116,$AF$3:$AF$870,"&gt;="&amp;$B116)/INDEX('01_INPUTS'!$E$17:$E$31,MATCH(O$23,'01_INPUTS'!$B$17:$B$31,0)))</f>
        <v>0</v>
      </c>
      <c r="P116" s="61">
        <f>IF(INDEX('01_INPUTS'!$E$17:$E$31,MATCH(P$23,'01_INPUTS'!$B$17:$B$31,0))=0,IF(SUMIFS($AD$3:$AD$870,$AC$3:$AC$870,P$23,$AE$3:$AE$870,"&lt;="&amp;$B116,$AF$3:$AF$870,"&gt;="&amp;$B116)=0,0,9.99),SUMIFS($AD$3:$AD$870,$AC$3:$AC$870,P$23,$AE$3:$AE$870,"&lt;="&amp;$B116,$AF$3:$AF$870,"&gt;="&amp;$B116)/INDEX('01_INPUTS'!$E$17:$E$31,MATCH(P$23,'01_INPUTS'!$B$17:$B$31,0)))</f>
        <v>0</v>
      </c>
      <c r="Q116" s="61">
        <f>IF(INDEX('01_INPUTS'!$E$17:$E$31,MATCH(Q$23,'01_INPUTS'!$B$17:$B$31,0))=0,IF(SUMIFS($AD$3:$AD$870,$AC$3:$AC$870,Q$23,$AE$3:$AE$870,"&lt;="&amp;$B116,$AF$3:$AF$870,"&gt;="&amp;$B116)=0,0,9.99),SUMIFS($AD$3:$AD$870,$AC$3:$AC$870,Q$23,$AE$3:$AE$870,"&lt;="&amp;$B116,$AF$3:$AF$870,"&gt;="&amp;$B116)/INDEX('01_INPUTS'!$E$17:$E$31,MATCH(Q$23,'01_INPUTS'!$B$17:$B$31,0)))</f>
        <v>0</v>
      </c>
      <c r="R116" s="61">
        <f>IF(INDEX('01_INPUTS'!$E$17:$E$31,MATCH(R$23,'01_INPUTS'!$B$17:$B$31,0))=0,IF(SUMIFS($AD$3:$AD$870,$AC$3:$AC$870,R$23,$AE$3:$AE$870,"&lt;="&amp;$B116,$AF$3:$AF$870,"&gt;="&amp;$B116)=0,0,9.99),SUMIFS($AD$3:$AD$870,$AC$3:$AC$870,R$23,$AE$3:$AE$870,"&lt;="&amp;$B116,$AF$3:$AF$870,"&gt;="&amp;$B116)/INDEX('01_INPUTS'!$E$17:$E$31,MATCH(R$23,'01_INPUTS'!$B$17:$B$31,0)))</f>
        <v>0</v>
      </c>
      <c r="S116">
        <f t="shared" si="10"/>
        <v>0</v>
      </c>
      <c r="T116">
        <f>SUM('01_INPUTS'!$E$17:$E$31)</f>
        <v>20</v>
      </c>
      <c r="U116" s="61">
        <f t="shared" si="11"/>
        <v>0</v>
      </c>
      <c r="V116">
        <f t="shared" si="12"/>
        <v>0</v>
      </c>
      <c r="W116" t="str">
        <f t="shared" si="13"/>
        <v>VERDE</v>
      </c>
      <c r="AA116" s="51" t="str">
        <f>'Sites Master'!$B$3</f>
        <v>Site 02</v>
      </c>
      <c r="AB116" s="51" t="str">
        <f>'Phase-Resource Allocation'!$B$115</f>
        <v>Hypercare</v>
      </c>
      <c r="AC116" s="51" t="str">
        <f>'Phase-Resource Allocation'!$C$115</f>
        <v>SAP Integrations Lead</v>
      </c>
      <c r="AD116" s="60">
        <f>'Phase-Resource Allocation'!$D$115</f>
        <v>0.5</v>
      </c>
      <c r="AE116" s="51">
        <f>IFERROR(INDEX('02_SCHEDULE'!$K$5:$K$124,MATCH(AA116&amp;"|"&amp;AB116,'02_SCHEDULE'!$M$5:$M$124,0)),0)</f>
        <v>13</v>
      </c>
      <c r="AF116" s="51">
        <f>IFERROR(INDEX('02_SCHEDULE'!$L$5:$L$124,MATCH(AA116&amp;"|"&amp;AB116,'02_SCHEDULE'!$M$5:$M$124,0)),0)</f>
        <v>16</v>
      </c>
      <c r="AG116" s="51">
        <f t="shared" si="9"/>
        <v>2</v>
      </c>
    </row>
    <row r="117" spans="2:33" x14ac:dyDescent="0.3">
      <c r="B117">
        <f>94</f>
        <v>94</v>
      </c>
      <c r="C117" s="55">
        <f>'01_INPUTS'!$C$7+(94-1)*7</f>
        <v>46902</v>
      </c>
      <c r="D117" s="61">
        <f>IF(INDEX('01_INPUTS'!$E$17:$E$31,MATCH(D$23,'01_INPUTS'!$B$17:$B$31,0))=0,IF(SUMIFS($AD$3:$AD$870,$AC$3:$AC$870,D$23,$AE$3:$AE$870,"&lt;="&amp;$B117,$AF$3:$AF$870,"&gt;="&amp;$B117)=0,0,9.99),SUMIFS($AD$3:$AD$870,$AC$3:$AC$870,D$23,$AE$3:$AE$870,"&lt;="&amp;$B117,$AF$3:$AF$870,"&gt;="&amp;$B117)/INDEX('01_INPUTS'!$E$17:$E$31,MATCH(D$23,'01_INPUTS'!$B$17:$B$31,0)))</f>
        <v>0</v>
      </c>
      <c r="E117" s="61">
        <f>IF(INDEX('01_INPUTS'!$E$17:$E$31,MATCH(E$23,'01_INPUTS'!$B$17:$B$31,0))=0,IF(SUMIFS($AD$3:$AD$870,$AC$3:$AC$870,E$23,$AE$3:$AE$870,"&lt;="&amp;$B117,$AF$3:$AF$870,"&gt;="&amp;$B117)=0,0,9.99),SUMIFS($AD$3:$AD$870,$AC$3:$AC$870,E$23,$AE$3:$AE$870,"&lt;="&amp;$B117,$AF$3:$AF$870,"&gt;="&amp;$B117)/INDEX('01_INPUTS'!$E$17:$E$31,MATCH(E$23,'01_INPUTS'!$B$17:$B$31,0)))</f>
        <v>0</v>
      </c>
      <c r="F117" s="61">
        <f>IF(INDEX('01_INPUTS'!$E$17:$E$31,MATCH(F$23,'01_INPUTS'!$B$17:$B$31,0))=0,IF(SUMIFS($AD$3:$AD$870,$AC$3:$AC$870,F$23,$AE$3:$AE$870,"&lt;="&amp;$B117,$AF$3:$AF$870,"&gt;="&amp;$B117)=0,0,9.99),SUMIFS($AD$3:$AD$870,$AC$3:$AC$870,F$23,$AE$3:$AE$870,"&lt;="&amp;$B117,$AF$3:$AF$870,"&gt;="&amp;$B117)/INDEX('01_INPUTS'!$E$17:$E$31,MATCH(F$23,'01_INPUTS'!$B$17:$B$31,0)))</f>
        <v>0</v>
      </c>
      <c r="G117" s="61">
        <f>IF(INDEX('01_INPUTS'!$E$17:$E$31,MATCH(G$23,'01_INPUTS'!$B$17:$B$31,0))=0,IF(SUMIFS($AD$3:$AD$870,$AC$3:$AC$870,G$23,$AE$3:$AE$870,"&lt;="&amp;$B117,$AF$3:$AF$870,"&gt;="&amp;$B117)=0,0,9.99),SUMIFS($AD$3:$AD$870,$AC$3:$AC$870,G$23,$AE$3:$AE$870,"&lt;="&amp;$B117,$AF$3:$AF$870,"&gt;="&amp;$B117)/INDEX('01_INPUTS'!$E$17:$E$31,MATCH(G$23,'01_INPUTS'!$B$17:$B$31,0)))</f>
        <v>0</v>
      </c>
      <c r="H117" s="61">
        <f>IF(INDEX('01_INPUTS'!$E$17:$E$31,MATCH(H$23,'01_INPUTS'!$B$17:$B$31,0))=0,IF(SUMIFS($AD$3:$AD$870,$AC$3:$AC$870,H$23,$AE$3:$AE$870,"&lt;="&amp;$B117,$AF$3:$AF$870,"&gt;="&amp;$B117)=0,0,9.99),SUMIFS($AD$3:$AD$870,$AC$3:$AC$870,H$23,$AE$3:$AE$870,"&lt;="&amp;$B117,$AF$3:$AF$870,"&gt;="&amp;$B117)/INDEX('01_INPUTS'!$E$17:$E$31,MATCH(H$23,'01_INPUTS'!$B$17:$B$31,0)))</f>
        <v>0</v>
      </c>
      <c r="I117" s="61">
        <f>IF(INDEX('01_INPUTS'!$E$17:$E$31,MATCH(I$23,'01_INPUTS'!$B$17:$B$31,0))=0,IF(SUMIFS($AD$3:$AD$870,$AC$3:$AC$870,I$23,$AE$3:$AE$870,"&lt;="&amp;$B117,$AF$3:$AF$870,"&gt;="&amp;$B117)=0,0,9.99),SUMIFS($AD$3:$AD$870,$AC$3:$AC$870,I$23,$AE$3:$AE$870,"&lt;="&amp;$B117,$AF$3:$AF$870,"&gt;="&amp;$B117)/INDEX('01_INPUTS'!$E$17:$E$31,MATCH(I$23,'01_INPUTS'!$B$17:$B$31,0)))</f>
        <v>0</v>
      </c>
      <c r="J117" s="61">
        <f>IF(INDEX('01_INPUTS'!$E$17:$E$31,MATCH(J$23,'01_INPUTS'!$B$17:$B$31,0))=0,IF(SUMIFS($AD$3:$AD$870,$AC$3:$AC$870,J$23,$AE$3:$AE$870,"&lt;="&amp;$B117,$AF$3:$AF$870,"&gt;="&amp;$B117)=0,0,9.99),SUMIFS($AD$3:$AD$870,$AC$3:$AC$870,J$23,$AE$3:$AE$870,"&lt;="&amp;$B117,$AF$3:$AF$870,"&gt;="&amp;$B117)/INDEX('01_INPUTS'!$E$17:$E$31,MATCH(J$23,'01_INPUTS'!$B$17:$B$31,0)))</f>
        <v>0</v>
      </c>
      <c r="K117" s="61">
        <f>IF(INDEX('01_INPUTS'!$E$17:$E$31,MATCH(K$23,'01_INPUTS'!$B$17:$B$31,0))=0,IF(SUMIFS($AD$3:$AD$870,$AC$3:$AC$870,K$23,$AE$3:$AE$870,"&lt;="&amp;$B117,$AF$3:$AF$870,"&gt;="&amp;$B117)=0,0,9.99),SUMIFS($AD$3:$AD$870,$AC$3:$AC$870,K$23,$AE$3:$AE$870,"&lt;="&amp;$B117,$AF$3:$AF$870,"&gt;="&amp;$B117)/INDEX('01_INPUTS'!$E$17:$E$31,MATCH(K$23,'01_INPUTS'!$B$17:$B$31,0)))</f>
        <v>0</v>
      </c>
      <c r="L117" s="61">
        <f>IF(INDEX('01_INPUTS'!$E$17:$E$31,MATCH(L$23,'01_INPUTS'!$B$17:$B$31,0))=0,IF(SUMIFS($AD$3:$AD$870,$AC$3:$AC$870,L$23,$AE$3:$AE$870,"&lt;="&amp;$B117,$AF$3:$AF$870,"&gt;="&amp;$B117)=0,0,9.99),SUMIFS($AD$3:$AD$870,$AC$3:$AC$870,L$23,$AE$3:$AE$870,"&lt;="&amp;$B117,$AF$3:$AF$870,"&gt;="&amp;$B117)/INDEX('01_INPUTS'!$E$17:$E$31,MATCH(L$23,'01_INPUTS'!$B$17:$B$31,0)))</f>
        <v>0</v>
      </c>
      <c r="M117" s="61">
        <f>IF(INDEX('01_INPUTS'!$E$17:$E$31,MATCH(M$23,'01_INPUTS'!$B$17:$B$31,0))=0,IF(SUMIFS($AD$3:$AD$870,$AC$3:$AC$870,M$23,$AE$3:$AE$870,"&lt;="&amp;$B117,$AF$3:$AF$870,"&gt;="&amp;$B117)=0,0,9.99),SUMIFS($AD$3:$AD$870,$AC$3:$AC$870,M$23,$AE$3:$AE$870,"&lt;="&amp;$B117,$AF$3:$AF$870,"&gt;="&amp;$B117)/INDEX('01_INPUTS'!$E$17:$E$31,MATCH(M$23,'01_INPUTS'!$B$17:$B$31,0)))</f>
        <v>0</v>
      </c>
      <c r="N117" s="61">
        <f>IF(INDEX('01_INPUTS'!$E$17:$E$31,MATCH(N$23,'01_INPUTS'!$B$17:$B$31,0))=0,IF(SUMIFS($AD$3:$AD$870,$AC$3:$AC$870,N$23,$AE$3:$AE$870,"&lt;="&amp;$B117,$AF$3:$AF$870,"&gt;="&amp;$B117)=0,0,9.99),SUMIFS($AD$3:$AD$870,$AC$3:$AC$870,N$23,$AE$3:$AE$870,"&lt;="&amp;$B117,$AF$3:$AF$870,"&gt;="&amp;$B117)/INDEX('01_INPUTS'!$E$17:$E$31,MATCH(N$23,'01_INPUTS'!$B$17:$B$31,0)))</f>
        <v>0</v>
      </c>
      <c r="O117" s="61">
        <f>IF(INDEX('01_INPUTS'!$E$17:$E$31,MATCH(O$23,'01_INPUTS'!$B$17:$B$31,0))=0,IF(SUMIFS($AD$3:$AD$870,$AC$3:$AC$870,O$23,$AE$3:$AE$870,"&lt;="&amp;$B117,$AF$3:$AF$870,"&gt;="&amp;$B117)=0,0,9.99),SUMIFS($AD$3:$AD$870,$AC$3:$AC$870,O$23,$AE$3:$AE$870,"&lt;="&amp;$B117,$AF$3:$AF$870,"&gt;="&amp;$B117)/INDEX('01_INPUTS'!$E$17:$E$31,MATCH(O$23,'01_INPUTS'!$B$17:$B$31,0)))</f>
        <v>0</v>
      </c>
      <c r="P117" s="61">
        <f>IF(INDEX('01_INPUTS'!$E$17:$E$31,MATCH(P$23,'01_INPUTS'!$B$17:$B$31,0))=0,IF(SUMIFS($AD$3:$AD$870,$AC$3:$AC$870,P$23,$AE$3:$AE$870,"&lt;="&amp;$B117,$AF$3:$AF$870,"&gt;="&amp;$B117)=0,0,9.99),SUMIFS($AD$3:$AD$870,$AC$3:$AC$870,P$23,$AE$3:$AE$870,"&lt;="&amp;$B117,$AF$3:$AF$870,"&gt;="&amp;$B117)/INDEX('01_INPUTS'!$E$17:$E$31,MATCH(P$23,'01_INPUTS'!$B$17:$B$31,0)))</f>
        <v>0</v>
      </c>
      <c r="Q117" s="61">
        <f>IF(INDEX('01_INPUTS'!$E$17:$E$31,MATCH(Q$23,'01_INPUTS'!$B$17:$B$31,0))=0,IF(SUMIFS($AD$3:$AD$870,$AC$3:$AC$870,Q$23,$AE$3:$AE$870,"&lt;="&amp;$B117,$AF$3:$AF$870,"&gt;="&amp;$B117)=0,0,9.99),SUMIFS($AD$3:$AD$870,$AC$3:$AC$870,Q$23,$AE$3:$AE$870,"&lt;="&amp;$B117,$AF$3:$AF$870,"&gt;="&amp;$B117)/INDEX('01_INPUTS'!$E$17:$E$31,MATCH(Q$23,'01_INPUTS'!$B$17:$B$31,0)))</f>
        <v>0</v>
      </c>
      <c r="R117" s="61">
        <f>IF(INDEX('01_INPUTS'!$E$17:$E$31,MATCH(R$23,'01_INPUTS'!$B$17:$B$31,0))=0,IF(SUMIFS($AD$3:$AD$870,$AC$3:$AC$870,R$23,$AE$3:$AE$870,"&lt;="&amp;$B117,$AF$3:$AF$870,"&gt;="&amp;$B117)=0,0,9.99),SUMIFS($AD$3:$AD$870,$AC$3:$AC$870,R$23,$AE$3:$AE$870,"&lt;="&amp;$B117,$AF$3:$AF$870,"&gt;="&amp;$B117)/INDEX('01_INPUTS'!$E$17:$E$31,MATCH(R$23,'01_INPUTS'!$B$17:$B$31,0)))</f>
        <v>0</v>
      </c>
      <c r="S117">
        <f t="shared" si="10"/>
        <v>0</v>
      </c>
      <c r="T117">
        <f>SUM('01_INPUTS'!$E$17:$E$31)</f>
        <v>20</v>
      </c>
      <c r="U117" s="61">
        <f t="shared" si="11"/>
        <v>0</v>
      </c>
      <c r="V117">
        <f t="shared" si="12"/>
        <v>0</v>
      </c>
      <c r="W117" t="str">
        <f t="shared" si="13"/>
        <v>VERDE</v>
      </c>
      <c r="AA117" s="51" t="str">
        <f>'Sites Master'!$B$3</f>
        <v>Site 02</v>
      </c>
      <c r="AB117" s="51" t="str">
        <f>'Phase-Resource Allocation'!$B$116</f>
        <v>Hypercare</v>
      </c>
      <c r="AC117" s="51" t="str">
        <f>'Phase-Resource Allocation'!$C$116</f>
        <v>SAP Integrations Specialist</v>
      </c>
      <c r="AD117" s="60">
        <f>'Phase-Resource Allocation'!$D$116</f>
        <v>0.5</v>
      </c>
      <c r="AE117" s="51">
        <f>IFERROR(INDEX('02_SCHEDULE'!$K$5:$K$124,MATCH(AA117&amp;"|"&amp;AB117,'02_SCHEDULE'!$M$5:$M$124,0)),0)</f>
        <v>13</v>
      </c>
      <c r="AF117" s="51">
        <f>IFERROR(INDEX('02_SCHEDULE'!$L$5:$L$124,MATCH(AA117&amp;"|"&amp;AB117,'02_SCHEDULE'!$M$5:$M$124,0)),0)</f>
        <v>16</v>
      </c>
      <c r="AG117" s="51">
        <f t="shared" si="9"/>
        <v>2</v>
      </c>
    </row>
    <row r="118" spans="2:33" x14ac:dyDescent="0.3">
      <c r="B118">
        <f>95</f>
        <v>95</v>
      </c>
      <c r="C118" s="55">
        <f>'01_INPUTS'!$C$7+(95-1)*7</f>
        <v>46909</v>
      </c>
      <c r="D118" s="61">
        <f>IF(INDEX('01_INPUTS'!$E$17:$E$31,MATCH(D$23,'01_INPUTS'!$B$17:$B$31,0))=0,IF(SUMIFS($AD$3:$AD$870,$AC$3:$AC$870,D$23,$AE$3:$AE$870,"&lt;="&amp;$B118,$AF$3:$AF$870,"&gt;="&amp;$B118)=0,0,9.99),SUMIFS($AD$3:$AD$870,$AC$3:$AC$870,D$23,$AE$3:$AE$870,"&lt;="&amp;$B118,$AF$3:$AF$870,"&gt;="&amp;$B118)/INDEX('01_INPUTS'!$E$17:$E$31,MATCH(D$23,'01_INPUTS'!$B$17:$B$31,0)))</f>
        <v>0</v>
      </c>
      <c r="E118" s="61">
        <f>IF(INDEX('01_INPUTS'!$E$17:$E$31,MATCH(E$23,'01_INPUTS'!$B$17:$B$31,0))=0,IF(SUMIFS($AD$3:$AD$870,$AC$3:$AC$870,E$23,$AE$3:$AE$870,"&lt;="&amp;$B118,$AF$3:$AF$870,"&gt;="&amp;$B118)=0,0,9.99),SUMIFS($AD$3:$AD$870,$AC$3:$AC$870,E$23,$AE$3:$AE$870,"&lt;="&amp;$B118,$AF$3:$AF$870,"&gt;="&amp;$B118)/INDEX('01_INPUTS'!$E$17:$E$31,MATCH(E$23,'01_INPUTS'!$B$17:$B$31,0)))</f>
        <v>0</v>
      </c>
      <c r="F118" s="61">
        <f>IF(INDEX('01_INPUTS'!$E$17:$E$31,MATCH(F$23,'01_INPUTS'!$B$17:$B$31,0))=0,IF(SUMIFS($AD$3:$AD$870,$AC$3:$AC$870,F$23,$AE$3:$AE$870,"&lt;="&amp;$B118,$AF$3:$AF$870,"&gt;="&amp;$B118)=0,0,9.99),SUMIFS($AD$3:$AD$870,$AC$3:$AC$870,F$23,$AE$3:$AE$870,"&lt;="&amp;$B118,$AF$3:$AF$870,"&gt;="&amp;$B118)/INDEX('01_INPUTS'!$E$17:$E$31,MATCH(F$23,'01_INPUTS'!$B$17:$B$31,0)))</f>
        <v>0</v>
      </c>
      <c r="G118" s="61">
        <f>IF(INDEX('01_INPUTS'!$E$17:$E$31,MATCH(G$23,'01_INPUTS'!$B$17:$B$31,0))=0,IF(SUMIFS($AD$3:$AD$870,$AC$3:$AC$870,G$23,$AE$3:$AE$870,"&lt;="&amp;$B118,$AF$3:$AF$870,"&gt;="&amp;$B118)=0,0,9.99),SUMIFS($AD$3:$AD$870,$AC$3:$AC$870,G$23,$AE$3:$AE$870,"&lt;="&amp;$B118,$AF$3:$AF$870,"&gt;="&amp;$B118)/INDEX('01_INPUTS'!$E$17:$E$31,MATCH(G$23,'01_INPUTS'!$B$17:$B$31,0)))</f>
        <v>0</v>
      </c>
      <c r="H118" s="61">
        <f>IF(INDEX('01_INPUTS'!$E$17:$E$31,MATCH(H$23,'01_INPUTS'!$B$17:$B$31,0))=0,IF(SUMIFS($AD$3:$AD$870,$AC$3:$AC$870,H$23,$AE$3:$AE$870,"&lt;="&amp;$B118,$AF$3:$AF$870,"&gt;="&amp;$B118)=0,0,9.99),SUMIFS($AD$3:$AD$870,$AC$3:$AC$870,H$23,$AE$3:$AE$870,"&lt;="&amp;$B118,$AF$3:$AF$870,"&gt;="&amp;$B118)/INDEX('01_INPUTS'!$E$17:$E$31,MATCH(H$23,'01_INPUTS'!$B$17:$B$31,0)))</f>
        <v>0</v>
      </c>
      <c r="I118" s="61">
        <f>IF(INDEX('01_INPUTS'!$E$17:$E$31,MATCH(I$23,'01_INPUTS'!$B$17:$B$31,0))=0,IF(SUMIFS($AD$3:$AD$870,$AC$3:$AC$870,I$23,$AE$3:$AE$870,"&lt;="&amp;$B118,$AF$3:$AF$870,"&gt;="&amp;$B118)=0,0,9.99),SUMIFS($AD$3:$AD$870,$AC$3:$AC$870,I$23,$AE$3:$AE$870,"&lt;="&amp;$B118,$AF$3:$AF$870,"&gt;="&amp;$B118)/INDEX('01_INPUTS'!$E$17:$E$31,MATCH(I$23,'01_INPUTS'!$B$17:$B$31,0)))</f>
        <v>0</v>
      </c>
      <c r="J118" s="61">
        <f>IF(INDEX('01_INPUTS'!$E$17:$E$31,MATCH(J$23,'01_INPUTS'!$B$17:$B$31,0))=0,IF(SUMIFS($AD$3:$AD$870,$AC$3:$AC$870,J$23,$AE$3:$AE$870,"&lt;="&amp;$B118,$AF$3:$AF$870,"&gt;="&amp;$B118)=0,0,9.99),SUMIFS($AD$3:$AD$870,$AC$3:$AC$870,J$23,$AE$3:$AE$870,"&lt;="&amp;$B118,$AF$3:$AF$870,"&gt;="&amp;$B118)/INDEX('01_INPUTS'!$E$17:$E$31,MATCH(J$23,'01_INPUTS'!$B$17:$B$31,0)))</f>
        <v>0</v>
      </c>
      <c r="K118" s="61">
        <f>IF(INDEX('01_INPUTS'!$E$17:$E$31,MATCH(K$23,'01_INPUTS'!$B$17:$B$31,0))=0,IF(SUMIFS($AD$3:$AD$870,$AC$3:$AC$870,K$23,$AE$3:$AE$870,"&lt;="&amp;$B118,$AF$3:$AF$870,"&gt;="&amp;$B118)=0,0,9.99),SUMIFS($AD$3:$AD$870,$AC$3:$AC$870,K$23,$AE$3:$AE$870,"&lt;="&amp;$B118,$AF$3:$AF$870,"&gt;="&amp;$B118)/INDEX('01_INPUTS'!$E$17:$E$31,MATCH(K$23,'01_INPUTS'!$B$17:$B$31,0)))</f>
        <v>0</v>
      </c>
      <c r="L118" s="61">
        <f>IF(INDEX('01_INPUTS'!$E$17:$E$31,MATCH(L$23,'01_INPUTS'!$B$17:$B$31,0))=0,IF(SUMIFS($AD$3:$AD$870,$AC$3:$AC$870,L$23,$AE$3:$AE$870,"&lt;="&amp;$B118,$AF$3:$AF$870,"&gt;="&amp;$B118)=0,0,9.99),SUMIFS($AD$3:$AD$870,$AC$3:$AC$870,L$23,$AE$3:$AE$870,"&lt;="&amp;$B118,$AF$3:$AF$870,"&gt;="&amp;$B118)/INDEX('01_INPUTS'!$E$17:$E$31,MATCH(L$23,'01_INPUTS'!$B$17:$B$31,0)))</f>
        <v>0</v>
      </c>
      <c r="M118" s="61">
        <f>IF(INDEX('01_INPUTS'!$E$17:$E$31,MATCH(M$23,'01_INPUTS'!$B$17:$B$31,0))=0,IF(SUMIFS($AD$3:$AD$870,$AC$3:$AC$870,M$23,$AE$3:$AE$870,"&lt;="&amp;$B118,$AF$3:$AF$870,"&gt;="&amp;$B118)=0,0,9.99),SUMIFS($AD$3:$AD$870,$AC$3:$AC$870,M$23,$AE$3:$AE$870,"&lt;="&amp;$B118,$AF$3:$AF$870,"&gt;="&amp;$B118)/INDEX('01_INPUTS'!$E$17:$E$31,MATCH(M$23,'01_INPUTS'!$B$17:$B$31,0)))</f>
        <v>0</v>
      </c>
      <c r="N118" s="61">
        <f>IF(INDEX('01_INPUTS'!$E$17:$E$31,MATCH(N$23,'01_INPUTS'!$B$17:$B$31,0))=0,IF(SUMIFS($AD$3:$AD$870,$AC$3:$AC$870,N$23,$AE$3:$AE$870,"&lt;="&amp;$B118,$AF$3:$AF$870,"&gt;="&amp;$B118)=0,0,9.99),SUMIFS($AD$3:$AD$870,$AC$3:$AC$870,N$23,$AE$3:$AE$870,"&lt;="&amp;$B118,$AF$3:$AF$870,"&gt;="&amp;$B118)/INDEX('01_INPUTS'!$E$17:$E$31,MATCH(N$23,'01_INPUTS'!$B$17:$B$31,0)))</f>
        <v>0</v>
      </c>
      <c r="O118" s="61">
        <f>IF(INDEX('01_INPUTS'!$E$17:$E$31,MATCH(O$23,'01_INPUTS'!$B$17:$B$31,0))=0,IF(SUMIFS($AD$3:$AD$870,$AC$3:$AC$870,O$23,$AE$3:$AE$870,"&lt;="&amp;$B118,$AF$3:$AF$870,"&gt;="&amp;$B118)=0,0,9.99),SUMIFS($AD$3:$AD$870,$AC$3:$AC$870,O$23,$AE$3:$AE$870,"&lt;="&amp;$B118,$AF$3:$AF$870,"&gt;="&amp;$B118)/INDEX('01_INPUTS'!$E$17:$E$31,MATCH(O$23,'01_INPUTS'!$B$17:$B$31,0)))</f>
        <v>0</v>
      </c>
      <c r="P118" s="61">
        <f>IF(INDEX('01_INPUTS'!$E$17:$E$31,MATCH(P$23,'01_INPUTS'!$B$17:$B$31,0))=0,IF(SUMIFS($AD$3:$AD$870,$AC$3:$AC$870,P$23,$AE$3:$AE$870,"&lt;="&amp;$B118,$AF$3:$AF$870,"&gt;="&amp;$B118)=0,0,9.99),SUMIFS($AD$3:$AD$870,$AC$3:$AC$870,P$23,$AE$3:$AE$870,"&lt;="&amp;$B118,$AF$3:$AF$870,"&gt;="&amp;$B118)/INDEX('01_INPUTS'!$E$17:$E$31,MATCH(P$23,'01_INPUTS'!$B$17:$B$31,0)))</f>
        <v>0</v>
      </c>
      <c r="Q118" s="61">
        <f>IF(INDEX('01_INPUTS'!$E$17:$E$31,MATCH(Q$23,'01_INPUTS'!$B$17:$B$31,0))=0,IF(SUMIFS($AD$3:$AD$870,$AC$3:$AC$870,Q$23,$AE$3:$AE$870,"&lt;="&amp;$B118,$AF$3:$AF$870,"&gt;="&amp;$B118)=0,0,9.99),SUMIFS($AD$3:$AD$870,$AC$3:$AC$870,Q$23,$AE$3:$AE$870,"&lt;="&amp;$B118,$AF$3:$AF$870,"&gt;="&amp;$B118)/INDEX('01_INPUTS'!$E$17:$E$31,MATCH(Q$23,'01_INPUTS'!$B$17:$B$31,0)))</f>
        <v>0</v>
      </c>
      <c r="R118" s="61">
        <f>IF(INDEX('01_INPUTS'!$E$17:$E$31,MATCH(R$23,'01_INPUTS'!$B$17:$B$31,0))=0,IF(SUMIFS($AD$3:$AD$870,$AC$3:$AC$870,R$23,$AE$3:$AE$870,"&lt;="&amp;$B118,$AF$3:$AF$870,"&gt;="&amp;$B118)=0,0,9.99),SUMIFS($AD$3:$AD$870,$AC$3:$AC$870,R$23,$AE$3:$AE$870,"&lt;="&amp;$B118,$AF$3:$AF$870,"&gt;="&amp;$B118)/INDEX('01_INPUTS'!$E$17:$E$31,MATCH(R$23,'01_INPUTS'!$B$17:$B$31,0)))</f>
        <v>0</v>
      </c>
      <c r="S118">
        <f t="shared" si="10"/>
        <v>0</v>
      </c>
      <c r="T118">
        <f>SUM('01_INPUTS'!$E$17:$E$31)</f>
        <v>20</v>
      </c>
      <c r="U118" s="61">
        <f t="shared" si="11"/>
        <v>0</v>
      </c>
      <c r="V118">
        <f t="shared" si="12"/>
        <v>0</v>
      </c>
      <c r="W118" t="str">
        <f t="shared" si="13"/>
        <v>VERDE</v>
      </c>
      <c r="AA118" s="51" t="str">
        <f>'Sites Master'!$B$3</f>
        <v>Site 02</v>
      </c>
      <c r="AB118" s="51" t="str">
        <f>'Phase-Resource Allocation'!$B$117</f>
        <v>Hypercare</v>
      </c>
      <c r="AC118" s="51" t="str">
        <f>'Phase-Resource Allocation'!$C$117</f>
        <v>Azure Lead</v>
      </c>
      <c r="AD118" s="60">
        <f>'Phase-Resource Allocation'!$D$117</f>
        <v>0.5</v>
      </c>
      <c r="AE118" s="51">
        <f>IFERROR(INDEX('02_SCHEDULE'!$K$5:$K$124,MATCH(AA118&amp;"|"&amp;AB118,'02_SCHEDULE'!$M$5:$M$124,0)),0)</f>
        <v>13</v>
      </c>
      <c r="AF118" s="51">
        <f>IFERROR(INDEX('02_SCHEDULE'!$L$5:$L$124,MATCH(AA118&amp;"|"&amp;AB118,'02_SCHEDULE'!$M$5:$M$124,0)),0)</f>
        <v>16</v>
      </c>
      <c r="AG118" s="51">
        <f t="shared" si="9"/>
        <v>2</v>
      </c>
    </row>
    <row r="119" spans="2:33" x14ac:dyDescent="0.3">
      <c r="B119">
        <f>96</f>
        <v>96</v>
      </c>
      <c r="C119" s="55">
        <f>'01_INPUTS'!$C$7+(96-1)*7</f>
        <v>46916</v>
      </c>
      <c r="D119" s="61">
        <f>IF(INDEX('01_INPUTS'!$E$17:$E$31,MATCH(D$23,'01_INPUTS'!$B$17:$B$31,0))=0,IF(SUMIFS($AD$3:$AD$870,$AC$3:$AC$870,D$23,$AE$3:$AE$870,"&lt;="&amp;$B119,$AF$3:$AF$870,"&gt;="&amp;$B119)=0,0,9.99),SUMIFS($AD$3:$AD$870,$AC$3:$AC$870,D$23,$AE$3:$AE$870,"&lt;="&amp;$B119,$AF$3:$AF$870,"&gt;="&amp;$B119)/INDEX('01_INPUTS'!$E$17:$E$31,MATCH(D$23,'01_INPUTS'!$B$17:$B$31,0)))</f>
        <v>0</v>
      </c>
      <c r="E119" s="61">
        <f>IF(INDEX('01_INPUTS'!$E$17:$E$31,MATCH(E$23,'01_INPUTS'!$B$17:$B$31,0))=0,IF(SUMIFS($AD$3:$AD$870,$AC$3:$AC$870,E$23,$AE$3:$AE$870,"&lt;="&amp;$B119,$AF$3:$AF$870,"&gt;="&amp;$B119)=0,0,9.99),SUMIFS($AD$3:$AD$870,$AC$3:$AC$870,E$23,$AE$3:$AE$870,"&lt;="&amp;$B119,$AF$3:$AF$870,"&gt;="&amp;$B119)/INDEX('01_INPUTS'!$E$17:$E$31,MATCH(E$23,'01_INPUTS'!$B$17:$B$31,0)))</f>
        <v>0</v>
      </c>
      <c r="F119" s="61">
        <f>IF(INDEX('01_INPUTS'!$E$17:$E$31,MATCH(F$23,'01_INPUTS'!$B$17:$B$31,0))=0,IF(SUMIFS($AD$3:$AD$870,$AC$3:$AC$870,F$23,$AE$3:$AE$870,"&lt;="&amp;$B119,$AF$3:$AF$870,"&gt;="&amp;$B119)=0,0,9.99),SUMIFS($AD$3:$AD$870,$AC$3:$AC$870,F$23,$AE$3:$AE$870,"&lt;="&amp;$B119,$AF$3:$AF$870,"&gt;="&amp;$B119)/INDEX('01_INPUTS'!$E$17:$E$31,MATCH(F$23,'01_INPUTS'!$B$17:$B$31,0)))</f>
        <v>0</v>
      </c>
      <c r="G119" s="61">
        <f>IF(INDEX('01_INPUTS'!$E$17:$E$31,MATCH(G$23,'01_INPUTS'!$B$17:$B$31,0))=0,IF(SUMIFS($AD$3:$AD$870,$AC$3:$AC$870,G$23,$AE$3:$AE$870,"&lt;="&amp;$B119,$AF$3:$AF$870,"&gt;="&amp;$B119)=0,0,9.99),SUMIFS($AD$3:$AD$870,$AC$3:$AC$870,G$23,$AE$3:$AE$870,"&lt;="&amp;$B119,$AF$3:$AF$870,"&gt;="&amp;$B119)/INDEX('01_INPUTS'!$E$17:$E$31,MATCH(G$23,'01_INPUTS'!$B$17:$B$31,0)))</f>
        <v>0</v>
      </c>
      <c r="H119" s="61">
        <f>IF(INDEX('01_INPUTS'!$E$17:$E$31,MATCH(H$23,'01_INPUTS'!$B$17:$B$31,0))=0,IF(SUMIFS($AD$3:$AD$870,$AC$3:$AC$870,H$23,$AE$3:$AE$870,"&lt;="&amp;$B119,$AF$3:$AF$870,"&gt;="&amp;$B119)=0,0,9.99),SUMIFS($AD$3:$AD$870,$AC$3:$AC$870,H$23,$AE$3:$AE$870,"&lt;="&amp;$B119,$AF$3:$AF$870,"&gt;="&amp;$B119)/INDEX('01_INPUTS'!$E$17:$E$31,MATCH(H$23,'01_INPUTS'!$B$17:$B$31,0)))</f>
        <v>0</v>
      </c>
      <c r="I119" s="61">
        <f>IF(INDEX('01_INPUTS'!$E$17:$E$31,MATCH(I$23,'01_INPUTS'!$B$17:$B$31,0))=0,IF(SUMIFS($AD$3:$AD$870,$AC$3:$AC$870,I$23,$AE$3:$AE$870,"&lt;="&amp;$B119,$AF$3:$AF$870,"&gt;="&amp;$B119)=0,0,9.99),SUMIFS($AD$3:$AD$870,$AC$3:$AC$870,I$23,$AE$3:$AE$870,"&lt;="&amp;$B119,$AF$3:$AF$870,"&gt;="&amp;$B119)/INDEX('01_INPUTS'!$E$17:$E$31,MATCH(I$23,'01_INPUTS'!$B$17:$B$31,0)))</f>
        <v>0</v>
      </c>
      <c r="J119" s="61">
        <f>IF(INDEX('01_INPUTS'!$E$17:$E$31,MATCH(J$23,'01_INPUTS'!$B$17:$B$31,0))=0,IF(SUMIFS($AD$3:$AD$870,$AC$3:$AC$870,J$23,$AE$3:$AE$870,"&lt;="&amp;$B119,$AF$3:$AF$870,"&gt;="&amp;$B119)=0,0,9.99),SUMIFS($AD$3:$AD$870,$AC$3:$AC$870,J$23,$AE$3:$AE$870,"&lt;="&amp;$B119,$AF$3:$AF$870,"&gt;="&amp;$B119)/INDEX('01_INPUTS'!$E$17:$E$31,MATCH(J$23,'01_INPUTS'!$B$17:$B$31,0)))</f>
        <v>0</v>
      </c>
      <c r="K119" s="61">
        <f>IF(INDEX('01_INPUTS'!$E$17:$E$31,MATCH(K$23,'01_INPUTS'!$B$17:$B$31,0))=0,IF(SUMIFS($AD$3:$AD$870,$AC$3:$AC$870,K$23,$AE$3:$AE$870,"&lt;="&amp;$B119,$AF$3:$AF$870,"&gt;="&amp;$B119)=0,0,9.99),SUMIFS($AD$3:$AD$870,$AC$3:$AC$870,K$23,$AE$3:$AE$870,"&lt;="&amp;$B119,$AF$3:$AF$870,"&gt;="&amp;$B119)/INDEX('01_INPUTS'!$E$17:$E$31,MATCH(K$23,'01_INPUTS'!$B$17:$B$31,0)))</f>
        <v>0</v>
      </c>
      <c r="L119" s="61">
        <f>IF(INDEX('01_INPUTS'!$E$17:$E$31,MATCH(L$23,'01_INPUTS'!$B$17:$B$31,0))=0,IF(SUMIFS($AD$3:$AD$870,$AC$3:$AC$870,L$23,$AE$3:$AE$870,"&lt;="&amp;$B119,$AF$3:$AF$870,"&gt;="&amp;$B119)=0,0,9.99),SUMIFS($AD$3:$AD$870,$AC$3:$AC$870,L$23,$AE$3:$AE$870,"&lt;="&amp;$B119,$AF$3:$AF$870,"&gt;="&amp;$B119)/INDEX('01_INPUTS'!$E$17:$E$31,MATCH(L$23,'01_INPUTS'!$B$17:$B$31,0)))</f>
        <v>0</v>
      </c>
      <c r="M119" s="61">
        <f>IF(INDEX('01_INPUTS'!$E$17:$E$31,MATCH(M$23,'01_INPUTS'!$B$17:$B$31,0))=0,IF(SUMIFS($AD$3:$AD$870,$AC$3:$AC$870,M$23,$AE$3:$AE$870,"&lt;="&amp;$B119,$AF$3:$AF$870,"&gt;="&amp;$B119)=0,0,9.99),SUMIFS($AD$3:$AD$870,$AC$3:$AC$870,M$23,$AE$3:$AE$870,"&lt;="&amp;$B119,$AF$3:$AF$870,"&gt;="&amp;$B119)/INDEX('01_INPUTS'!$E$17:$E$31,MATCH(M$23,'01_INPUTS'!$B$17:$B$31,0)))</f>
        <v>0</v>
      </c>
      <c r="N119" s="61">
        <f>IF(INDEX('01_INPUTS'!$E$17:$E$31,MATCH(N$23,'01_INPUTS'!$B$17:$B$31,0))=0,IF(SUMIFS($AD$3:$AD$870,$AC$3:$AC$870,N$23,$AE$3:$AE$870,"&lt;="&amp;$B119,$AF$3:$AF$870,"&gt;="&amp;$B119)=0,0,9.99),SUMIFS($AD$3:$AD$870,$AC$3:$AC$870,N$23,$AE$3:$AE$870,"&lt;="&amp;$B119,$AF$3:$AF$870,"&gt;="&amp;$B119)/INDEX('01_INPUTS'!$E$17:$E$31,MATCH(N$23,'01_INPUTS'!$B$17:$B$31,0)))</f>
        <v>0</v>
      </c>
      <c r="O119" s="61">
        <f>IF(INDEX('01_INPUTS'!$E$17:$E$31,MATCH(O$23,'01_INPUTS'!$B$17:$B$31,0))=0,IF(SUMIFS($AD$3:$AD$870,$AC$3:$AC$870,O$23,$AE$3:$AE$870,"&lt;="&amp;$B119,$AF$3:$AF$870,"&gt;="&amp;$B119)=0,0,9.99),SUMIFS($AD$3:$AD$870,$AC$3:$AC$870,O$23,$AE$3:$AE$870,"&lt;="&amp;$B119,$AF$3:$AF$870,"&gt;="&amp;$B119)/INDEX('01_INPUTS'!$E$17:$E$31,MATCH(O$23,'01_INPUTS'!$B$17:$B$31,0)))</f>
        <v>0</v>
      </c>
      <c r="P119" s="61">
        <f>IF(INDEX('01_INPUTS'!$E$17:$E$31,MATCH(P$23,'01_INPUTS'!$B$17:$B$31,0))=0,IF(SUMIFS($AD$3:$AD$870,$AC$3:$AC$870,P$23,$AE$3:$AE$870,"&lt;="&amp;$B119,$AF$3:$AF$870,"&gt;="&amp;$B119)=0,0,9.99),SUMIFS($AD$3:$AD$870,$AC$3:$AC$870,P$23,$AE$3:$AE$870,"&lt;="&amp;$B119,$AF$3:$AF$870,"&gt;="&amp;$B119)/INDEX('01_INPUTS'!$E$17:$E$31,MATCH(P$23,'01_INPUTS'!$B$17:$B$31,0)))</f>
        <v>0</v>
      </c>
      <c r="Q119" s="61">
        <f>IF(INDEX('01_INPUTS'!$E$17:$E$31,MATCH(Q$23,'01_INPUTS'!$B$17:$B$31,0))=0,IF(SUMIFS($AD$3:$AD$870,$AC$3:$AC$870,Q$23,$AE$3:$AE$870,"&lt;="&amp;$B119,$AF$3:$AF$870,"&gt;="&amp;$B119)=0,0,9.99),SUMIFS($AD$3:$AD$870,$AC$3:$AC$870,Q$23,$AE$3:$AE$870,"&lt;="&amp;$B119,$AF$3:$AF$870,"&gt;="&amp;$B119)/INDEX('01_INPUTS'!$E$17:$E$31,MATCH(Q$23,'01_INPUTS'!$B$17:$B$31,0)))</f>
        <v>0</v>
      </c>
      <c r="R119" s="61">
        <f>IF(INDEX('01_INPUTS'!$E$17:$E$31,MATCH(R$23,'01_INPUTS'!$B$17:$B$31,0))=0,IF(SUMIFS($AD$3:$AD$870,$AC$3:$AC$870,R$23,$AE$3:$AE$870,"&lt;="&amp;$B119,$AF$3:$AF$870,"&gt;="&amp;$B119)=0,0,9.99),SUMIFS($AD$3:$AD$870,$AC$3:$AC$870,R$23,$AE$3:$AE$870,"&lt;="&amp;$B119,$AF$3:$AF$870,"&gt;="&amp;$B119)/INDEX('01_INPUTS'!$E$17:$E$31,MATCH(R$23,'01_INPUTS'!$B$17:$B$31,0)))</f>
        <v>0</v>
      </c>
      <c r="S119">
        <f t="shared" si="10"/>
        <v>0</v>
      </c>
      <c r="T119">
        <f>SUM('01_INPUTS'!$E$17:$E$31)</f>
        <v>20</v>
      </c>
      <c r="U119" s="61">
        <f t="shared" si="11"/>
        <v>0</v>
      </c>
      <c r="V119">
        <f t="shared" si="12"/>
        <v>0</v>
      </c>
      <c r="W119" t="str">
        <f t="shared" si="13"/>
        <v>VERDE</v>
      </c>
      <c r="AA119" s="51" t="str">
        <f>'Sites Master'!$B$3</f>
        <v>Site 02</v>
      </c>
      <c r="AB119" s="51" t="str">
        <f>'Phase-Resource Allocation'!$B$118</f>
        <v>Hypercare</v>
      </c>
      <c r="AC119" s="51" t="str">
        <f>'Phase-Resource Allocation'!$C$118</f>
        <v>Azure Specialist</v>
      </c>
      <c r="AD119" s="60">
        <f>'Phase-Resource Allocation'!$D$118</f>
        <v>0.5</v>
      </c>
      <c r="AE119" s="51">
        <f>IFERROR(INDEX('02_SCHEDULE'!$K$5:$K$124,MATCH(AA119&amp;"|"&amp;AB119,'02_SCHEDULE'!$M$5:$M$124,0)),0)</f>
        <v>13</v>
      </c>
      <c r="AF119" s="51">
        <f>IFERROR(INDEX('02_SCHEDULE'!$L$5:$L$124,MATCH(AA119&amp;"|"&amp;AB119,'02_SCHEDULE'!$M$5:$M$124,0)),0)</f>
        <v>16</v>
      </c>
      <c r="AG119" s="51">
        <f t="shared" si="9"/>
        <v>2</v>
      </c>
    </row>
    <row r="120" spans="2:33" x14ac:dyDescent="0.3">
      <c r="B120">
        <f>97</f>
        <v>97</v>
      </c>
      <c r="C120" s="55">
        <f>'01_INPUTS'!$C$7+(97-1)*7</f>
        <v>46923</v>
      </c>
      <c r="D120" s="61">
        <f>IF(INDEX('01_INPUTS'!$E$17:$E$31,MATCH(D$23,'01_INPUTS'!$B$17:$B$31,0))=0,IF(SUMIFS($AD$3:$AD$870,$AC$3:$AC$870,D$23,$AE$3:$AE$870,"&lt;="&amp;$B120,$AF$3:$AF$870,"&gt;="&amp;$B120)=0,0,9.99),SUMIFS($AD$3:$AD$870,$AC$3:$AC$870,D$23,$AE$3:$AE$870,"&lt;="&amp;$B120,$AF$3:$AF$870,"&gt;="&amp;$B120)/INDEX('01_INPUTS'!$E$17:$E$31,MATCH(D$23,'01_INPUTS'!$B$17:$B$31,0)))</f>
        <v>0</v>
      </c>
      <c r="E120" s="61">
        <f>IF(INDEX('01_INPUTS'!$E$17:$E$31,MATCH(E$23,'01_INPUTS'!$B$17:$B$31,0))=0,IF(SUMIFS($AD$3:$AD$870,$AC$3:$AC$870,E$23,$AE$3:$AE$870,"&lt;="&amp;$B120,$AF$3:$AF$870,"&gt;="&amp;$B120)=0,0,9.99),SUMIFS($AD$3:$AD$870,$AC$3:$AC$870,E$23,$AE$3:$AE$870,"&lt;="&amp;$B120,$AF$3:$AF$870,"&gt;="&amp;$B120)/INDEX('01_INPUTS'!$E$17:$E$31,MATCH(E$23,'01_INPUTS'!$B$17:$B$31,0)))</f>
        <v>0</v>
      </c>
      <c r="F120" s="61">
        <f>IF(INDEX('01_INPUTS'!$E$17:$E$31,MATCH(F$23,'01_INPUTS'!$B$17:$B$31,0))=0,IF(SUMIFS($AD$3:$AD$870,$AC$3:$AC$870,F$23,$AE$3:$AE$870,"&lt;="&amp;$B120,$AF$3:$AF$870,"&gt;="&amp;$B120)=0,0,9.99),SUMIFS($AD$3:$AD$870,$AC$3:$AC$870,F$23,$AE$3:$AE$870,"&lt;="&amp;$B120,$AF$3:$AF$870,"&gt;="&amp;$B120)/INDEX('01_INPUTS'!$E$17:$E$31,MATCH(F$23,'01_INPUTS'!$B$17:$B$31,0)))</f>
        <v>0</v>
      </c>
      <c r="G120" s="61">
        <f>IF(INDEX('01_INPUTS'!$E$17:$E$31,MATCH(G$23,'01_INPUTS'!$B$17:$B$31,0))=0,IF(SUMIFS($AD$3:$AD$870,$AC$3:$AC$870,G$23,$AE$3:$AE$870,"&lt;="&amp;$B120,$AF$3:$AF$870,"&gt;="&amp;$B120)=0,0,9.99),SUMIFS($AD$3:$AD$870,$AC$3:$AC$870,G$23,$AE$3:$AE$870,"&lt;="&amp;$B120,$AF$3:$AF$870,"&gt;="&amp;$B120)/INDEX('01_INPUTS'!$E$17:$E$31,MATCH(G$23,'01_INPUTS'!$B$17:$B$31,0)))</f>
        <v>0</v>
      </c>
      <c r="H120" s="61">
        <f>IF(INDEX('01_INPUTS'!$E$17:$E$31,MATCH(H$23,'01_INPUTS'!$B$17:$B$31,0))=0,IF(SUMIFS($AD$3:$AD$870,$AC$3:$AC$870,H$23,$AE$3:$AE$870,"&lt;="&amp;$B120,$AF$3:$AF$870,"&gt;="&amp;$B120)=0,0,9.99),SUMIFS($AD$3:$AD$870,$AC$3:$AC$870,H$23,$AE$3:$AE$870,"&lt;="&amp;$B120,$AF$3:$AF$870,"&gt;="&amp;$B120)/INDEX('01_INPUTS'!$E$17:$E$31,MATCH(H$23,'01_INPUTS'!$B$17:$B$31,0)))</f>
        <v>0</v>
      </c>
      <c r="I120" s="61">
        <f>IF(INDEX('01_INPUTS'!$E$17:$E$31,MATCH(I$23,'01_INPUTS'!$B$17:$B$31,0))=0,IF(SUMIFS($AD$3:$AD$870,$AC$3:$AC$870,I$23,$AE$3:$AE$870,"&lt;="&amp;$B120,$AF$3:$AF$870,"&gt;="&amp;$B120)=0,0,9.99),SUMIFS($AD$3:$AD$870,$AC$3:$AC$870,I$23,$AE$3:$AE$870,"&lt;="&amp;$B120,$AF$3:$AF$870,"&gt;="&amp;$B120)/INDEX('01_INPUTS'!$E$17:$E$31,MATCH(I$23,'01_INPUTS'!$B$17:$B$31,0)))</f>
        <v>0</v>
      </c>
      <c r="J120" s="61">
        <f>IF(INDEX('01_INPUTS'!$E$17:$E$31,MATCH(J$23,'01_INPUTS'!$B$17:$B$31,0))=0,IF(SUMIFS($AD$3:$AD$870,$AC$3:$AC$870,J$23,$AE$3:$AE$870,"&lt;="&amp;$B120,$AF$3:$AF$870,"&gt;="&amp;$B120)=0,0,9.99),SUMIFS($AD$3:$AD$870,$AC$3:$AC$870,J$23,$AE$3:$AE$870,"&lt;="&amp;$B120,$AF$3:$AF$870,"&gt;="&amp;$B120)/INDEX('01_INPUTS'!$E$17:$E$31,MATCH(J$23,'01_INPUTS'!$B$17:$B$31,0)))</f>
        <v>0</v>
      </c>
      <c r="K120" s="61">
        <f>IF(INDEX('01_INPUTS'!$E$17:$E$31,MATCH(K$23,'01_INPUTS'!$B$17:$B$31,0))=0,IF(SUMIFS($AD$3:$AD$870,$AC$3:$AC$870,K$23,$AE$3:$AE$870,"&lt;="&amp;$B120,$AF$3:$AF$870,"&gt;="&amp;$B120)=0,0,9.99),SUMIFS($AD$3:$AD$870,$AC$3:$AC$870,K$23,$AE$3:$AE$870,"&lt;="&amp;$B120,$AF$3:$AF$870,"&gt;="&amp;$B120)/INDEX('01_INPUTS'!$E$17:$E$31,MATCH(K$23,'01_INPUTS'!$B$17:$B$31,0)))</f>
        <v>0</v>
      </c>
      <c r="L120" s="61">
        <f>IF(INDEX('01_INPUTS'!$E$17:$E$31,MATCH(L$23,'01_INPUTS'!$B$17:$B$31,0))=0,IF(SUMIFS($AD$3:$AD$870,$AC$3:$AC$870,L$23,$AE$3:$AE$870,"&lt;="&amp;$B120,$AF$3:$AF$870,"&gt;="&amp;$B120)=0,0,9.99),SUMIFS($AD$3:$AD$870,$AC$3:$AC$870,L$23,$AE$3:$AE$870,"&lt;="&amp;$B120,$AF$3:$AF$870,"&gt;="&amp;$B120)/INDEX('01_INPUTS'!$E$17:$E$31,MATCH(L$23,'01_INPUTS'!$B$17:$B$31,0)))</f>
        <v>0</v>
      </c>
      <c r="M120" s="61">
        <f>IF(INDEX('01_INPUTS'!$E$17:$E$31,MATCH(M$23,'01_INPUTS'!$B$17:$B$31,0))=0,IF(SUMIFS($AD$3:$AD$870,$AC$3:$AC$870,M$23,$AE$3:$AE$870,"&lt;="&amp;$B120,$AF$3:$AF$870,"&gt;="&amp;$B120)=0,0,9.99),SUMIFS($AD$3:$AD$870,$AC$3:$AC$870,M$23,$AE$3:$AE$870,"&lt;="&amp;$B120,$AF$3:$AF$870,"&gt;="&amp;$B120)/INDEX('01_INPUTS'!$E$17:$E$31,MATCH(M$23,'01_INPUTS'!$B$17:$B$31,0)))</f>
        <v>0</v>
      </c>
      <c r="N120" s="61">
        <f>IF(INDEX('01_INPUTS'!$E$17:$E$31,MATCH(N$23,'01_INPUTS'!$B$17:$B$31,0))=0,IF(SUMIFS($AD$3:$AD$870,$AC$3:$AC$870,N$23,$AE$3:$AE$870,"&lt;="&amp;$B120,$AF$3:$AF$870,"&gt;="&amp;$B120)=0,0,9.99),SUMIFS($AD$3:$AD$870,$AC$3:$AC$870,N$23,$AE$3:$AE$870,"&lt;="&amp;$B120,$AF$3:$AF$870,"&gt;="&amp;$B120)/INDEX('01_INPUTS'!$E$17:$E$31,MATCH(N$23,'01_INPUTS'!$B$17:$B$31,0)))</f>
        <v>0</v>
      </c>
      <c r="O120" s="61">
        <f>IF(INDEX('01_INPUTS'!$E$17:$E$31,MATCH(O$23,'01_INPUTS'!$B$17:$B$31,0))=0,IF(SUMIFS($AD$3:$AD$870,$AC$3:$AC$870,O$23,$AE$3:$AE$870,"&lt;="&amp;$B120,$AF$3:$AF$870,"&gt;="&amp;$B120)=0,0,9.99),SUMIFS($AD$3:$AD$870,$AC$3:$AC$870,O$23,$AE$3:$AE$870,"&lt;="&amp;$B120,$AF$3:$AF$870,"&gt;="&amp;$B120)/INDEX('01_INPUTS'!$E$17:$E$31,MATCH(O$23,'01_INPUTS'!$B$17:$B$31,0)))</f>
        <v>0</v>
      </c>
      <c r="P120" s="61">
        <f>IF(INDEX('01_INPUTS'!$E$17:$E$31,MATCH(P$23,'01_INPUTS'!$B$17:$B$31,0))=0,IF(SUMIFS($AD$3:$AD$870,$AC$3:$AC$870,P$23,$AE$3:$AE$870,"&lt;="&amp;$B120,$AF$3:$AF$870,"&gt;="&amp;$B120)=0,0,9.99),SUMIFS($AD$3:$AD$870,$AC$3:$AC$870,P$23,$AE$3:$AE$870,"&lt;="&amp;$B120,$AF$3:$AF$870,"&gt;="&amp;$B120)/INDEX('01_INPUTS'!$E$17:$E$31,MATCH(P$23,'01_INPUTS'!$B$17:$B$31,0)))</f>
        <v>0</v>
      </c>
      <c r="Q120" s="61">
        <f>IF(INDEX('01_INPUTS'!$E$17:$E$31,MATCH(Q$23,'01_INPUTS'!$B$17:$B$31,0))=0,IF(SUMIFS($AD$3:$AD$870,$AC$3:$AC$870,Q$23,$AE$3:$AE$870,"&lt;="&amp;$B120,$AF$3:$AF$870,"&gt;="&amp;$B120)=0,0,9.99),SUMIFS($AD$3:$AD$870,$AC$3:$AC$870,Q$23,$AE$3:$AE$870,"&lt;="&amp;$B120,$AF$3:$AF$870,"&gt;="&amp;$B120)/INDEX('01_INPUTS'!$E$17:$E$31,MATCH(Q$23,'01_INPUTS'!$B$17:$B$31,0)))</f>
        <v>0</v>
      </c>
      <c r="R120" s="61">
        <f>IF(INDEX('01_INPUTS'!$E$17:$E$31,MATCH(R$23,'01_INPUTS'!$B$17:$B$31,0))=0,IF(SUMIFS($AD$3:$AD$870,$AC$3:$AC$870,R$23,$AE$3:$AE$870,"&lt;="&amp;$B120,$AF$3:$AF$870,"&gt;="&amp;$B120)=0,0,9.99),SUMIFS($AD$3:$AD$870,$AC$3:$AC$870,R$23,$AE$3:$AE$870,"&lt;="&amp;$B120,$AF$3:$AF$870,"&gt;="&amp;$B120)/INDEX('01_INPUTS'!$E$17:$E$31,MATCH(R$23,'01_INPUTS'!$B$17:$B$31,0)))</f>
        <v>0</v>
      </c>
      <c r="S120">
        <f t="shared" ref="S120:S151" si="14">SUMIFS($AD$3:$AD$870,$AE$3:$AE$870,"&lt;="&amp;B120,$AF$3:$AF$870,"&gt;="&amp;B120)</f>
        <v>0</v>
      </c>
      <c r="T120">
        <f>SUM('01_INPUTS'!$E$17:$E$31)</f>
        <v>20</v>
      </c>
      <c r="U120" s="61">
        <f t="shared" ref="U120:U151" si="15">IFERROR(S120/T120,0)</f>
        <v>0</v>
      </c>
      <c r="V120">
        <f t="shared" ref="V120:V151" si="16">COUNTIF(D120:R120,"&gt;1")</f>
        <v>0</v>
      </c>
      <c r="W120" t="str">
        <f t="shared" ref="W120:W151" si="17">IF(MAX(D120:R120)&gt;1,"ROJO",IF(MAX(D120:R120)&gt;0.8,"AMARILLO","VERDE"))</f>
        <v>VERDE</v>
      </c>
      <c r="AA120" s="51" t="str">
        <f>'Sites Master'!$B$3</f>
        <v>Site 02</v>
      </c>
      <c r="AB120" s="51" t="str">
        <f>'Phase-Resource Allocation'!$B$119</f>
        <v>Hypercare</v>
      </c>
      <c r="AC120" s="51" t="str">
        <f>'Phase-Resource Allocation'!$C$119</f>
        <v>Functional Lead</v>
      </c>
      <c r="AD120" s="60">
        <f>'Phase-Resource Allocation'!$D$119</f>
        <v>1</v>
      </c>
      <c r="AE120" s="51">
        <f>IFERROR(INDEX('02_SCHEDULE'!$K$5:$K$124,MATCH(AA120&amp;"|"&amp;AB120,'02_SCHEDULE'!$M$5:$M$124,0)),0)</f>
        <v>13</v>
      </c>
      <c r="AF120" s="51">
        <f>IFERROR(INDEX('02_SCHEDULE'!$L$5:$L$124,MATCH(AA120&amp;"|"&amp;AB120,'02_SCHEDULE'!$M$5:$M$124,0)),0)</f>
        <v>16</v>
      </c>
      <c r="AG120" s="51">
        <f t="shared" si="9"/>
        <v>4</v>
      </c>
    </row>
    <row r="121" spans="2:33" x14ac:dyDescent="0.3">
      <c r="B121">
        <f>98</f>
        <v>98</v>
      </c>
      <c r="C121" s="55">
        <f>'01_INPUTS'!$C$7+(98-1)*7</f>
        <v>46930</v>
      </c>
      <c r="D121" s="61">
        <f>IF(INDEX('01_INPUTS'!$E$17:$E$31,MATCH(D$23,'01_INPUTS'!$B$17:$B$31,0))=0,IF(SUMIFS($AD$3:$AD$870,$AC$3:$AC$870,D$23,$AE$3:$AE$870,"&lt;="&amp;$B121,$AF$3:$AF$870,"&gt;="&amp;$B121)=0,0,9.99),SUMIFS($AD$3:$AD$870,$AC$3:$AC$870,D$23,$AE$3:$AE$870,"&lt;="&amp;$B121,$AF$3:$AF$870,"&gt;="&amp;$B121)/INDEX('01_INPUTS'!$E$17:$E$31,MATCH(D$23,'01_INPUTS'!$B$17:$B$31,0)))</f>
        <v>0</v>
      </c>
      <c r="E121" s="61">
        <f>IF(INDEX('01_INPUTS'!$E$17:$E$31,MATCH(E$23,'01_INPUTS'!$B$17:$B$31,0))=0,IF(SUMIFS($AD$3:$AD$870,$AC$3:$AC$870,E$23,$AE$3:$AE$870,"&lt;="&amp;$B121,$AF$3:$AF$870,"&gt;="&amp;$B121)=0,0,9.99),SUMIFS($AD$3:$AD$870,$AC$3:$AC$870,E$23,$AE$3:$AE$870,"&lt;="&amp;$B121,$AF$3:$AF$870,"&gt;="&amp;$B121)/INDEX('01_INPUTS'!$E$17:$E$31,MATCH(E$23,'01_INPUTS'!$B$17:$B$31,0)))</f>
        <v>0</v>
      </c>
      <c r="F121" s="61">
        <f>IF(INDEX('01_INPUTS'!$E$17:$E$31,MATCH(F$23,'01_INPUTS'!$B$17:$B$31,0))=0,IF(SUMIFS($AD$3:$AD$870,$AC$3:$AC$870,F$23,$AE$3:$AE$870,"&lt;="&amp;$B121,$AF$3:$AF$870,"&gt;="&amp;$B121)=0,0,9.99),SUMIFS($AD$3:$AD$870,$AC$3:$AC$870,F$23,$AE$3:$AE$870,"&lt;="&amp;$B121,$AF$3:$AF$870,"&gt;="&amp;$B121)/INDEX('01_INPUTS'!$E$17:$E$31,MATCH(F$23,'01_INPUTS'!$B$17:$B$31,0)))</f>
        <v>0</v>
      </c>
      <c r="G121" s="61">
        <f>IF(INDEX('01_INPUTS'!$E$17:$E$31,MATCH(G$23,'01_INPUTS'!$B$17:$B$31,0))=0,IF(SUMIFS($AD$3:$AD$870,$AC$3:$AC$870,G$23,$AE$3:$AE$870,"&lt;="&amp;$B121,$AF$3:$AF$870,"&gt;="&amp;$B121)=0,0,9.99),SUMIFS($AD$3:$AD$870,$AC$3:$AC$870,G$23,$AE$3:$AE$870,"&lt;="&amp;$B121,$AF$3:$AF$870,"&gt;="&amp;$B121)/INDEX('01_INPUTS'!$E$17:$E$31,MATCH(G$23,'01_INPUTS'!$B$17:$B$31,0)))</f>
        <v>0</v>
      </c>
      <c r="H121" s="61">
        <f>IF(INDEX('01_INPUTS'!$E$17:$E$31,MATCH(H$23,'01_INPUTS'!$B$17:$B$31,0))=0,IF(SUMIFS($AD$3:$AD$870,$AC$3:$AC$870,H$23,$AE$3:$AE$870,"&lt;="&amp;$B121,$AF$3:$AF$870,"&gt;="&amp;$B121)=0,0,9.99),SUMIFS($AD$3:$AD$870,$AC$3:$AC$870,H$23,$AE$3:$AE$870,"&lt;="&amp;$B121,$AF$3:$AF$870,"&gt;="&amp;$B121)/INDEX('01_INPUTS'!$E$17:$E$31,MATCH(H$23,'01_INPUTS'!$B$17:$B$31,0)))</f>
        <v>0</v>
      </c>
      <c r="I121" s="61">
        <f>IF(INDEX('01_INPUTS'!$E$17:$E$31,MATCH(I$23,'01_INPUTS'!$B$17:$B$31,0))=0,IF(SUMIFS($AD$3:$AD$870,$AC$3:$AC$870,I$23,$AE$3:$AE$870,"&lt;="&amp;$B121,$AF$3:$AF$870,"&gt;="&amp;$B121)=0,0,9.99),SUMIFS($AD$3:$AD$870,$AC$3:$AC$870,I$23,$AE$3:$AE$870,"&lt;="&amp;$B121,$AF$3:$AF$870,"&gt;="&amp;$B121)/INDEX('01_INPUTS'!$E$17:$E$31,MATCH(I$23,'01_INPUTS'!$B$17:$B$31,0)))</f>
        <v>0</v>
      </c>
      <c r="J121" s="61">
        <f>IF(INDEX('01_INPUTS'!$E$17:$E$31,MATCH(J$23,'01_INPUTS'!$B$17:$B$31,0))=0,IF(SUMIFS($AD$3:$AD$870,$AC$3:$AC$870,J$23,$AE$3:$AE$870,"&lt;="&amp;$B121,$AF$3:$AF$870,"&gt;="&amp;$B121)=0,0,9.99),SUMIFS($AD$3:$AD$870,$AC$3:$AC$870,J$23,$AE$3:$AE$870,"&lt;="&amp;$B121,$AF$3:$AF$870,"&gt;="&amp;$B121)/INDEX('01_INPUTS'!$E$17:$E$31,MATCH(J$23,'01_INPUTS'!$B$17:$B$31,0)))</f>
        <v>0</v>
      </c>
      <c r="K121" s="61">
        <f>IF(INDEX('01_INPUTS'!$E$17:$E$31,MATCH(K$23,'01_INPUTS'!$B$17:$B$31,0))=0,IF(SUMIFS($AD$3:$AD$870,$AC$3:$AC$870,K$23,$AE$3:$AE$870,"&lt;="&amp;$B121,$AF$3:$AF$870,"&gt;="&amp;$B121)=0,0,9.99),SUMIFS($AD$3:$AD$870,$AC$3:$AC$870,K$23,$AE$3:$AE$870,"&lt;="&amp;$B121,$AF$3:$AF$870,"&gt;="&amp;$B121)/INDEX('01_INPUTS'!$E$17:$E$31,MATCH(K$23,'01_INPUTS'!$B$17:$B$31,0)))</f>
        <v>0</v>
      </c>
      <c r="L121" s="61">
        <f>IF(INDEX('01_INPUTS'!$E$17:$E$31,MATCH(L$23,'01_INPUTS'!$B$17:$B$31,0))=0,IF(SUMIFS($AD$3:$AD$870,$AC$3:$AC$870,L$23,$AE$3:$AE$870,"&lt;="&amp;$B121,$AF$3:$AF$870,"&gt;="&amp;$B121)=0,0,9.99),SUMIFS($AD$3:$AD$870,$AC$3:$AC$870,L$23,$AE$3:$AE$870,"&lt;="&amp;$B121,$AF$3:$AF$870,"&gt;="&amp;$B121)/INDEX('01_INPUTS'!$E$17:$E$31,MATCH(L$23,'01_INPUTS'!$B$17:$B$31,0)))</f>
        <v>0</v>
      </c>
      <c r="M121" s="61">
        <f>IF(INDEX('01_INPUTS'!$E$17:$E$31,MATCH(M$23,'01_INPUTS'!$B$17:$B$31,0))=0,IF(SUMIFS($AD$3:$AD$870,$AC$3:$AC$870,M$23,$AE$3:$AE$870,"&lt;="&amp;$B121,$AF$3:$AF$870,"&gt;="&amp;$B121)=0,0,9.99),SUMIFS($AD$3:$AD$870,$AC$3:$AC$870,M$23,$AE$3:$AE$870,"&lt;="&amp;$B121,$AF$3:$AF$870,"&gt;="&amp;$B121)/INDEX('01_INPUTS'!$E$17:$E$31,MATCH(M$23,'01_INPUTS'!$B$17:$B$31,0)))</f>
        <v>0</v>
      </c>
      <c r="N121" s="61">
        <f>IF(INDEX('01_INPUTS'!$E$17:$E$31,MATCH(N$23,'01_INPUTS'!$B$17:$B$31,0))=0,IF(SUMIFS($AD$3:$AD$870,$AC$3:$AC$870,N$23,$AE$3:$AE$870,"&lt;="&amp;$B121,$AF$3:$AF$870,"&gt;="&amp;$B121)=0,0,9.99),SUMIFS($AD$3:$AD$870,$AC$3:$AC$870,N$23,$AE$3:$AE$870,"&lt;="&amp;$B121,$AF$3:$AF$870,"&gt;="&amp;$B121)/INDEX('01_INPUTS'!$E$17:$E$31,MATCH(N$23,'01_INPUTS'!$B$17:$B$31,0)))</f>
        <v>0</v>
      </c>
      <c r="O121" s="61">
        <f>IF(INDEX('01_INPUTS'!$E$17:$E$31,MATCH(O$23,'01_INPUTS'!$B$17:$B$31,0))=0,IF(SUMIFS($AD$3:$AD$870,$AC$3:$AC$870,O$23,$AE$3:$AE$870,"&lt;="&amp;$B121,$AF$3:$AF$870,"&gt;="&amp;$B121)=0,0,9.99),SUMIFS($AD$3:$AD$870,$AC$3:$AC$870,O$23,$AE$3:$AE$870,"&lt;="&amp;$B121,$AF$3:$AF$870,"&gt;="&amp;$B121)/INDEX('01_INPUTS'!$E$17:$E$31,MATCH(O$23,'01_INPUTS'!$B$17:$B$31,0)))</f>
        <v>0</v>
      </c>
      <c r="P121" s="61">
        <f>IF(INDEX('01_INPUTS'!$E$17:$E$31,MATCH(P$23,'01_INPUTS'!$B$17:$B$31,0))=0,IF(SUMIFS($AD$3:$AD$870,$AC$3:$AC$870,P$23,$AE$3:$AE$870,"&lt;="&amp;$B121,$AF$3:$AF$870,"&gt;="&amp;$B121)=0,0,9.99),SUMIFS($AD$3:$AD$870,$AC$3:$AC$870,P$23,$AE$3:$AE$870,"&lt;="&amp;$B121,$AF$3:$AF$870,"&gt;="&amp;$B121)/INDEX('01_INPUTS'!$E$17:$E$31,MATCH(P$23,'01_INPUTS'!$B$17:$B$31,0)))</f>
        <v>0</v>
      </c>
      <c r="Q121" s="61">
        <f>IF(INDEX('01_INPUTS'!$E$17:$E$31,MATCH(Q$23,'01_INPUTS'!$B$17:$B$31,0))=0,IF(SUMIFS($AD$3:$AD$870,$AC$3:$AC$870,Q$23,$AE$3:$AE$870,"&lt;="&amp;$B121,$AF$3:$AF$870,"&gt;="&amp;$B121)=0,0,9.99),SUMIFS($AD$3:$AD$870,$AC$3:$AC$870,Q$23,$AE$3:$AE$870,"&lt;="&amp;$B121,$AF$3:$AF$870,"&gt;="&amp;$B121)/INDEX('01_INPUTS'!$E$17:$E$31,MATCH(Q$23,'01_INPUTS'!$B$17:$B$31,0)))</f>
        <v>0</v>
      </c>
      <c r="R121" s="61">
        <f>IF(INDEX('01_INPUTS'!$E$17:$E$31,MATCH(R$23,'01_INPUTS'!$B$17:$B$31,0))=0,IF(SUMIFS($AD$3:$AD$870,$AC$3:$AC$870,R$23,$AE$3:$AE$870,"&lt;="&amp;$B121,$AF$3:$AF$870,"&gt;="&amp;$B121)=0,0,9.99),SUMIFS($AD$3:$AD$870,$AC$3:$AC$870,R$23,$AE$3:$AE$870,"&lt;="&amp;$B121,$AF$3:$AF$870,"&gt;="&amp;$B121)/INDEX('01_INPUTS'!$E$17:$E$31,MATCH(R$23,'01_INPUTS'!$B$17:$B$31,0)))</f>
        <v>0</v>
      </c>
      <c r="S121">
        <f t="shared" si="14"/>
        <v>0</v>
      </c>
      <c r="T121">
        <f>SUM('01_INPUTS'!$E$17:$E$31)</f>
        <v>20</v>
      </c>
      <c r="U121" s="61">
        <f t="shared" si="15"/>
        <v>0</v>
      </c>
      <c r="V121">
        <f t="shared" si="16"/>
        <v>0</v>
      </c>
      <c r="W121" t="str">
        <f t="shared" si="17"/>
        <v>VERDE</v>
      </c>
      <c r="AA121" s="51" t="str">
        <f>'Sites Master'!$B$3</f>
        <v>Site 02</v>
      </c>
      <c r="AB121" s="51" t="str">
        <f>'Phase-Resource Allocation'!$B$120</f>
        <v>Hypercare</v>
      </c>
      <c r="AC121" s="51" t="str">
        <f>'Phase-Resource Allocation'!$C$120</f>
        <v>Functional Lead</v>
      </c>
      <c r="AD121" s="60">
        <f>'Phase-Resource Allocation'!$D$120</f>
        <v>1</v>
      </c>
      <c r="AE121" s="51">
        <f>IFERROR(INDEX('02_SCHEDULE'!$K$5:$K$124,MATCH(AA121&amp;"|"&amp;AB121,'02_SCHEDULE'!$M$5:$M$124,0)),0)</f>
        <v>13</v>
      </c>
      <c r="AF121" s="51">
        <f>IFERROR(INDEX('02_SCHEDULE'!$L$5:$L$124,MATCH(AA121&amp;"|"&amp;AB121,'02_SCHEDULE'!$M$5:$M$124,0)),0)</f>
        <v>16</v>
      </c>
      <c r="AG121" s="51">
        <f t="shared" si="9"/>
        <v>4</v>
      </c>
    </row>
    <row r="122" spans="2:33" x14ac:dyDescent="0.3">
      <c r="B122">
        <f>99</f>
        <v>99</v>
      </c>
      <c r="C122" s="55">
        <f>'01_INPUTS'!$C$7+(99-1)*7</f>
        <v>46937</v>
      </c>
      <c r="D122" s="61">
        <f>IF(INDEX('01_INPUTS'!$E$17:$E$31,MATCH(D$23,'01_INPUTS'!$B$17:$B$31,0))=0,IF(SUMIFS($AD$3:$AD$870,$AC$3:$AC$870,D$23,$AE$3:$AE$870,"&lt;="&amp;$B122,$AF$3:$AF$870,"&gt;="&amp;$B122)=0,0,9.99),SUMIFS($AD$3:$AD$870,$AC$3:$AC$870,D$23,$AE$3:$AE$870,"&lt;="&amp;$B122,$AF$3:$AF$870,"&gt;="&amp;$B122)/INDEX('01_INPUTS'!$E$17:$E$31,MATCH(D$23,'01_INPUTS'!$B$17:$B$31,0)))</f>
        <v>0</v>
      </c>
      <c r="E122" s="61">
        <f>IF(INDEX('01_INPUTS'!$E$17:$E$31,MATCH(E$23,'01_INPUTS'!$B$17:$B$31,0))=0,IF(SUMIFS($AD$3:$AD$870,$AC$3:$AC$870,E$23,$AE$3:$AE$870,"&lt;="&amp;$B122,$AF$3:$AF$870,"&gt;="&amp;$B122)=0,0,9.99),SUMIFS($AD$3:$AD$870,$AC$3:$AC$870,E$23,$AE$3:$AE$870,"&lt;="&amp;$B122,$AF$3:$AF$870,"&gt;="&amp;$B122)/INDEX('01_INPUTS'!$E$17:$E$31,MATCH(E$23,'01_INPUTS'!$B$17:$B$31,0)))</f>
        <v>0</v>
      </c>
      <c r="F122" s="61">
        <f>IF(INDEX('01_INPUTS'!$E$17:$E$31,MATCH(F$23,'01_INPUTS'!$B$17:$B$31,0))=0,IF(SUMIFS($AD$3:$AD$870,$AC$3:$AC$870,F$23,$AE$3:$AE$870,"&lt;="&amp;$B122,$AF$3:$AF$870,"&gt;="&amp;$B122)=0,0,9.99),SUMIFS($AD$3:$AD$870,$AC$3:$AC$870,F$23,$AE$3:$AE$870,"&lt;="&amp;$B122,$AF$3:$AF$870,"&gt;="&amp;$B122)/INDEX('01_INPUTS'!$E$17:$E$31,MATCH(F$23,'01_INPUTS'!$B$17:$B$31,0)))</f>
        <v>0</v>
      </c>
      <c r="G122" s="61">
        <f>IF(INDEX('01_INPUTS'!$E$17:$E$31,MATCH(G$23,'01_INPUTS'!$B$17:$B$31,0))=0,IF(SUMIFS($AD$3:$AD$870,$AC$3:$AC$870,G$23,$AE$3:$AE$870,"&lt;="&amp;$B122,$AF$3:$AF$870,"&gt;="&amp;$B122)=0,0,9.99),SUMIFS($AD$3:$AD$870,$AC$3:$AC$870,G$23,$AE$3:$AE$870,"&lt;="&amp;$B122,$AF$3:$AF$870,"&gt;="&amp;$B122)/INDEX('01_INPUTS'!$E$17:$E$31,MATCH(G$23,'01_INPUTS'!$B$17:$B$31,0)))</f>
        <v>0</v>
      </c>
      <c r="H122" s="61">
        <f>IF(INDEX('01_INPUTS'!$E$17:$E$31,MATCH(H$23,'01_INPUTS'!$B$17:$B$31,0))=0,IF(SUMIFS($AD$3:$AD$870,$AC$3:$AC$870,H$23,$AE$3:$AE$870,"&lt;="&amp;$B122,$AF$3:$AF$870,"&gt;="&amp;$B122)=0,0,9.99),SUMIFS($AD$3:$AD$870,$AC$3:$AC$870,H$23,$AE$3:$AE$870,"&lt;="&amp;$B122,$AF$3:$AF$870,"&gt;="&amp;$B122)/INDEX('01_INPUTS'!$E$17:$E$31,MATCH(H$23,'01_INPUTS'!$B$17:$B$31,0)))</f>
        <v>0</v>
      </c>
      <c r="I122" s="61">
        <f>IF(INDEX('01_INPUTS'!$E$17:$E$31,MATCH(I$23,'01_INPUTS'!$B$17:$B$31,0))=0,IF(SUMIFS($AD$3:$AD$870,$AC$3:$AC$870,I$23,$AE$3:$AE$870,"&lt;="&amp;$B122,$AF$3:$AF$870,"&gt;="&amp;$B122)=0,0,9.99),SUMIFS($AD$3:$AD$870,$AC$3:$AC$870,I$23,$AE$3:$AE$870,"&lt;="&amp;$B122,$AF$3:$AF$870,"&gt;="&amp;$B122)/INDEX('01_INPUTS'!$E$17:$E$31,MATCH(I$23,'01_INPUTS'!$B$17:$B$31,0)))</f>
        <v>0</v>
      </c>
      <c r="J122" s="61">
        <f>IF(INDEX('01_INPUTS'!$E$17:$E$31,MATCH(J$23,'01_INPUTS'!$B$17:$B$31,0))=0,IF(SUMIFS($AD$3:$AD$870,$AC$3:$AC$870,J$23,$AE$3:$AE$870,"&lt;="&amp;$B122,$AF$3:$AF$870,"&gt;="&amp;$B122)=0,0,9.99),SUMIFS($AD$3:$AD$870,$AC$3:$AC$870,J$23,$AE$3:$AE$870,"&lt;="&amp;$B122,$AF$3:$AF$870,"&gt;="&amp;$B122)/INDEX('01_INPUTS'!$E$17:$E$31,MATCH(J$23,'01_INPUTS'!$B$17:$B$31,0)))</f>
        <v>0</v>
      </c>
      <c r="K122" s="61">
        <f>IF(INDEX('01_INPUTS'!$E$17:$E$31,MATCH(K$23,'01_INPUTS'!$B$17:$B$31,0))=0,IF(SUMIFS($AD$3:$AD$870,$AC$3:$AC$870,K$23,$AE$3:$AE$870,"&lt;="&amp;$B122,$AF$3:$AF$870,"&gt;="&amp;$B122)=0,0,9.99),SUMIFS($AD$3:$AD$870,$AC$3:$AC$870,K$23,$AE$3:$AE$870,"&lt;="&amp;$B122,$AF$3:$AF$870,"&gt;="&amp;$B122)/INDEX('01_INPUTS'!$E$17:$E$31,MATCH(K$23,'01_INPUTS'!$B$17:$B$31,0)))</f>
        <v>0</v>
      </c>
      <c r="L122" s="61">
        <f>IF(INDEX('01_INPUTS'!$E$17:$E$31,MATCH(L$23,'01_INPUTS'!$B$17:$B$31,0))=0,IF(SUMIFS($AD$3:$AD$870,$AC$3:$AC$870,L$23,$AE$3:$AE$870,"&lt;="&amp;$B122,$AF$3:$AF$870,"&gt;="&amp;$B122)=0,0,9.99),SUMIFS($AD$3:$AD$870,$AC$3:$AC$870,L$23,$AE$3:$AE$870,"&lt;="&amp;$B122,$AF$3:$AF$870,"&gt;="&amp;$B122)/INDEX('01_INPUTS'!$E$17:$E$31,MATCH(L$23,'01_INPUTS'!$B$17:$B$31,0)))</f>
        <v>0</v>
      </c>
      <c r="M122" s="61">
        <f>IF(INDEX('01_INPUTS'!$E$17:$E$31,MATCH(M$23,'01_INPUTS'!$B$17:$B$31,0))=0,IF(SUMIFS($AD$3:$AD$870,$AC$3:$AC$870,M$23,$AE$3:$AE$870,"&lt;="&amp;$B122,$AF$3:$AF$870,"&gt;="&amp;$B122)=0,0,9.99),SUMIFS($AD$3:$AD$870,$AC$3:$AC$870,M$23,$AE$3:$AE$870,"&lt;="&amp;$B122,$AF$3:$AF$870,"&gt;="&amp;$B122)/INDEX('01_INPUTS'!$E$17:$E$31,MATCH(M$23,'01_INPUTS'!$B$17:$B$31,0)))</f>
        <v>0</v>
      </c>
      <c r="N122" s="61">
        <f>IF(INDEX('01_INPUTS'!$E$17:$E$31,MATCH(N$23,'01_INPUTS'!$B$17:$B$31,0))=0,IF(SUMIFS($AD$3:$AD$870,$AC$3:$AC$870,N$23,$AE$3:$AE$870,"&lt;="&amp;$B122,$AF$3:$AF$870,"&gt;="&amp;$B122)=0,0,9.99),SUMIFS($AD$3:$AD$870,$AC$3:$AC$870,N$23,$AE$3:$AE$870,"&lt;="&amp;$B122,$AF$3:$AF$870,"&gt;="&amp;$B122)/INDEX('01_INPUTS'!$E$17:$E$31,MATCH(N$23,'01_INPUTS'!$B$17:$B$31,0)))</f>
        <v>0</v>
      </c>
      <c r="O122" s="61">
        <f>IF(INDEX('01_INPUTS'!$E$17:$E$31,MATCH(O$23,'01_INPUTS'!$B$17:$B$31,0))=0,IF(SUMIFS($AD$3:$AD$870,$AC$3:$AC$870,O$23,$AE$3:$AE$870,"&lt;="&amp;$B122,$AF$3:$AF$870,"&gt;="&amp;$B122)=0,0,9.99),SUMIFS($AD$3:$AD$870,$AC$3:$AC$870,O$23,$AE$3:$AE$870,"&lt;="&amp;$B122,$AF$3:$AF$870,"&gt;="&amp;$B122)/INDEX('01_INPUTS'!$E$17:$E$31,MATCH(O$23,'01_INPUTS'!$B$17:$B$31,0)))</f>
        <v>0</v>
      </c>
      <c r="P122" s="61">
        <f>IF(INDEX('01_INPUTS'!$E$17:$E$31,MATCH(P$23,'01_INPUTS'!$B$17:$B$31,0))=0,IF(SUMIFS($AD$3:$AD$870,$AC$3:$AC$870,P$23,$AE$3:$AE$870,"&lt;="&amp;$B122,$AF$3:$AF$870,"&gt;="&amp;$B122)=0,0,9.99),SUMIFS($AD$3:$AD$870,$AC$3:$AC$870,P$23,$AE$3:$AE$870,"&lt;="&amp;$B122,$AF$3:$AF$870,"&gt;="&amp;$B122)/INDEX('01_INPUTS'!$E$17:$E$31,MATCH(P$23,'01_INPUTS'!$B$17:$B$31,0)))</f>
        <v>0</v>
      </c>
      <c r="Q122" s="61">
        <f>IF(INDEX('01_INPUTS'!$E$17:$E$31,MATCH(Q$23,'01_INPUTS'!$B$17:$B$31,0))=0,IF(SUMIFS($AD$3:$AD$870,$AC$3:$AC$870,Q$23,$AE$3:$AE$870,"&lt;="&amp;$B122,$AF$3:$AF$870,"&gt;="&amp;$B122)=0,0,9.99),SUMIFS($AD$3:$AD$870,$AC$3:$AC$870,Q$23,$AE$3:$AE$870,"&lt;="&amp;$B122,$AF$3:$AF$870,"&gt;="&amp;$B122)/INDEX('01_INPUTS'!$E$17:$E$31,MATCH(Q$23,'01_INPUTS'!$B$17:$B$31,0)))</f>
        <v>0</v>
      </c>
      <c r="R122" s="61">
        <f>IF(INDEX('01_INPUTS'!$E$17:$E$31,MATCH(R$23,'01_INPUTS'!$B$17:$B$31,0))=0,IF(SUMIFS($AD$3:$AD$870,$AC$3:$AC$870,R$23,$AE$3:$AE$870,"&lt;="&amp;$B122,$AF$3:$AF$870,"&gt;="&amp;$B122)=0,0,9.99),SUMIFS($AD$3:$AD$870,$AC$3:$AC$870,R$23,$AE$3:$AE$870,"&lt;="&amp;$B122,$AF$3:$AF$870,"&gt;="&amp;$B122)/INDEX('01_INPUTS'!$E$17:$E$31,MATCH(R$23,'01_INPUTS'!$B$17:$B$31,0)))</f>
        <v>0</v>
      </c>
      <c r="S122">
        <f t="shared" si="14"/>
        <v>0</v>
      </c>
      <c r="T122">
        <f>SUM('01_INPUTS'!$E$17:$E$31)</f>
        <v>20</v>
      </c>
      <c r="U122" s="61">
        <f t="shared" si="15"/>
        <v>0</v>
      </c>
      <c r="V122">
        <f t="shared" si="16"/>
        <v>0</v>
      </c>
      <c r="W122" t="str">
        <f t="shared" si="17"/>
        <v>VERDE</v>
      </c>
      <c r="AA122" s="51" t="str">
        <f>'Sites Master'!$B$3</f>
        <v>Site 02</v>
      </c>
      <c r="AB122" s="51" t="str">
        <f>'Phase-Resource Allocation'!$B$121</f>
        <v>Hypercare</v>
      </c>
      <c r="AC122" s="51" t="str">
        <f>'Phase-Resource Allocation'!$C$121</f>
        <v>Trainers</v>
      </c>
      <c r="AD122" s="60">
        <f>'Phase-Resource Allocation'!$D$121</f>
        <v>1</v>
      </c>
      <c r="AE122" s="51">
        <f>IFERROR(INDEX('02_SCHEDULE'!$K$5:$K$124,MATCH(AA122&amp;"|"&amp;AB122,'02_SCHEDULE'!$M$5:$M$124,0)),0)</f>
        <v>13</v>
      </c>
      <c r="AF122" s="51">
        <f>IFERROR(INDEX('02_SCHEDULE'!$L$5:$L$124,MATCH(AA122&amp;"|"&amp;AB122,'02_SCHEDULE'!$M$5:$M$124,0)),0)</f>
        <v>16</v>
      </c>
      <c r="AG122" s="51">
        <f t="shared" si="9"/>
        <v>4</v>
      </c>
    </row>
    <row r="123" spans="2:33" x14ac:dyDescent="0.3">
      <c r="B123">
        <f>100</f>
        <v>100</v>
      </c>
      <c r="C123" s="55">
        <f>'01_INPUTS'!$C$7+(100-1)*7</f>
        <v>46944</v>
      </c>
      <c r="D123" s="61">
        <f>IF(INDEX('01_INPUTS'!$E$17:$E$31,MATCH(D$23,'01_INPUTS'!$B$17:$B$31,0))=0,IF(SUMIFS($AD$3:$AD$870,$AC$3:$AC$870,D$23,$AE$3:$AE$870,"&lt;="&amp;$B123,$AF$3:$AF$870,"&gt;="&amp;$B123)=0,0,9.99),SUMIFS($AD$3:$AD$870,$AC$3:$AC$870,D$23,$AE$3:$AE$870,"&lt;="&amp;$B123,$AF$3:$AF$870,"&gt;="&amp;$B123)/INDEX('01_INPUTS'!$E$17:$E$31,MATCH(D$23,'01_INPUTS'!$B$17:$B$31,0)))</f>
        <v>0</v>
      </c>
      <c r="E123" s="61">
        <f>IF(INDEX('01_INPUTS'!$E$17:$E$31,MATCH(E$23,'01_INPUTS'!$B$17:$B$31,0))=0,IF(SUMIFS($AD$3:$AD$870,$AC$3:$AC$870,E$23,$AE$3:$AE$870,"&lt;="&amp;$B123,$AF$3:$AF$870,"&gt;="&amp;$B123)=0,0,9.99),SUMIFS($AD$3:$AD$870,$AC$3:$AC$870,E$23,$AE$3:$AE$870,"&lt;="&amp;$B123,$AF$3:$AF$870,"&gt;="&amp;$B123)/INDEX('01_INPUTS'!$E$17:$E$31,MATCH(E$23,'01_INPUTS'!$B$17:$B$31,0)))</f>
        <v>0</v>
      </c>
      <c r="F123" s="61">
        <f>IF(INDEX('01_INPUTS'!$E$17:$E$31,MATCH(F$23,'01_INPUTS'!$B$17:$B$31,0))=0,IF(SUMIFS($AD$3:$AD$870,$AC$3:$AC$870,F$23,$AE$3:$AE$870,"&lt;="&amp;$B123,$AF$3:$AF$870,"&gt;="&amp;$B123)=0,0,9.99),SUMIFS($AD$3:$AD$870,$AC$3:$AC$870,F$23,$AE$3:$AE$870,"&lt;="&amp;$B123,$AF$3:$AF$870,"&gt;="&amp;$B123)/INDEX('01_INPUTS'!$E$17:$E$31,MATCH(F$23,'01_INPUTS'!$B$17:$B$31,0)))</f>
        <v>0</v>
      </c>
      <c r="G123" s="61">
        <f>IF(INDEX('01_INPUTS'!$E$17:$E$31,MATCH(G$23,'01_INPUTS'!$B$17:$B$31,0))=0,IF(SUMIFS($AD$3:$AD$870,$AC$3:$AC$870,G$23,$AE$3:$AE$870,"&lt;="&amp;$B123,$AF$3:$AF$870,"&gt;="&amp;$B123)=0,0,9.99),SUMIFS($AD$3:$AD$870,$AC$3:$AC$870,G$23,$AE$3:$AE$870,"&lt;="&amp;$B123,$AF$3:$AF$870,"&gt;="&amp;$B123)/INDEX('01_INPUTS'!$E$17:$E$31,MATCH(G$23,'01_INPUTS'!$B$17:$B$31,0)))</f>
        <v>0</v>
      </c>
      <c r="H123" s="61">
        <f>IF(INDEX('01_INPUTS'!$E$17:$E$31,MATCH(H$23,'01_INPUTS'!$B$17:$B$31,0))=0,IF(SUMIFS($AD$3:$AD$870,$AC$3:$AC$870,H$23,$AE$3:$AE$870,"&lt;="&amp;$B123,$AF$3:$AF$870,"&gt;="&amp;$B123)=0,0,9.99),SUMIFS($AD$3:$AD$870,$AC$3:$AC$870,H$23,$AE$3:$AE$870,"&lt;="&amp;$B123,$AF$3:$AF$870,"&gt;="&amp;$B123)/INDEX('01_INPUTS'!$E$17:$E$31,MATCH(H$23,'01_INPUTS'!$B$17:$B$31,0)))</f>
        <v>0</v>
      </c>
      <c r="I123" s="61">
        <f>IF(INDEX('01_INPUTS'!$E$17:$E$31,MATCH(I$23,'01_INPUTS'!$B$17:$B$31,0))=0,IF(SUMIFS($AD$3:$AD$870,$AC$3:$AC$870,I$23,$AE$3:$AE$870,"&lt;="&amp;$B123,$AF$3:$AF$870,"&gt;="&amp;$B123)=0,0,9.99),SUMIFS($AD$3:$AD$870,$AC$3:$AC$870,I$23,$AE$3:$AE$870,"&lt;="&amp;$B123,$AF$3:$AF$870,"&gt;="&amp;$B123)/INDEX('01_INPUTS'!$E$17:$E$31,MATCH(I$23,'01_INPUTS'!$B$17:$B$31,0)))</f>
        <v>0</v>
      </c>
      <c r="J123" s="61">
        <f>IF(INDEX('01_INPUTS'!$E$17:$E$31,MATCH(J$23,'01_INPUTS'!$B$17:$B$31,0))=0,IF(SUMIFS($AD$3:$AD$870,$AC$3:$AC$870,J$23,$AE$3:$AE$870,"&lt;="&amp;$B123,$AF$3:$AF$870,"&gt;="&amp;$B123)=0,0,9.99),SUMIFS($AD$3:$AD$870,$AC$3:$AC$870,J$23,$AE$3:$AE$870,"&lt;="&amp;$B123,$AF$3:$AF$870,"&gt;="&amp;$B123)/INDEX('01_INPUTS'!$E$17:$E$31,MATCH(J$23,'01_INPUTS'!$B$17:$B$31,0)))</f>
        <v>0</v>
      </c>
      <c r="K123" s="61">
        <f>IF(INDEX('01_INPUTS'!$E$17:$E$31,MATCH(K$23,'01_INPUTS'!$B$17:$B$31,0))=0,IF(SUMIFS($AD$3:$AD$870,$AC$3:$AC$870,K$23,$AE$3:$AE$870,"&lt;="&amp;$B123,$AF$3:$AF$870,"&gt;="&amp;$B123)=0,0,9.99),SUMIFS($AD$3:$AD$870,$AC$3:$AC$870,K$23,$AE$3:$AE$870,"&lt;="&amp;$B123,$AF$3:$AF$870,"&gt;="&amp;$B123)/INDEX('01_INPUTS'!$E$17:$E$31,MATCH(K$23,'01_INPUTS'!$B$17:$B$31,0)))</f>
        <v>0</v>
      </c>
      <c r="L123" s="61">
        <f>IF(INDEX('01_INPUTS'!$E$17:$E$31,MATCH(L$23,'01_INPUTS'!$B$17:$B$31,0))=0,IF(SUMIFS($AD$3:$AD$870,$AC$3:$AC$870,L$23,$AE$3:$AE$870,"&lt;="&amp;$B123,$AF$3:$AF$870,"&gt;="&amp;$B123)=0,0,9.99),SUMIFS($AD$3:$AD$870,$AC$3:$AC$870,L$23,$AE$3:$AE$870,"&lt;="&amp;$B123,$AF$3:$AF$870,"&gt;="&amp;$B123)/INDEX('01_INPUTS'!$E$17:$E$31,MATCH(L$23,'01_INPUTS'!$B$17:$B$31,0)))</f>
        <v>0</v>
      </c>
      <c r="M123" s="61">
        <f>IF(INDEX('01_INPUTS'!$E$17:$E$31,MATCH(M$23,'01_INPUTS'!$B$17:$B$31,0))=0,IF(SUMIFS($AD$3:$AD$870,$AC$3:$AC$870,M$23,$AE$3:$AE$870,"&lt;="&amp;$B123,$AF$3:$AF$870,"&gt;="&amp;$B123)=0,0,9.99),SUMIFS($AD$3:$AD$870,$AC$3:$AC$870,M$23,$AE$3:$AE$870,"&lt;="&amp;$B123,$AF$3:$AF$870,"&gt;="&amp;$B123)/INDEX('01_INPUTS'!$E$17:$E$31,MATCH(M$23,'01_INPUTS'!$B$17:$B$31,0)))</f>
        <v>0</v>
      </c>
      <c r="N123" s="61">
        <f>IF(INDEX('01_INPUTS'!$E$17:$E$31,MATCH(N$23,'01_INPUTS'!$B$17:$B$31,0))=0,IF(SUMIFS($AD$3:$AD$870,$AC$3:$AC$870,N$23,$AE$3:$AE$870,"&lt;="&amp;$B123,$AF$3:$AF$870,"&gt;="&amp;$B123)=0,0,9.99),SUMIFS($AD$3:$AD$870,$AC$3:$AC$870,N$23,$AE$3:$AE$870,"&lt;="&amp;$B123,$AF$3:$AF$870,"&gt;="&amp;$B123)/INDEX('01_INPUTS'!$E$17:$E$31,MATCH(N$23,'01_INPUTS'!$B$17:$B$31,0)))</f>
        <v>0</v>
      </c>
      <c r="O123" s="61">
        <f>IF(INDEX('01_INPUTS'!$E$17:$E$31,MATCH(O$23,'01_INPUTS'!$B$17:$B$31,0))=0,IF(SUMIFS($AD$3:$AD$870,$AC$3:$AC$870,O$23,$AE$3:$AE$870,"&lt;="&amp;$B123,$AF$3:$AF$870,"&gt;="&amp;$B123)=0,0,9.99),SUMIFS($AD$3:$AD$870,$AC$3:$AC$870,O$23,$AE$3:$AE$870,"&lt;="&amp;$B123,$AF$3:$AF$870,"&gt;="&amp;$B123)/INDEX('01_INPUTS'!$E$17:$E$31,MATCH(O$23,'01_INPUTS'!$B$17:$B$31,0)))</f>
        <v>0</v>
      </c>
      <c r="P123" s="61">
        <f>IF(INDEX('01_INPUTS'!$E$17:$E$31,MATCH(P$23,'01_INPUTS'!$B$17:$B$31,0))=0,IF(SUMIFS($AD$3:$AD$870,$AC$3:$AC$870,P$23,$AE$3:$AE$870,"&lt;="&amp;$B123,$AF$3:$AF$870,"&gt;="&amp;$B123)=0,0,9.99),SUMIFS($AD$3:$AD$870,$AC$3:$AC$870,P$23,$AE$3:$AE$870,"&lt;="&amp;$B123,$AF$3:$AF$870,"&gt;="&amp;$B123)/INDEX('01_INPUTS'!$E$17:$E$31,MATCH(P$23,'01_INPUTS'!$B$17:$B$31,0)))</f>
        <v>0</v>
      </c>
      <c r="Q123" s="61">
        <f>IF(INDEX('01_INPUTS'!$E$17:$E$31,MATCH(Q$23,'01_INPUTS'!$B$17:$B$31,0))=0,IF(SUMIFS($AD$3:$AD$870,$AC$3:$AC$870,Q$23,$AE$3:$AE$870,"&lt;="&amp;$B123,$AF$3:$AF$870,"&gt;="&amp;$B123)=0,0,9.99),SUMIFS($AD$3:$AD$870,$AC$3:$AC$870,Q$23,$AE$3:$AE$870,"&lt;="&amp;$B123,$AF$3:$AF$870,"&gt;="&amp;$B123)/INDEX('01_INPUTS'!$E$17:$E$31,MATCH(Q$23,'01_INPUTS'!$B$17:$B$31,0)))</f>
        <v>0</v>
      </c>
      <c r="R123" s="61">
        <f>IF(INDEX('01_INPUTS'!$E$17:$E$31,MATCH(R$23,'01_INPUTS'!$B$17:$B$31,0))=0,IF(SUMIFS($AD$3:$AD$870,$AC$3:$AC$870,R$23,$AE$3:$AE$870,"&lt;="&amp;$B123,$AF$3:$AF$870,"&gt;="&amp;$B123)=0,0,9.99),SUMIFS($AD$3:$AD$870,$AC$3:$AC$870,R$23,$AE$3:$AE$870,"&lt;="&amp;$B123,$AF$3:$AF$870,"&gt;="&amp;$B123)/INDEX('01_INPUTS'!$E$17:$E$31,MATCH(R$23,'01_INPUTS'!$B$17:$B$31,0)))</f>
        <v>0</v>
      </c>
      <c r="S123">
        <f t="shared" si="14"/>
        <v>0</v>
      </c>
      <c r="T123">
        <f>SUM('01_INPUTS'!$E$17:$E$31)</f>
        <v>20</v>
      </c>
      <c r="U123" s="61">
        <f t="shared" si="15"/>
        <v>0</v>
      </c>
      <c r="V123">
        <f t="shared" si="16"/>
        <v>0</v>
      </c>
      <c r="W123" t="str">
        <f t="shared" si="17"/>
        <v>VERDE</v>
      </c>
      <c r="AA123" s="51" t="str">
        <f>'Sites Master'!$B$3</f>
        <v>Site 02</v>
      </c>
      <c r="AB123" s="51" t="str">
        <f>'Phase-Resource Allocation'!$B$122</f>
        <v>Hypercare</v>
      </c>
      <c r="AC123" s="51" t="str">
        <f>'Phase-Resource Allocation'!$C$122</f>
        <v>Trainers</v>
      </c>
      <c r="AD123" s="60">
        <f>'Phase-Resource Allocation'!$D$122</f>
        <v>1</v>
      </c>
      <c r="AE123" s="51">
        <f>IFERROR(INDEX('02_SCHEDULE'!$K$5:$K$124,MATCH(AA123&amp;"|"&amp;AB123,'02_SCHEDULE'!$M$5:$M$124,0)),0)</f>
        <v>13</v>
      </c>
      <c r="AF123" s="51">
        <f>IFERROR(INDEX('02_SCHEDULE'!$L$5:$L$124,MATCH(AA123&amp;"|"&amp;AB123,'02_SCHEDULE'!$M$5:$M$124,0)),0)</f>
        <v>16</v>
      </c>
      <c r="AG123" s="51">
        <f t="shared" si="9"/>
        <v>4</v>
      </c>
    </row>
    <row r="124" spans="2:33" x14ac:dyDescent="0.3">
      <c r="B124">
        <f>101</f>
        <v>101</v>
      </c>
      <c r="C124" s="55">
        <f>'01_INPUTS'!$C$7+(101-1)*7</f>
        <v>46951</v>
      </c>
      <c r="D124" s="61">
        <f>IF(INDEX('01_INPUTS'!$E$17:$E$31,MATCH(D$23,'01_INPUTS'!$B$17:$B$31,0))=0,IF(SUMIFS($AD$3:$AD$870,$AC$3:$AC$870,D$23,$AE$3:$AE$870,"&lt;="&amp;$B124,$AF$3:$AF$870,"&gt;="&amp;$B124)=0,0,9.99),SUMIFS($AD$3:$AD$870,$AC$3:$AC$870,D$23,$AE$3:$AE$870,"&lt;="&amp;$B124,$AF$3:$AF$870,"&gt;="&amp;$B124)/INDEX('01_INPUTS'!$E$17:$E$31,MATCH(D$23,'01_INPUTS'!$B$17:$B$31,0)))</f>
        <v>0</v>
      </c>
      <c r="E124" s="61">
        <f>IF(INDEX('01_INPUTS'!$E$17:$E$31,MATCH(E$23,'01_INPUTS'!$B$17:$B$31,0))=0,IF(SUMIFS($AD$3:$AD$870,$AC$3:$AC$870,E$23,$AE$3:$AE$870,"&lt;="&amp;$B124,$AF$3:$AF$870,"&gt;="&amp;$B124)=0,0,9.99),SUMIFS($AD$3:$AD$870,$AC$3:$AC$870,E$23,$AE$3:$AE$870,"&lt;="&amp;$B124,$AF$3:$AF$870,"&gt;="&amp;$B124)/INDEX('01_INPUTS'!$E$17:$E$31,MATCH(E$23,'01_INPUTS'!$B$17:$B$31,0)))</f>
        <v>0</v>
      </c>
      <c r="F124" s="61">
        <f>IF(INDEX('01_INPUTS'!$E$17:$E$31,MATCH(F$23,'01_INPUTS'!$B$17:$B$31,0))=0,IF(SUMIFS($AD$3:$AD$870,$AC$3:$AC$870,F$23,$AE$3:$AE$870,"&lt;="&amp;$B124,$AF$3:$AF$870,"&gt;="&amp;$B124)=0,0,9.99),SUMIFS($AD$3:$AD$870,$AC$3:$AC$870,F$23,$AE$3:$AE$870,"&lt;="&amp;$B124,$AF$3:$AF$870,"&gt;="&amp;$B124)/INDEX('01_INPUTS'!$E$17:$E$31,MATCH(F$23,'01_INPUTS'!$B$17:$B$31,0)))</f>
        <v>0</v>
      </c>
      <c r="G124" s="61">
        <f>IF(INDEX('01_INPUTS'!$E$17:$E$31,MATCH(G$23,'01_INPUTS'!$B$17:$B$31,0))=0,IF(SUMIFS($AD$3:$AD$870,$AC$3:$AC$870,G$23,$AE$3:$AE$870,"&lt;="&amp;$B124,$AF$3:$AF$870,"&gt;="&amp;$B124)=0,0,9.99),SUMIFS($AD$3:$AD$870,$AC$3:$AC$870,G$23,$AE$3:$AE$870,"&lt;="&amp;$B124,$AF$3:$AF$870,"&gt;="&amp;$B124)/INDEX('01_INPUTS'!$E$17:$E$31,MATCH(G$23,'01_INPUTS'!$B$17:$B$31,0)))</f>
        <v>0</v>
      </c>
      <c r="H124" s="61">
        <f>IF(INDEX('01_INPUTS'!$E$17:$E$31,MATCH(H$23,'01_INPUTS'!$B$17:$B$31,0))=0,IF(SUMIFS($AD$3:$AD$870,$AC$3:$AC$870,H$23,$AE$3:$AE$870,"&lt;="&amp;$B124,$AF$3:$AF$870,"&gt;="&amp;$B124)=0,0,9.99),SUMIFS($AD$3:$AD$870,$AC$3:$AC$870,H$23,$AE$3:$AE$870,"&lt;="&amp;$B124,$AF$3:$AF$870,"&gt;="&amp;$B124)/INDEX('01_INPUTS'!$E$17:$E$31,MATCH(H$23,'01_INPUTS'!$B$17:$B$31,0)))</f>
        <v>0</v>
      </c>
      <c r="I124" s="61">
        <f>IF(INDEX('01_INPUTS'!$E$17:$E$31,MATCH(I$23,'01_INPUTS'!$B$17:$B$31,0))=0,IF(SUMIFS($AD$3:$AD$870,$AC$3:$AC$870,I$23,$AE$3:$AE$870,"&lt;="&amp;$B124,$AF$3:$AF$870,"&gt;="&amp;$B124)=0,0,9.99),SUMIFS($AD$3:$AD$870,$AC$3:$AC$870,I$23,$AE$3:$AE$870,"&lt;="&amp;$B124,$AF$3:$AF$870,"&gt;="&amp;$B124)/INDEX('01_INPUTS'!$E$17:$E$31,MATCH(I$23,'01_INPUTS'!$B$17:$B$31,0)))</f>
        <v>0</v>
      </c>
      <c r="J124" s="61">
        <f>IF(INDEX('01_INPUTS'!$E$17:$E$31,MATCH(J$23,'01_INPUTS'!$B$17:$B$31,0))=0,IF(SUMIFS($AD$3:$AD$870,$AC$3:$AC$870,J$23,$AE$3:$AE$870,"&lt;="&amp;$B124,$AF$3:$AF$870,"&gt;="&amp;$B124)=0,0,9.99),SUMIFS($AD$3:$AD$870,$AC$3:$AC$870,J$23,$AE$3:$AE$870,"&lt;="&amp;$B124,$AF$3:$AF$870,"&gt;="&amp;$B124)/INDEX('01_INPUTS'!$E$17:$E$31,MATCH(J$23,'01_INPUTS'!$B$17:$B$31,0)))</f>
        <v>0</v>
      </c>
      <c r="K124" s="61">
        <f>IF(INDEX('01_INPUTS'!$E$17:$E$31,MATCH(K$23,'01_INPUTS'!$B$17:$B$31,0))=0,IF(SUMIFS($AD$3:$AD$870,$AC$3:$AC$870,K$23,$AE$3:$AE$870,"&lt;="&amp;$B124,$AF$3:$AF$870,"&gt;="&amp;$B124)=0,0,9.99),SUMIFS($AD$3:$AD$870,$AC$3:$AC$870,K$23,$AE$3:$AE$870,"&lt;="&amp;$B124,$AF$3:$AF$870,"&gt;="&amp;$B124)/INDEX('01_INPUTS'!$E$17:$E$31,MATCH(K$23,'01_INPUTS'!$B$17:$B$31,0)))</f>
        <v>0</v>
      </c>
      <c r="L124" s="61">
        <f>IF(INDEX('01_INPUTS'!$E$17:$E$31,MATCH(L$23,'01_INPUTS'!$B$17:$B$31,0))=0,IF(SUMIFS($AD$3:$AD$870,$AC$3:$AC$870,L$23,$AE$3:$AE$870,"&lt;="&amp;$B124,$AF$3:$AF$870,"&gt;="&amp;$B124)=0,0,9.99),SUMIFS($AD$3:$AD$870,$AC$3:$AC$870,L$23,$AE$3:$AE$870,"&lt;="&amp;$B124,$AF$3:$AF$870,"&gt;="&amp;$B124)/INDEX('01_INPUTS'!$E$17:$E$31,MATCH(L$23,'01_INPUTS'!$B$17:$B$31,0)))</f>
        <v>0</v>
      </c>
      <c r="M124" s="61">
        <f>IF(INDEX('01_INPUTS'!$E$17:$E$31,MATCH(M$23,'01_INPUTS'!$B$17:$B$31,0))=0,IF(SUMIFS($AD$3:$AD$870,$AC$3:$AC$870,M$23,$AE$3:$AE$870,"&lt;="&amp;$B124,$AF$3:$AF$870,"&gt;="&amp;$B124)=0,0,9.99),SUMIFS($AD$3:$AD$870,$AC$3:$AC$870,M$23,$AE$3:$AE$870,"&lt;="&amp;$B124,$AF$3:$AF$870,"&gt;="&amp;$B124)/INDEX('01_INPUTS'!$E$17:$E$31,MATCH(M$23,'01_INPUTS'!$B$17:$B$31,0)))</f>
        <v>0</v>
      </c>
      <c r="N124" s="61">
        <f>IF(INDEX('01_INPUTS'!$E$17:$E$31,MATCH(N$23,'01_INPUTS'!$B$17:$B$31,0))=0,IF(SUMIFS($AD$3:$AD$870,$AC$3:$AC$870,N$23,$AE$3:$AE$870,"&lt;="&amp;$B124,$AF$3:$AF$870,"&gt;="&amp;$B124)=0,0,9.99),SUMIFS($AD$3:$AD$870,$AC$3:$AC$870,N$23,$AE$3:$AE$870,"&lt;="&amp;$B124,$AF$3:$AF$870,"&gt;="&amp;$B124)/INDEX('01_INPUTS'!$E$17:$E$31,MATCH(N$23,'01_INPUTS'!$B$17:$B$31,0)))</f>
        <v>0</v>
      </c>
      <c r="O124" s="61">
        <f>IF(INDEX('01_INPUTS'!$E$17:$E$31,MATCH(O$23,'01_INPUTS'!$B$17:$B$31,0))=0,IF(SUMIFS($AD$3:$AD$870,$AC$3:$AC$870,O$23,$AE$3:$AE$870,"&lt;="&amp;$B124,$AF$3:$AF$870,"&gt;="&amp;$B124)=0,0,9.99),SUMIFS($AD$3:$AD$870,$AC$3:$AC$870,O$23,$AE$3:$AE$870,"&lt;="&amp;$B124,$AF$3:$AF$870,"&gt;="&amp;$B124)/INDEX('01_INPUTS'!$E$17:$E$31,MATCH(O$23,'01_INPUTS'!$B$17:$B$31,0)))</f>
        <v>0</v>
      </c>
      <c r="P124" s="61">
        <f>IF(INDEX('01_INPUTS'!$E$17:$E$31,MATCH(P$23,'01_INPUTS'!$B$17:$B$31,0))=0,IF(SUMIFS($AD$3:$AD$870,$AC$3:$AC$870,P$23,$AE$3:$AE$870,"&lt;="&amp;$B124,$AF$3:$AF$870,"&gt;="&amp;$B124)=0,0,9.99),SUMIFS($AD$3:$AD$870,$AC$3:$AC$870,P$23,$AE$3:$AE$870,"&lt;="&amp;$B124,$AF$3:$AF$870,"&gt;="&amp;$B124)/INDEX('01_INPUTS'!$E$17:$E$31,MATCH(P$23,'01_INPUTS'!$B$17:$B$31,0)))</f>
        <v>0</v>
      </c>
      <c r="Q124" s="61">
        <f>IF(INDEX('01_INPUTS'!$E$17:$E$31,MATCH(Q$23,'01_INPUTS'!$B$17:$B$31,0))=0,IF(SUMIFS($AD$3:$AD$870,$AC$3:$AC$870,Q$23,$AE$3:$AE$870,"&lt;="&amp;$B124,$AF$3:$AF$870,"&gt;="&amp;$B124)=0,0,9.99),SUMIFS($AD$3:$AD$870,$AC$3:$AC$870,Q$23,$AE$3:$AE$870,"&lt;="&amp;$B124,$AF$3:$AF$870,"&gt;="&amp;$B124)/INDEX('01_INPUTS'!$E$17:$E$31,MATCH(Q$23,'01_INPUTS'!$B$17:$B$31,0)))</f>
        <v>0</v>
      </c>
      <c r="R124" s="61">
        <f>IF(INDEX('01_INPUTS'!$E$17:$E$31,MATCH(R$23,'01_INPUTS'!$B$17:$B$31,0))=0,IF(SUMIFS($AD$3:$AD$870,$AC$3:$AC$870,R$23,$AE$3:$AE$870,"&lt;="&amp;$B124,$AF$3:$AF$870,"&gt;="&amp;$B124)=0,0,9.99),SUMIFS($AD$3:$AD$870,$AC$3:$AC$870,R$23,$AE$3:$AE$870,"&lt;="&amp;$B124,$AF$3:$AF$870,"&gt;="&amp;$B124)/INDEX('01_INPUTS'!$E$17:$E$31,MATCH(R$23,'01_INPUTS'!$B$17:$B$31,0)))</f>
        <v>0</v>
      </c>
      <c r="S124">
        <f t="shared" si="14"/>
        <v>0</v>
      </c>
      <c r="T124">
        <f>SUM('01_INPUTS'!$E$17:$E$31)</f>
        <v>20</v>
      </c>
      <c r="U124" s="61">
        <f t="shared" si="15"/>
        <v>0</v>
      </c>
      <c r="V124">
        <f t="shared" si="16"/>
        <v>0</v>
      </c>
      <c r="W124" t="str">
        <f t="shared" si="17"/>
        <v>VERDE</v>
      </c>
      <c r="AA124" s="51" t="str">
        <f>'Sites Master'!$B$3</f>
        <v>Site 02</v>
      </c>
      <c r="AB124" s="51" t="str">
        <f>'Phase-Resource Allocation'!$B$123</f>
        <v>Hypercare</v>
      </c>
      <c r="AC124" s="51" t="str">
        <f>'Phase-Resource Allocation'!$C$123</f>
        <v>Trainers</v>
      </c>
      <c r="AD124" s="60">
        <f>'Phase-Resource Allocation'!$D$123</f>
        <v>1</v>
      </c>
      <c r="AE124" s="51">
        <f>IFERROR(INDEX('02_SCHEDULE'!$K$5:$K$124,MATCH(AA124&amp;"|"&amp;AB124,'02_SCHEDULE'!$M$5:$M$124,0)),0)</f>
        <v>13</v>
      </c>
      <c r="AF124" s="51">
        <f>IFERROR(INDEX('02_SCHEDULE'!$L$5:$L$124,MATCH(AA124&amp;"|"&amp;AB124,'02_SCHEDULE'!$M$5:$M$124,0)),0)</f>
        <v>16</v>
      </c>
      <c r="AG124" s="51">
        <f t="shared" si="9"/>
        <v>4</v>
      </c>
    </row>
    <row r="125" spans="2:33" x14ac:dyDescent="0.3">
      <c r="B125">
        <f>102</f>
        <v>102</v>
      </c>
      <c r="C125" s="55">
        <f>'01_INPUTS'!$C$7+(102-1)*7</f>
        <v>46958</v>
      </c>
      <c r="D125" s="61">
        <f>IF(INDEX('01_INPUTS'!$E$17:$E$31,MATCH(D$23,'01_INPUTS'!$B$17:$B$31,0))=0,IF(SUMIFS($AD$3:$AD$870,$AC$3:$AC$870,D$23,$AE$3:$AE$870,"&lt;="&amp;$B125,$AF$3:$AF$870,"&gt;="&amp;$B125)=0,0,9.99),SUMIFS($AD$3:$AD$870,$AC$3:$AC$870,D$23,$AE$3:$AE$870,"&lt;="&amp;$B125,$AF$3:$AF$870,"&gt;="&amp;$B125)/INDEX('01_INPUTS'!$E$17:$E$31,MATCH(D$23,'01_INPUTS'!$B$17:$B$31,0)))</f>
        <v>0</v>
      </c>
      <c r="E125" s="61">
        <f>IF(INDEX('01_INPUTS'!$E$17:$E$31,MATCH(E$23,'01_INPUTS'!$B$17:$B$31,0))=0,IF(SUMIFS($AD$3:$AD$870,$AC$3:$AC$870,E$23,$AE$3:$AE$870,"&lt;="&amp;$B125,$AF$3:$AF$870,"&gt;="&amp;$B125)=0,0,9.99),SUMIFS($AD$3:$AD$870,$AC$3:$AC$870,E$23,$AE$3:$AE$870,"&lt;="&amp;$B125,$AF$3:$AF$870,"&gt;="&amp;$B125)/INDEX('01_INPUTS'!$E$17:$E$31,MATCH(E$23,'01_INPUTS'!$B$17:$B$31,0)))</f>
        <v>0</v>
      </c>
      <c r="F125" s="61">
        <f>IF(INDEX('01_INPUTS'!$E$17:$E$31,MATCH(F$23,'01_INPUTS'!$B$17:$B$31,0))=0,IF(SUMIFS($AD$3:$AD$870,$AC$3:$AC$870,F$23,$AE$3:$AE$870,"&lt;="&amp;$B125,$AF$3:$AF$870,"&gt;="&amp;$B125)=0,0,9.99),SUMIFS($AD$3:$AD$870,$AC$3:$AC$870,F$23,$AE$3:$AE$870,"&lt;="&amp;$B125,$AF$3:$AF$870,"&gt;="&amp;$B125)/INDEX('01_INPUTS'!$E$17:$E$31,MATCH(F$23,'01_INPUTS'!$B$17:$B$31,0)))</f>
        <v>0</v>
      </c>
      <c r="G125" s="61">
        <f>IF(INDEX('01_INPUTS'!$E$17:$E$31,MATCH(G$23,'01_INPUTS'!$B$17:$B$31,0))=0,IF(SUMIFS($AD$3:$AD$870,$AC$3:$AC$870,G$23,$AE$3:$AE$870,"&lt;="&amp;$B125,$AF$3:$AF$870,"&gt;="&amp;$B125)=0,0,9.99),SUMIFS($AD$3:$AD$870,$AC$3:$AC$870,G$23,$AE$3:$AE$870,"&lt;="&amp;$B125,$AF$3:$AF$870,"&gt;="&amp;$B125)/INDEX('01_INPUTS'!$E$17:$E$31,MATCH(G$23,'01_INPUTS'!$B$17:$B$31,0)))</f>
        <v>0</v>
      </c>
      <c r="H125" s="61">
        <f>IF(INDEX('01_INPUTS'!$E$17:$E$31,MATCH(H$23,'01_INPUTS'!$B$17:$B$31,0))=0,IF(SUMIFS($AD$3:$AD$870,$AC$3:$AC$870,H$23,$AE$3:$AE$870,"&lt;="&amp;$B125,$AF$3:$AF$870,"&gt;="&amp;$B125)=0,0,9.99),SUMIFS($AD$3:$AD$870,$AC$3:$AC$870,H$23,$AE$3:$AE$870,"&lt;="&amp;$B125,$AF$3:$AF$870,"&gt;="&amp;$B125)/INDEX('01_INPUTS'!$E$17:$E$31,MATCH(H$23,'01_INPUTS'!$B$17:$B$31,0)))</f>
        <v>0</v>
      </c>
      <c r="I125" s="61">
        <f>IF(INDEX('01_INPUTS'!$E$17:$E$31,MATCH(I$23,'01_INPUTS'!$B$17:$B$31,0))=0,IF(SUMIFS($AD$3:$AD$870,$AC$3:$AC$870,I$23,$AE$3:$AE$870,"&lt;="&amp;$B125,$AF$3:$AF$870,"&gt;="&amp;$B125)=0,0,9.99),SUMIFS($AD$3:$AD$870,$AC$3:$AC$870,I$23,$AE$3:$AE$870,"&lt;="&amp;$B125,$AF$3:$AF$870,"&gt;="&amp;$B125)/INDEX('01_INPUTS'!$E$17:$E$31,MATCH(I$23,'01_INPUTS'!$B$17:$B$31,0)))</f>
        <v>0</v>
      </c>
      <c r="J125" s="61">
        <f>IF(INDEX('01_INPUTS'!$E$17:$E$31,MATCH(J$23,'01_INPUTS'!$B$17:$B$31,0))=0,IF(SUMIFS($AD$3:$AD$870,$AC$3:$AC$870,J$23,$AE$3:$AE$870,"&lt;="&amp;$B125,$AF$3:$AF$870,"&gt;="&amp;$B125)=0,0,9.99),SUMIFS($AD$3:$AD$870,$AC$3:$AC$870,J$23,$AE$3:$AE$870,"&lt;="&amp;$B125,$AF$3:$AF$870,"&gt;="&amp;$B125)/INDEX('01_INPUTS'!$E$17:$E$31,MATCH(J$23,'01_INPUTS'!$B$17:$B$31,0)))</f>
        <v>0</v>
      </c>
      <c r="K125" s="61">
        <f>IF(INDEX('01_INPUTS'!$E$17:$E$31,MATCH(K$23,'01_INPUTS'!$B$17:$B$31,0))=0,IF(SUMIFS($AD$3:$AD$870,$AC$3:$AC$870,K$23,$AE$3:$AE$870,"&lt;="&amp;$B125,$AF$3:$AF$870,"&gt;="&amp;$B125)=0,0,9.99),SUMIFS($AD$3:$AD$870,$AC$3:$AC$870,K$23,$AE$3:$AE$870,"&lt;="&amp;$B125,$AF$3:$AF$870,"&gt;="&amp;$B125)/INDEX('01_INPUTS'!$E$17:$E$31,MATCH(K$23,'01_INPUTS'!$B$17:$B$31,0)))</f>
        <v>0</v>
      </c>
      <c r="L125" s="61">
        <f>IF(INDEX('01_INPUTS'!$E$17:$E$31,MATCH(L$23,'01_INPUTS'!$B$17:$B$31,0))=0,IF(SUMIFS($AD$3:$AD$870,$AC$3:$AC$870,L$23,$AE$3:$AE$870,"&lt;="&amp;$B125,$AF$3:$AF$870,"&gt;="&amp;$B125)=0,0,9.99),SUMIFS($AD$3:$AD$870,$AC$3:$AC$870,L$23,$AE$3:$AE$870,"&lt;="&amp;$B125,$AF$3:$AF$870,"&gt;="&amp;$B125)/INDEX('01_INPUTS'!$E$17:$E$31,MATCH(L$23,'01_INPUTS'!$B$17:$B$31,0)))</f>
        <v>0</v>
      </c>
      <c r="M125" s="61">
        <f>IF(INDEX('01_INPUTS'!$E$17:$E$31,MATCH(M$23,'01_INPUTS'!$B$17:$B$31,0))=0,IF(SUMIFS($AD$3:$AD$870,$AC$3:$AC$870,M$23,$AE$3:$AE$870,"&lt;="&amp;$B125,$AF$3:$AF$870,"&gt;="&amp;$B125)=0,0,9.99),SUMIFS($AD$3:$AD$870,$AC$3:$AC$870,M$23,$AE$3:$AE$870,"&lt;="&amp;$B125,$AF$3:$AF$870,"&gt;="&amp;$B125)/INDEX('01_INPUTS'!$E$17:$E$31,MATCH(M$23,'01_INPUTS'!$B$17:$B$31,0)))</f>
        <v>0</v>
      </c>
      <c r="N125" s="61">
        <f>IF(INDEX('01_INPUTS'!$E$17:$E$31,MATCH(N$23,'01_INPUTS'!$B$17:$B$31,0))=0,IF(SUMIFS($AD$3:$AD$870,$AC$3:$AC$870,N$23,$AE$3:$AE$870,"&lt;="&amp;$B125,$AF$3:$AF$870,"&gt;="&amp;$B125)=0,0,9.99),SUMIFS($AD$3:$AD$870,$AC$3:$AC$870,N$23,$AE$3:$AE$870,"&lt;="&amp;$B125,$AF$3:$AF$870,"&gt;="&amp;$B125)/INDEX('01_INPUTS'!$E$17:$E$31,MATCH(N$23,'01_INPUTS'!$B$17:$B$31,0)))</f>
        <v>0</v>
      </c>
      <c r="O125" s="61">
        <f>IF(INDEX('01_INPUTS'!$E$17:$E$31,MATCH(O$23,'01_INPUTS'!$B$17:$B$31,0))=0,IF(SUMIFS($AD$3:$AD$870,$AC$3:$AC$870,O$23,$AE$3:$AE$870,"&lt;="&amp;$B125,$AF$3:$AF$870,"&gt;="&amp;$B125)=0,0,9.99),SUMIFS($AD$3:$AD$870,$AC$3:$AC$870,O$23,$AE$3:$AE$870,"&lt;="&amp;$B125,$AF$3:$AF$870,"&gt;="&amp;$B125)/INDEX('01_INPUTS'!$E$17:$E$31,MATCH(O$23,'01_INPUTS'!$B$17:$B$31,0)))</f>
        <v>0</v>
      </c>
      <c r="P125" s="61">
        <f>IF(INDEX('01_INPUTS'!$E$17:$E$31,MATCH(P$23,'01_INPUTS'!$B$17:$B$31,0))=0,IF(SUMIFS($AD$3:$AD$870,$AC$3:$AC$870,P$23,$AE$3:$AE$870,"&lt;="&amp;$B125,$AF$3:$AF$870,"&gt;="&amp;$B125)=0,0,9.99),SUMIFS($AD$3:$AD$870,$AC$3:$AC$870,P$23,$AE$3:$AE$870,"&lt;="&amp;$B125,$AF$3:$AF$870,"&gt;="&amp;$B125)/INDEX('01_INPUTS'!$E$17:$E$31,MATCH(P$23,'01_INPUTS'!$B$17:$B$31,0)))</f>
        <v>0</v>
      </c>
      <c r="Q125" s="61">
        <f>IF(INDEX('01_INPUTS'!$E$17:$E$31,MATCH(Q$23,'01_INPUTS'!$B$17:$B$31,0))=0,IF(SUMIFS($AD$3:$AD$870,$AC$3:$AC$870,Q$23,$AE$3:$AE$870,"&lt;="&amp;$B125,$AF$3:$AF$870,"&gt;="&amp;$B125)=0,0,9.99),SUMIFS($AD$3:$AD$870,$AC$3:$AC$870,Q$23,$AE$3:$AE$870,"&lt;="&amp;$B125,$AF$3:$AF$870,"&gt;="&amp;$B125)/INDEX('01_INPUTS'!$E$17:$E$31,MATCH(Q$23,'01_INPUTS'!$B$17:$B$31,0)))</f>
        <v>0</v>
      </c>
      <c r="R125" s="61">
        <f>IF(INDEX('01_INPUTS'!$E$17:$E$31,MATCH(R$23,'01_INPUTS'!$B$17:$B$31,0))=0,IF(SUMIFS($AD$3:$AD$870,$AC$3:$AC$870,R$23,$AE$3:$AE$870,"&lt;="&amp;$B125,$AF$3:$AF$870,"&gt;="&amp;$B125)=0,0,9.99),SUMIFS($AD$3:$AD$870,$AC$3:$AC$870,R$23,$AE$3:$AE$870,"&lt;="&amp;$B125,$AF$3:$AF$870,"&gt;="&amp;$B125)/INDEX('01_INPUTS'!$E$17:$E$31,MATCH(R$23,'01_INPUTS'!$B$17:$B$31,0)))</f>
        <v>0</v>
      </c>
      <c r="S125">
        <f t="shared" si="14"/>
        <v>0</v>
      </c>
      <c r="T125">
        <f>SUM('01_INPUTS'!$E$17:$E$31)</f>
        <v>20</v>
      </c>
      <c r="U125" s="61">
        <f t="shared" si="15"/>
        <v>0</v>
      </c>
      <c r="V125">
        <f t="shared" si="16"/>
        <v>0</v>
      </c>
      <c r="W125" t="str">
        <f t="shared" si="17"/>
        <v>VERDE</v>
      </c>
      <c r="AA125" s="51" t="str">
        <f>'Sites Master'!$B$3</f>
        <v>Site 02</v>
      </c>
      <c r="AB125" s="51" t="str">
        <f>'Phase-Resource Allocation'!$B$124</f>
        <v>Hypercare</v>
      </c>
      <c r="AC125" s="51" t="str">
        <f>'Phase-Resource Allocation'!$C$124</f>
        <v>Infrastructure Lead</v>
      </c>
      <c r="AD125" s="60">
        <f>'Phase-Resource Allocation'!$D$124</f>
        <v>1</v>
      </c>
      <c r="AE125" s="51">
        <f>IFERROR(INDEX('02_SCHEDULE'!$K$5:$K$124,MATCH(AA125&amp;"|"&amp;AB125,'02_SCHEDULE'!$M$5:$M$124,0)),0)</f>
        <v>13</v>
      </c>
      <c r="AF125" s="51">
        <f>IFERROR(INDEX('02_SCHEDULE'!$L$5:$L$124,MATCH(AA125&amp;"|"&amp;AB125,'02_SCHEDULE'!$M$5:$M$124,0)),0)</f>
        <v>16</v>
      </c>
      <c r="AG125" s="51">
        <f t="shared" si="9"/>
        <v>4</v>
      </c>
    </row>
    <row r="126" spans="2:33" x14ac:dyDescent="0.3">
      <c r="B126">
        <f>103</f>
        <v>103</v>
      </c>
      <c r="C126" s="55">
        <f>'01_INPUTS'!$C$7+(103-1)*7</f>
        <v>46965</v>
      </c>
      <c r="D126" s="61">
        <f>IF(INDEX('01_INPUTS'!$E$17:$E$31,MATCH(D$23,'01_INPUTS'!$B$17:$B$31,0))=0,IF(SUMIFS($AD$3:$AD$870,$AC$3:$AC$870,D$23,$AE$3:$AE$870,"&lt;="&amp;$B126,$AF$3:$AF$870,"&gt;="&amp;$B126)=0,0,9.99),SUMIFS($AD$3:$AD$870,$AC$3:$AC$870,D$23,$AE$3:$AE$870,"&lt;="&amp;$B126,$AF$3:$AF$870,"&gt;="&amp;$B126)/INDEX('01_INPUTS'!$E$17:$E$31,MATCH(D$23,'01_INPUTS'!$B$17:$B$31,0)))</f>
        <v>0</v>
      </c>
      <c r="E126" s="61">
        <f>IF(INDEX('01_INPUTS'!$E$17:$E$31,MATCH(E$23,'01_INPUTS'!$B$17:$B$31,0))=0,IF(SUMIFS($AD$3:$AD$870,$AC$3:$AC$870,E$23,$AE$3:$AE$870,"&lt;="&amp;$B126,$AF$3:$AF$870,"&gt;="&amp;$B126)=0,0,9.99),SUMIFS($AD$3:$AD$870,$AC$3:$AC$870,E$23,$AE$3:$AE$870,"&lt;="&amp;$B126,$AF$3:$AF$870,"&gt;="&amp;$B126)/INDEX('01_INPUTS'!$E$17:$E$31,MATCH(E$23,'01_INPUTS'!$B$17:$B$31,0)))</f>
        <v>0</v>
      </c>
      <c r="F126" s="61">
        <f>IF(INDEX('01_INPUTS'!$E$17:$E$31,MATCH(F$23,'01_INPUTS'!$B$17:$B$31,0))=0,IF(SUMIFS($AD$3:$AD$870,$AC$3:$AC$870,F$23,$AE$3:$AE$870,"&lt;="&amp;$B126,$AF$3:$AF$870,"&gt;="&amp;$B126)=0,0,9.99),SUMIFS($AD$3:$AD$870,$AC$3:$AC$870,F$23,$AE$3:$AE$870,"&lt;="&amp;$B126,$AF$3:$AF$870,"&gt;="&amp;$B126)/INDEX('01_INPUTS'!$E$17:$E$31,MATCH(F$23,'01_INPUTS'!$B$17:$B$31,0)))</f>
        <v>0</v>
      </c>
      <c r="G126" s="61">
        <f>IF(INDEX('01_INPUTS'!$E$17:$E$31,MATCH(G$23,'01_INPUTS'!$B$17:$B$31,0))=0,IF(SUMIFS($AD$3:$AD$870,$AC$3:$AC$870,G$23,$AE$3:$AE$870,"&lt;="&amp;$B126,$AF$3:$AF$870,"&gt;="&amp;$B126)=0,0,9.99),SUMIFS($AD$3:$AD$870,$AC$3:$AC$870,G$23,$AE$3:$AE$870,"&lt;="&amp;$B126,$AF$3:$AF$870,"&gt;="&amp;$B126)/INDEX('01_INPUTS'!$E$17:$E$31,MATCH(G$23,'01_INPUTS'!$B$17:$B$31,0)))</f>
        <v>0</v>
      </c>
      <c r="H126" s="61">
        <f>IF(INDEX('01_INPUTS'!$E$17:$E$31,MATCH(H$23,'01_INPUTS'!$B$17:$B$31,0))=0,IF(SUMIFS($AD$3:$AD$870,$AC$3:$AC$870,H$23,$AE$3:$AE$870,"&lt;="&amp;$B126,$AF$3:$AF$870,"&gt;="&amp;$B126)=0,0,9.99),SUMIFS($AD$3:$AD$870,$AC$3:$AC$870,H$23,$AE$3:$AE$870,"&lt;="&amp;$B126,$AF$3:$AF$870,"&gt;="&amp;$B126)/INDEX('01_INPUTS'!$E$17:$E$31,MATCH(H$23,'01_INPUTS'!$B$17:$B$31,0)))</f>
        <v>0</v>
      </c>
      <c r="I126" s="61">
        <f>IF(INDEX('01_INPUTS'!$E$17:$E$31,MATCH(I$23,'01_INPUTS'!$B$17:$B$31,0))=0,IF(SUMIFS($AD$3:$AD$870,$AC$3:$AC$870,I$23,$AE$3:$AE$870,"&lt;="&amp;$B126,$AF$3:$AF$870,"&gt;="&amp;$B126)=0,0,9.99),SUMIFS($AD$3:$AD$870,$AC$3:$AC$870,I$23,$AE$3:$AE$870,"&lt;="&amp;$B126,$AF$3:$AF$870,"&gt;="&amp;$B126)/INDEX('01_INPUTS'!$E$17:$E$31,MATCH(I$23,'01_INPUTS'!$B$17:$B$31,0)))</f>
        <v>0</v>
      </c>
      <c r="J126" s="61">
        <f>IF(INDEX('01_INPUTS'!$E$17:$E$31,MATCH(J$23,'01_INPUTS'!$B$17:$B$31,0))=0,IF(SUMIFS($AD$3:$AD$870,$AC$3:$AC$870,J$23,$AE$3:$AE$870,"&lt;="&amp;$B126,$AF$3:$AF$870,"&gt;="&amp;$B126)=0,0,9.99),SUMIFS($AD$3:$AD$870,$AC$3:$AC$870,J$23,$AE$3:$AE$870,"&lt;="&amp;$B126,$AF$3:$AF$870,"&gt;="&amp;$B126)/INDEX('01_INPUTS'!$E$17:$E$31,MATCH(J$23,'01_INPUTS'!$B$17:$B$31,0)))</f>
        <v>0</v>
      </c>
      <c r="K126" s="61">
        <f>IF(INDEX('01_INPUTS'!$E$17:$E$31,MATCH(K$23,'01_INPUTS'!$B$17:$B$31,0))=0,IF(SUMIFS($AD$3:$AD$870,$AC$3:$AC$870,K$23,$AE$3:$AE$870,"&lt;="&amp;$B126,$AF$3:$AF$870,"&gt;="&amp;$B126)=0,0,9.99),SUMIFS($AD$3:$AD$870,$AC$3:$AC$870,K$23,$AE$3:$AE$870,"&lt;="&amp;$B126,$AF$3:$AF$870,"&gt;="&amp;$B126)/INDEX('01_INPUTS'!$E$17:$E$31,MATCH(K$23,'01_INPUTS'!$B$17:$B$31,0)))</f>
        <v>0</v>
      </c>
      <c r="L126" s="61">
        <f>IF(INDEX('01_INPUTS'!$E$17:$E$31,MATCH(L$23,'01_INPUTS'!$B$17:$B$31,0))=0,IF(SUMIFS($AD$3:$AD$870,$AC$3:$AC$870,L$23,$AE$3:$AE$870,"&lt;="&amp;$B126,$AF$3:$AF$870,"&gt;="&amp;$B126)=0,0,9.99),SUMIFS($AD$3:$AD$870,$AC$3:$AC$870,L$23,$AE$3:$AE$870,"&lt;="&amp;$B126,$AF$3:$AF$870,"&gt;="&amp;$B126)/INDEX('01_INPUTS'!$E$17:$E$31,MATCH(L$23,'01_INPUTS'!$B$17:$B$31,0)))</f>
        <v>0</v>
      </c>
      <c r="M126" s="61">
        <f>IF(INDEX('01_INPUTS'!$E$17:$E$31,MATCH(M$23,'01_INPUTS'!$B$17:$B$31,0))=0,IF(SUMIFS($AD$3:$AD$870,$AC$3:$AC$870,M$23,$AE$3:$AE$870,"&lt;="&amp;$B126,$AF$3:$AF$870,"&gt;="&amp;$B126)=0,0,9.99),SUMIFS($AD$3:$AD$870,$AC$3:$AC$870,M$23,$AE$3:$AE$870,"&lt;="&amp;$B126,$AF$3:$AF$870,"&gt;="&amp;$B126)/INDEX('01_INPUTS'!$E$17:$E$31,MATCH(M$23,'01_INPUTS'!$B$17:$B$31,0)))</f>
        <v>0</v>
      </c>
      <c r="N126" s="61">
        <f>IF(INDEX('01_INPUTS'!$E$17:$E$31,MATCH(N$23,'01_INPUTS'!$B$17:$B$31,0))=0,IF(SUMIFS($AD$3:$AD$870,$AC$3:$AC$870,N$23,$AE$3:$AE$870,"&lt;="&amp;$B126,$AF$3:$AF$870,"&gt;="&amp;$B126)=0,0,9.99),SUMIFS($AD$3:$AD$870,$AC$3:$AC$870,N$23,$AE$3:$AE$870,"&lt;="&amp;$B126,$AF$3:$AF$870,"&gt;="&amp;$B126)/INDEX('01_INPUTS'!$E$17:$E$31,MATCH(N$23,'01_INPUTS'!$B$17:$B$31,0)))</f>
        <v>0</v>
      </c>
      <c r="O126" s="61">
        <f>IF(INDEX('01_INPUTS'!$E$17:$E$31,MATCH(O$23,'01_INPUTS'!$B$17:$B$31,0))=0,IF(SUMIFS($AD$3:$AD$870,$AC$3:$AC$870,O$23,$AE$3:$AE$870,"&lt;="&amp;$B126,$AF$3:$AF$870,"&gt;="&amp;$B126)=0,0,9.99),SUMIFS($AD$3:$AD$870,$AC$3:$AC$870,O$23,$AE$3:$AE$870,"&lt;="&amp;$B126,$AF$3:$AF$870,"&gt;="&amp;$B126)/INDEX('01_INPUTS'!$E$17:$E$31,MATCH(O$23,'01_INPUTS'!$B$17:$B$31,0)))</f>
        <v>0</v>
      </c>
      <c r="P126" s="61">
        <f>IF(INDEX('01_INPUTS'!$E$17:$E$31,MATCH(P$23,'01_INPUTS'!$B$17:$B$31,0))=0,IF(SUMIFS($AD$3:$AD$870,$AC$3:$AC$870,P$23,$AE$3:$AE$870,"&lt;="&amp;$B126,$AF$3:$AF$870,"&gt;="&amp;$B126)=0,0,9.99),SUMIFS($AD$3:$AD$870,$AC$3:$AC$870,P$23,$AE$3:$AE$870,"&lt;="&amp;$B126,$AF$3:$AF$870,"&gt;="&amp;$B126)/INDEX('01_INPUTS'!$E$17:$E$31,MATCH(P$23,'01_INPUTS'!$B$17:$B$31,0)))</f>
        <v>0</v>
      </c>
      <c r="Q126" s="61">
        <f>IF(INDEX('01_INPUTS'!$E$17:$E$31,MATCH(Q$23,'01_INPUTS'!$B$17:$B$31,0))=0,IF(SUMIFS($AD$3:$AD$870,$AC$3:$AC$870,Q$23,$AE$3:$AE$870,"&lt;="&amp;$B126,$AF$3:$AF$870,"&gt;="&amp;$B126)=0,0,9.99),SUMIFS($AD$3:$AD$870,$AC$3:$AC$870,Q$23,$AE$3:$AE$870,"&lt;="&amp;$B126,$AF$3:$AF$870,"&gt;="&amp;$B126)/INDEX('01_INPUTS'!$E$17:$E$31,MATCH(Q$23,'01_INPUTS'!$B$17:$B$31,0)))</f>
        <v>0</v>
      </c>
      <c r="R126" s="61">
        <f>IF(INDEX('01_INPUTS'!$E$17:$E$31,MATCH(R$23,'01_INPUTS'!$B$17:$B$31,0))=0,IF(SUMIFS($AD$3:$AD$870,$AC$3:$AC$870,R$23,$AE$3:$AE$870,"&lt;="&amp;$B126,$AF$3:$AF$870,"&gt;="&amp;$B126)=0,0,9.99),SUMIFS($AD$3:$AD$870,$AC$3:$AC$870,R$23,$AE$3:$AE$870,"&lt;="&amp;$B126,$AF$3:$AF$870,"&gt;="&amp;$B126)/INDEX('01_INPUTS'!$E$17:$E$31,MATCH(R$23,'01_INPUTS'!$B$17:$B$31,0)))</f>
        <v>0</v>
      </c>
      <c r="S126">
        <f t="shared" si="14"/>
        <v>0</v>
      </c>
      <c r="T126">
        <f>SUM('01_INPUTS'!$E$17:$E$31)</f>
        <v>20</v>
      </c>
      <c r="U126" s="61">
        <f t="shared" si="15"/>
        <v>0</v>
      </c>
      <c r="V126">
        <f t="shared" si="16"/>
        <v>0</v>
      </c>
      <c r="W126" t="str">
        <f t="shared" si="17"/>
        <v>VERDE</v>
      </c>
      <c r="AA126" s="51" t="str">
        <f>'Sites Master'!$B$3</f>
        <v>Site 02</v>
      </c>
      <c r="AB126" s="51" t="str">
        <f>'Phase-Resource Allocation'!$B$125</f>
        <v>Hypercare</v>
      </c>
      <c r="AC126" s="51" t="str">
        <f>'Phase-Resource Allocation'!$C$125</f>
        <v>Functional Lead Vendor A</v>
      </c>
      <c r="AD126" s="60">
        <f>'Phase-Resource Allocation'!$D$125</f>
        <v>0.5</v>
      </c>
      <c r="AE126" s="51">
        <f>IFERROR(INDEX('02_SCHEDULE'!$K$5:$K$124,MATCH(AA126&amp;"|"&amp;AB126,'02_SCHEDULE'!$M$5:$M$124,0)),0)</f>
        <v>13</v>
      </c>
      <c r="AF126" s="51">
        <f>IFERROR(INDEX('02_SCHEDULE'!$L$5:$L$124,MATCH(AA126&amp;"|"&amp;AB126,'02_SCHEDULE'!$M$5:$M$124,0)),0)</f>
        <v>16</v>
      </c>
      <c r="AG126" s="51">
        <f t="shared" si="9"/>
        <v>2</v>
      </c>
    </row>
    <row r="127" spans="2:33" x14ac:dyDescent="0.3">
      <c r="B127">
        <f>104</f>
        <v>104</v>
      </c>
      <c r="C127" s="55">
        <f>'01_INPUTS'!$C$7+(104-1)*7</f>
        <v>46972</v>
      </c>
      <c r="D127" s="61">
        <f>IF(INDEX('01_INPUTS'!$E$17:$E$31,MATCH(D$23,'01_INPUTS'!$B$17:$B$31,0))=0,IF(SUMIFS($AD$3:$AD$870,$AC$3:$AC$870,D$23,$AE$3:$AE$870,"&lt;="&amp;$B127,$AF$3:$AF$870,"&gt;="&amp;$B127)=0,0,9.99),SUMIFS($AD$3:$AD$870,$AC$3:$AC$870,D$23,$AE$3:$AE$870,"&lt;="&amp;$B127,$AF$3:$AF$870,"&gt;="&amp;$B127)/INDEX('01_INPUTS'!$E$17:$E$31,MATCH(D$23,'01_INPUTS'!$B$17:$B$31,0)))</f>
        <v>0</v>
      </c>
      <c r="E127" s="61">
        <f>IF(INDEX('01_INPUTS'!$E$17:$E$31,MATCH(E$23,'01_INPUTS'!$B$17:$B$31,0))=0,IF(SUMIFS($AD$3:$AD$870,$AC$3:$AC$870,E$23,$AE$3:$AE$870,"&lt;="&amp;$B127,$AF$3:$AF$870,"&gt;="&amp;$B127)=0,0,9.99),SUMIFS($AD$3:$AD$870,$AC$3:$AC$870,E$23,$AE$3:$AE$870,"&lt;="&amp;$B127,$AF$3:$AF$870,"&gt;="&amp;$B127)/INDEX('01_INPUTS'!$E$17:$E$31,MATCH(E$23,'01_INPUTS'!$B$17:$B$31,0)))</f>
        <v>0</v>
      </c>
      <c r="F127" s="61">
        <f>IF(INDEX('01_INPUTS'!$E$17:$E$31,MATCH(F$23,'01_INPUTS'!$B$17:$B$31,0))=0,IF(SUMIFS($AD$3:$AD$870,$AC$3:$AC$870,F$23,$AE$3:$AE$870,"&lt;="&amp;$B127,$AF$3:$AF$870,"&gt;="&amp;$B127)=0,0,9.99),SUMIFS($AD$3:$AD$870,$AC$3:$AC$870,F$23,$AE$3:$AE$870,"&lt;="&amp;$B127,$AF$3:$AF$870,"&gt;="&amp;$B127)/INDEX('01_INPUTS'!$E$17:$E$31,MATCH(F$23,'01_INPUTS'!$B$17:$B$31,0)))</f>
        <v>0</v>
      </c>
      <c r="G127" s="61">
        <f>IF(INDEX('01_INPUTS'!$E$17:$E$31,MATCH(G$23,'01_INPUTS'!$B$17:$B$31,0))=0,IF(SUMIFS($AD$3:$AD$870,$AC$3:$AC$870,G$23,$AE$3:$AE$870,"&lt;="&amp;$B127,$AF$3:$AF$870,"&gt;="&amp;$B127)=0,0,9.99),SUMIFS($AD$3:$AD$870,$AC$3:$AC$870,G$23,$AE$3:$AE$870,"&lt;="&amp;$B127,$AF$3:$AF$870,"&gt;="&amp;$B127)/INDEX('01_INPUTS'!$E$17:$E$31,MATCH(G$23,'01_INPUTS'!$B$17:$B$31,0)))</f>
        <v>0</v>
      </c>
      <c r="H127" s="61">
        <f>IF(INDEX('01_INPUTS'!$E$17:$E$31,MATCH(H$23,'01_INPUTS'!$B$17:$B$31,0))=0,IF(SUMIFS($AD$3:$AD$870,$AC$3:$AC$870,H$23,$AE$3:$AE$870,"&lt;="&amp;$B127,$AF$3:$AF$870,"&gt;="&amp;$B127)=0,0,9.99),SUMIFS($AD$3:$AD$870,$AC$3:$AC$870,H$23,$AE$3:$AE$870,"&lt;="&amp;$B127,$AF$3:$AF$870,"&gt;="&amp;$B127)/INDEX('01_INPUTS'!$E$17:$E$31,MATCH(H$23,'01_INPUTS'!$B$17:$B$31,0)))</f>
        <v>0</v>
      </c>
      <c r="I127" s="61">
        <f>IF(INDEX('01_INPUTS'!$E$17:$E$31,MATCH(I$23,'01_INPUTS'!$B$17:$B$31,0))=0,IF(SUMIFS($AD$3:$AD$870,$AC$3:$AC$870,I$23,$AE$3:$AE$870,"&lt;="&amp;$B127,$AF$3:$AF$870,"&gt;="&amp;$B127)=0,0,9.99),SUMIFS($AD$3:$AD$870,$AC$3:$AC$870,I$23,$AE$3:$AE$870,"&lt;="&amp;$B127,$AF$3:$AF$870,"&gt;="&amp;$B127)/INDEX('01_INPUTS'!$E$17:$E$31,MATCH(I$23,'01_INPUTS'!$B$17:$B$31,0)))</f>
        <v>0</v>
      </c>
      <c r="J127" s="61">
        <f>IF(INDEX('01_INPUTS'!$E$17:$E$31,MATCH(J$23,'01_INPUTS'!$B$17:$B$31,0))=0,IF(SUMIFS($AD$3:$AD$870,$AC$3:$AC$870,J$23,$AE$3:$AE$870,"&lt;="&amp;$B127,$AF$3:$AF$870,"&gt;="&amp;$B127)=0,0,9.99),SUMIFS($AD$3:$AD$870,$AC$3:$AC$870,J$23,$AE$3:$AE$870,"&lt;="&amp;$B127,$AF$3:$AF$870,"&gt;="&amp;$B127)/INDEX('01_INPUTS'!$E$17:$E$31,MATCH(J$23,'01_INPUTS'!$B$17:$B$31,0)))</f>
        <v>0</v>
      </c>
      <c r="K127" s="61">
        <f>IF(INDEX('01_INPUTS'!$E$17:$E$31,MATCH(K$23,'01_INPUTS'!$B$17:$B$31,0))=0,IF(SUMIFS($AD$3:$AD$870,$AC$3:$AC$870,K$23,$AE$3:$AE$870,"&lt;="&amp;$B127,$AF$3:$AF$870,"&gt;="&amp;$B127)=0,0,9.99),SUMIFS($AD$3:$AD$870,$AC$3:$AC$870,K$23,$AE$3:$AE$870,"&lt;="&amp;$B127,$AF$3:$AF$870,"&gt;="&amp;$B127)/INDEX('01_INPUTS'!$E$17:$E$31,MATCH(K$23,'01_INPUTS'!$B$17:$B$31,0)))</f>
        <v>0</v>
      </c>
      <c r="L127" s="61">
        <f>IF(INDEX('01_INPUTS'!$E$17:$E$31,MATCH(L$23,'01_INPUTS'!$B$17:$B$31,0))=0,IF(SUMIFS($AD$3:$AD$870,$AC$3:$AC$870,L$23,$AE$3:$AE$870,"&lt;="&amp;$B127,$AF$3:$AF$870,"&gt;="&amp;$B127)=0,0,9.99),SUMIFS($AD$3:$AD$870,$AC$3:$AC$870,L$23,$AE$3:$AE$870,"&lt;="&amp;$B127,$AF$3:$AF$870,"&gt;="&amp;$B127)/INDEX('01_INPUTS'!$E$17:$E$31,MATCH(L$23,'01_INPUTS'!$B$17:$B$31,0)))</f>
        <v>0</v>
      </c>
      <c r="M127" s="61">
        <f>IF(INDEX('01_INPUTS'!$E$17:$E$31,MATCH(M$23,'01_INPUTS'!$B$17:$B$31,0))=0,IF(SUMIFS($AD$3:$AD$870,$AC$3:$AC$870,M$23,$AE$3:$AE$870,"&lt;="&amp;$B127,$AF$3:$AF$870,"&gt;="&amp;$B127)=0,0,9.99),SUMIFS($AD$3:$AD$870,$AC$3:$AC$870,M$23,$AE$3:$AE$870,"&lt;="&amp;$B127,$AF$3:$AF$870,"&gt;="&amp;$B127)/INDEX('01_INPUTS'!$E$17:$E$31,MATCH(M$23,'01_INPUTS'!$B$17:$B$31,0)))</f>
        <v>0</v>
      </c>
      <c r="N127" s="61">
        <f>IF(INDEX('01_INPUTS'!$E$17:$E$31,MATCH(N$23,'01_INPUTS'!$B$17:$B$31,0))=0,IF(SUMIFS($AD$3:$AD$870,$AC$3:$AC$870,N$23,$AE$3:$AE$870,"&lt;="&amp;$B127,$AF$3:$AF$870,"&gt;="&amp;$B127)=0,0,9.99),SUMIFS($AD$3:$AD$870,$AC$3:$AC$870,N$23,$AE$3:$AE$870,"&lt;="&amp;$B127,$AF$3:$AF$870,"&gt;="&amp;$B127)/INDEX('01_INPUTS'!$E$17:$E$31,MATCH(N$23,'01_INPUTS'!$B$17:$B$31,0)))</f>
        <v>0</v>
      </c>
      <c r="O127" s="61">
        <f>IF(INDEX('01_INPUTS'!$E$17:$E$31,MATCH(O$23,'01_INPUTS'!$B$17:$B$31,0))=0,IF(SUMIFS($AD$3:$AD$870,$AC$3:$AC$870,O$23,$AE$3:$AE$870,"&lt;="&amp;$B127,$AF$3:$AF$870,"&gt;="&amp;$B127)=0,0,9.99),SUMIFS($AD$3:$AD$870,$AC$3:$AC$870,O$23,$AE$3:$AE$870,"&lt;="&amp;$B127,$AF$3:$AF$870,"&gt;="&amp;$B127)/INDEX('01_INPUTS'!$E$17:$E$31,MATCH(O$23,'01_INPUTS'!$B$17:$B$31,0)))</f>
        <v>0</v>
      </c>
      <c r="P127" s="61">
        <f>IF(INDEX('01_INPUTS'!$E$17:$E$31,MATCH(P$23,'01_INPUTS'!$B$17:$B$31,0))=0,IF(SUMIFS($AD$3:$AD$870,$AC$3:$AC$870,P$23,$AE$3:$AE$870,"&lt;="&amp;$B127,$AF$3:$AF$870,"&gt;="&amp;$B127)=0,0,9.99),SUMIFS($AD$3:$AD$870,$AC$3:$AC$870,P$23,$AE$3:$AE$870,"&lt;="&amp;$B127,$AF$3:$AF$870,"&gt;="&amp;$B127)/INDEX('01_INPUTS'!$E$17:$E$31,MATCH(P$23,'01_INPUTS'!$B$17:$B$31,0)))</f>
        <v>0</v>
      </c>
      <c r="Q127" s="61">
        <f>IF(INDEX('01_INPUTS'!$E$17:$E$31,MATCH(Q$23,'01_INPUTS'!$B$17:$B$31,0))=0,IF(SUMIFS($AD$3:$AD$870,$AC$3:$AC$870,Q$23,$AE$3:$AE$870,"&lt;="&amp;$B127,$AF$3:$AF$870,"&gt;="&amp;$B127)=0,0,9.99),SUMIFS($AD$3:$AD$870,$AC$3:$AC$870,Q$23,$AE$3:$AE$870,"&lt;="&amp;$B127,$AF$3:$AF$870,"&gt;="&amp;$B127)/INDEX('01_INPUTS'!$E$17:$E$31,MATCH(Q$23,'01_INPUTS'!$B$17:$B$31,0)))</f>
        <v>0</v>
      </c>
      <c r="R127" s="61">
        <f>IF(INDEX('01_INPUTS'!$E$17:$E$31,MATCH(R$23,'01_INPUTS'!$B$17:$B$31,0))=0,IF(SUMIFS($AD$3:$AD$870,$AC$3:$AC$870,R$23,$AE$3:$AE$870,"&lt;="&amp;$B127,$AF$3:$AF$870,"&gt;="&amp;$B127)=0,0,9.99),SUMIFS($AD$3:$AD$870,$AC$3:$AC$870,R$23,$AE$3:$AE$870,"&lt;="&amp;$B127,$AF$3:$AF$870,"&gt;="&amp;$B127)/INDEX('01_INPUTS'!$E$17:$E$31,MATCH(R$23,'01_INPUTS'!$B$17:$B$31,0)))</f>
        <v>0</v>
      </c>
      <c r="S127">
        <f t="shared" si="14"/>
        <v>0</v>
      </c>
      <c r="T127">
        <f>SUM('01_INPUTS'!$E$17:$E$31)</f>
        <v>20</v>
      </c>
      <c r="U127" s="61">
        <f t="shared" si="15"/>
        <v>0</v>
      </c>
      <c r="V127">
        <f t="shared" si="16"/>
        <v>0</v>
      </c>
      <c r="W127" t="str">
        <f t="shared" si="17"/>
        <v>VERDE</v>
      </c>
      <c r="AA127" s="51" t="str">
        <f>'Sites Master'!$B$4</f>
        <v>Site 03</v>
      </c>
      <c r="AB127" s="51" t="str">
        <f>'Phase-Resource Allocation'!$B$64</f>
        <v>Site Readiness</v>
      </c>
      <c r="AC127" s="51" t="str">
        <f>'Phase-Resource Allocation'!$C$64</f>
        <v>Infrastructure Lead</v>
      </c>
      <c r="AD127" s="60">
        <f>'Phase-Resource Allocation'!$D$64</f>
        <v>1</v>
      </c>
      <c r="AE127" s="51">
        <f>IFERROR(INDEX('02_SCHEDULE'!$K$5:$K$124,MATCH(AA127&amp;"|"&amp;AB127,'02_SCHEDULE'!$M$5:$M$124,0)),0)</f>
        <v>1</v>
      </c>
      <c r="AF127" s="51">
        <f>IFERROR(INDEX('02_SCHEDULE'!$L$5:$L$124,MATCH(AA127&amp;"|"&amp;AB127,'02_SCHEDULE'!$M$5:$M$124,0)),0)</f>
        <v>4</v>
      </c>
      <c r="AG127" s="51">
        <f t="shared" si="9"/>
        <v>4</v>
      </c>
    </row>
    <row r="128" spans="2:33" x14ac:dyDescent="0.3">
      <c r="B128">
        <f>105</f>
        <v>105</v>
      </c>
      <c r="C128" s="55">
        <f>'01_INPUTS'!$C$7+(105-1)*7</f>
        <v>46979</v>
      </c>
      <c r="D128" s="61">
        <f>IF(INDEX('01_INPUTS'!$E$17:$E$31,MATCH(D$23,'01_INPUTS'!$B$17:$B$31,0))=0,IF(SUMIFS($AD$3:$AD$870,$AC$3:$AC$870,D$23,$AE$3:$AE$870,"&lt;="&amp;$B128,$AF$3:$AF$870,"&gt;="&amp;$B128)=0,0,9.99),SUMIFS($AD$3:$AD$870,$AC$3:$AC$870,D$23,$AE$3:$AE$870,"&lt;="&amp;$B128,$AF$3:$AF$870,"&gt;="&amp;$B128)/INDEX('01_INPUTS'!$E$17:$E$31,MATCH(D$23,'01_INPUTS'!$B$17:$B$31,0)))</f>
        <v>0</v>
      </c>
      <c r="E128" s="61">
        <f>IF(INDEX('01_INPUTS'!$E$17:$E$31,MATCH(E$23,'01_INPUTS'!$B$17:$B$31,0))=0,IF(SUMIFS($AD$3:$AD$870,$AC$3:$AC$870,E$23,$AE$3:$AE$870,"&lt;="&amp;$B128,$AF$3:$AF$870,"&gt;="&amp;$B128)=0,0,9.99),SUMIFS($AD$3:$AD$870,$AC$3:$AC$870,E$23,$AE$3:$AE$870,"&lt;="&amp;$B128,$AF$3:$AF$870,"&gt;="&amp;$B128)/INDEX('01_INPUTS'!$E$17:$E$31,MATCH(E$23,'01_INPUTS'!$B$17:$B$31,0)))</f>
        <v>0</v>
      </c>
      <c r="F128" s="61">
        <f>IF(INDEX('01_INPUTS'!$E$17:$E$31,MATCH(F$23,'01_INPUTS'!$B$17:$B$31,0))=0,IF(SUMIFS($AD$3:$AD$870,$AC$3:$AC$870,F$23,$AE$3:$AE$870,"&lt;="&amp;$B128,$AF$3:$AF$870,"&gt;="&amp;$B128)=0,0,9.99),SUMIFS($AD$3:$AD$870,$AC$3:$AC$870,F$23,$AE$3:$AE$870,"&lt;="&amp;$B128,$AF$3:$AF$870,"&gt;="&amp;$B128)/INDEX('01_INPUTS'!$E$17:$E$31,MATCH(F$23,'01_INPUTS'!$B$17:$B$31,0)))</f>
        <v>0</v>
      </c>
      <c r="G128" s="61">
        <f>IF(INDEX('01_INPUTS'!$E$17:$E$31,MATCH(G$23,'01_INPUTS'!$B$17:$B$31,0))=0,IF(SUMIFS($AD$3:$AD$870,$AC$3:$AC$870,G$23,$AE$3:$AE$870,"&lt;="&amp;$B128,$AF$3:$AF$870,"&gt;="&amp;$B128)=0,0,9.99),SUMIFS($AD$3:$AD$870,$AC$3:$AC$870,G$23,$AE$3:$AE$870,"&lt;="&amp;$B128,$AF$3:$AF$870,"&gt;="&amp;$B128)/INDEX('01_INPUTS'!$E$17:$E$31,MATCH(G$23,'01_INPUTS'!$B$17:$B$31,0)))</f>
        <v>0</v>
      </c>
      <c r="H128" s="61">
        <f>IF(INDEX('01_INPUTS'!$E$17:$E$31,MATCH(H$23,'01_INPUTS'!$B$17:$B$31,0))=0,IF(SUMIFS($AD$3:$AD$870,$AC$3:$AC$870,H$23,$AE$3:$AE$870,"&lt;="&amp;$B128,$AF$3:$AF$870,"&gt;="&amp;$B128)=0,0,9.99),SUMIFS($AD$3:$AD$870,$AC$3:$AC$870,H$23,$AE$3:$AE$870,"&lt;="&amp;$B128,$AF$3:$AF$870,"&gt;="&amp;$B128)/INDEX('01_INPUTS'!$E$17:$E$31,MATCH(H$23,'01_INPUTS'!$B$17:$B$31,0)))</f>
        <v>0</v>
      </c>
      <c r="I128" s="61">
        <f>IF(INDEX('01_INPUTS'!$E$17:$E$31,MATCH(I$23,'01_INPUTS'!$B$17:$B$31,0))=0,IF(SUMIFS($AD$3:$AD$870,$AC$3:$AC$870,I$23,$AE$3:$AE$870,"&lt;="&amp;$B128,$AF$3:$AF$870,"&gt;="&amp;$B128)=0,0,9.99),SUMIFS($AD$3:$AD$870,$AC$3:$AC$870,I$23,$AE$3:$AE$870,"&lt;="&amp;$B128,$AF$3:$AF$870,"&gt;="&amp;$B128)/INDEX('01_INPUTS'!$E$17:$E$31,MATCH(I$23,'01_INPUTS'!$B$17:$B$31,0)))</f>
        <v>0</v>
      </c>
      <c r="J128" s="61">
        <f>IF(INDEX('01_INPUTS'!$E$17:$E$31,MATCH(J$23,'01_INPUTS'!$B$17:$B$31,0))=0,IF(SUMIFS($AD$3:$AD$870,$AC$3:$AC$870,J$23,$AE$3:$AE$870,"&lt;="&amp;$B128,$AF$3:$AF$870,"&gt;="&amp;$B128)=0,0,9.99),SUMIFS($AD$3:$AD$870,$AC$3:$AC$870,J$23,$AE$3:$AE$870,"&lt;="&amp;$B128,$AF$3:$AF$870,"&gt;="&amp;$B128)/INDEX('01_INPUTS'!$E$17:$E$31,MATCH(J$23,'01_INPUTS'!$B$17:$B$31,0)))</f>
        <v>0</v>
      </c>
      <c r="K128" s="61">
        <f>IF(INDEX('01_INPUTS'!$E$17:$E$31,MATCH(K$23,'01_INPUTS'!$B$17:$B$31,0))=0,IF(SUMIFS($AD$3:$AD$870,$AC$3:$AC$870,K$23,$AE$3:$AE$870,"&lt;="&amp;$B128,$AF$3:$AF$870,"&gt;="&amp;$B128)=0,0,9.99),SUMIFS($AD$3:$AD$870,$AC$3:$AC$870,K$23,$AE$3:$AE$870,"&lt;="&amp;$B128,$AF$3:$AF$870,"&gt;="&amp;$B128)/INDEX('01_INPUTS'!$E$17:$E$31,MATCH(K$23,'01_INPUTS'!$B$17:$B$31,0)))</f>
        <v>0</v>
      </c>
      <c r="L128" s="61">
        <f>IF(INDEX('01_INPUTS'!$E$17:$E$31,MATCH(L$23,'01_INPUTS'!$B$17:$B$31,0))=0,IF(SUMIFS($AD$3:$AD$870,$AC$3:$AC$870,L$23,$AE$3:$AE$870,"&lt;="&amp;$B128,$AF$3:$AF$870,"&gt;="&amp;$B128)=0,0,9.99),SUMIFS($AD$3:$AD$870,$AC$3:$AC$870,L$23,$AE$3:$AE$870,"&lt;="&amp;$B128,$AF$3:$AF$870,"&gt;="&amp;$B128)/INDEX('01_INPUTS'!$E$17:$E$31,MATCH(L$23,'01_INPUTS'!$B$17:$B$31,0)))</f>
        <v>0</v>
      </c>
      <c r="M128" s="61">
        <f>IF(INDEX('01_INPUTS'!$E$17:$E$31,MATCH(M$23,'01_INPUTS'!$B$17:$B$31,0))=0,IF(SUMIFS($AD$3:$AD$870,$AC$3:$AC$870,M$23,$AE$3:$AE$870,"&lt;="&amp;$B128,$AF$3:$AF$870,"&gt;="&amp;$B128)=0,0,9.99),SUMIFS($AD$3:$AD$870,$AC$3:$AC$870,M$23,$AE$3:$AE$870,"&lt;="&amp;$B128,$AF$3:$AF$870,"&gt;="&amp;$B128)/INDEX('01_INPUTS'!$E$17:$E$31,MATCH(M$23,'01_INPUTS'!$B$17:$B$31,0)))</f>
        <v>0</v>
      </c>
      <c r="N128" s="61">
        <f>IF(INDEX('01_INPUTS'!$E$17:$E$31,MATCH(N$23,'01_INPUTS'!$B$17:$B$31,0))=0,IF(SUMIFS($AD$3:$AD$870,$AC$3:$AC$870,N$23,$AE$3:$AE$870,"&lt;="&amp;$B128,$AF$3:$AF$870,"&gt;="&amp;$B128)=0,0,9.99),SUMIFS($AD$3:$AD$870,$AC$3:$AC$870,N$23,$AE$3:$AE$870,"&lt;="&amp;$B128,$AF$3:$AF$870,"&gt;="&amp;$B128)/INDEX('01_INPUTS'!$E$17:$E$31,MATCH(N$23,'01_INPUTS'!$B$17:$B$31,0)))</f>
        <v>0</v>
      </c>
      <c r="O128" s="61">
        <f>IF(INDEX('01_INPUTS'!$E$17:$E$31,MATCH(O$23,'01_INPUTS'!$B$17:$B$31,0))=0,IF(SUMIFS($AD$3:$AD$870,$AC$3:$AC$870,O$23,$AE$3:$AE$870,"&lt;="&amp;$B128,$AF$3:$AF$870,"&gt;="&amp;$B128)=0,0,9.99),SUMIFS($AD$3:$AD$870,$AC$3:$AC$870,O$23,$AE$3:$AE$870,"&lt;="&amp;$B128,$AF$3:$AF$870,"&gt;="&amp;$B128)/INDEX('01_INPUTS'!$E$17:$E$31,MATCH(O$23,'01_INPUTS'!$B$17:$B$31,0)))</f>
        <v>0</v>
      </c>
      <c r="P128" s="61">
        <f>IF(INDEX('01_INPUTS'!$E$17:$E$31,MATCH(P$23,'01_INPUTS'!$B$17:$B$31,0))=0,IF(SUMIFS($AD$3:$AD$870,$AC$3:$AC$870,P$23,$AE$3:$AE$870,"&lt;="&amp;$B128,$AF$3:$AF$870,"&gt;="&amp;$B128)=0,0,9.99),SUMIFS($AD$3:$AD$870,$AC$3:$AC$870,P$23,$AE$3:$AE$870,"&lt;="&amp;$B128,$AF$3:$AF$870,"&gt;="&amp;$B128)/INDEX('01_INPUTS'!$E$17:$E$31,MATCH(P$23,'01_INPUTS'!$B$17:$B$31,0)))</f>
        <v>0</v>
      </c>
      <c r="Q128" s="61">
        <f>IF(INDEX('01_INPUTS'!$E$17:$E$31,MATCH(Q$23,'01_INPUTS'!$B$17:$B$31,0))=0,IF(SUMIFS($AD$3:$AD$870,$AC$3:$AC$870,Q$23,$AE$3:$AE$870,"&lt;="&amp;$B128,$AF$3:$AF$870,"&gt;="&amp;$B128)=0,0,9.99),SUMIFS($AD$3:$AD$870,$AC$3:$AC$870,Q$23,$AE$3:$AE$870,"&lt;="&amp;$B128,$AF$3:$AF$870,"&gt;="&amp;$B128)/INDEX('01_INPUTS'!$E$17:$E$31,MATCH(Q$23,'01_INPUTS'!$B$17:$B$31,0)))</f>
        <v>0</v>
      </c>
      <c r="R128" s="61">
        <f>IF(INDEX('01_INPUTS'!$E$17:$E$31,MATCH(R$23,'01_INPUTS'!$B$17:$B$31,0))=0,IF(SUMIFS($AD$3:$AD$870,$AC$3:$AC$870,R$23,$AE$3:$AE$870,"&lt;="&amp;$B128,$AF$3:$AF$870,"&gt;="&amp;$B128)=0,0,9.99),SUMIFS($AD$3:$AD$870,$AC$3:$AC$870,R$23,$AE$3:$AE$870,"&lt;="&amp;$B128,$AF$3:$AF$870,"&gt;="&amp;$B128)/INDEX('01_INPUTS'!$E$17:$E$31,MATCH(R$23,'01_INPUTS'!$B$17:$B$31,0)))</f>
        <v>0</v>
      </c>
      <c r="S128">
        <f t="shared" si="14"/>
        <v>0</v>
      </c>
      <c r="T128">
        <f>SUM('01_INPUTS'!$E$17:$E$31)</f>
        <v>20</v>
      </c>
      <c r="U128" s="61">
        <f t="shared" si="15"/>
        <v>0</v>
      </c>
      <c r="V128">
        <f t="shared" si="16"/>
        <v>0</v>
      </c>
      <c r="W128" t="str">
        <f t="shared" si="17"/>
        <v>VERDE</v>
      </c>
      <c r="AA128" s="51" t="str">
        <f>'Sites Master'!$B$4</f>
        <v>Site 03</v>
      </c>
      <c r="AB128" s="51" t="str">
        <f>'Phase-Resource Allocation'!$B$65</f>
        <v>Site Readiness</v>
      </c>
      <c r="AC128" s="51" t="str">
        <f>'Phase-Resource Allocation'!$C$65</f>
        <v>SAP Integrations Lead</v>
      </c>
      <c r="AD128" s="60">
        <f>'Phase-Resource Allocation'!$D$65</f>
        <v>0.5</v>
      </c>
      <c r="AE128" s="51">
        <f>IFERROR(INDEX('02_SCHEDULE'!$K$5:$K$124,MATCH(AA128&amp;"|"&amp;AB128,'02_SCHEDULE'!$M$5:$M$124,0)),0)</f>
        <v>1</v>
      </c>
      <c r="AF128" s="51">
        <f>IFERROR(INDEX('02_SCHEDULE'!$L$5:$L$124,MATCH(AA128&amp;"|"&amp;AB128,'02_SCHEDULE'!$M$5:$M$124,0)),0)</f>
        <v>4</v>
      </c>
      <c r="AG128" s="51">
        <f t="shared" si="9"/>
        <v>2</v>
      </c>
    </row>
    <row r="129" spans="2:33" x14ac:dyDescent="0.3">
      <c r="B129">
        <f>106</f>
        <v>106</v>
      </c>
      <c r="C129" s="55">
        <f>'01_INPUTS'!$C$7+(106-1)*7</f>
        <v>46986</v>
      </c>
      <c r="D129" s="61">
        <f>IF(INDEX('01_INPUTS'!$E$17:$E$31,MATCH(D$23,'01_INPUTS'!$B$17:$B$31,0))=0,IF(SUMIFS($AD$3:$AD$870,$AC$3:$AC$870,D$23,$AE$3:$AE$870,"&lt;="&amp;$B129,$AF$3:$AF$870,"&gt;="&amp;$B129)=0,0,9.99),SUMIFS($AD$3:$AD$870,$AC$3:$AC$870,D$23,$AE$3:$AE$870,"&lt;="&amp;$B129,$AF$3:$AF$870,"&gt;="&amp;$B129)/INDEX('01_INPUTS'!$E$17:$E$31,MATCH(D$23,'01_INPUTS'!$B$17:$B$31,0)))</f>
        <v>0</v>
      </c>
      <c r="E129" s="61">
        <f>IF(INDEX('01_INPUTS'!$E$17:$E$31,MATCH(E$23,'01_INPUTS'!$B$17:$B$31,0))=0,IF(SUMIFS($AD$3:$AD$870,$AC$3:$AC$870,E$23,$AE$3:$AE$870,"&lt;="&amp;$B129,$AF$3:$AF$870,"&gt;="&amp;$B129)=0,0,9.99),SUMIFS($AD$3:$AD$870,$AC$3:$AC$870,E$23,$AE$3:$AE$870,"&lt;="&amp;$B129,$AF$3:$AF$870,"&gt;="&amp;$B129)/INDEX('01_INPUTS'!$E$17:$E$31,MATCH(E$23,'01_INPUTS'!$B$17:$B$31,0)))</f>
        <v>0</v>
      </c>
      <c r="F129" s="61">
        <f>IF(INDEX('01_INPUTS'!$E$17:$E$31,MATCH(F$23,'01_INPUTS'!$B$17:$B$31,0))=0,IF(SUMIFS($AD$3:$AD$870,$AC$3:$AC$870,F$23,$AE$3:$AE$870,"&lt;="&amp;$B129,$AF$3:$AF$870,"&gt;="&amp;$B129)=0,0,9.99),SUMIFS($AD$3:$AD$870,$AC$3:$AC$870,F$23,$AE$3:$AE$870,"&lt;="&amp;$B129,$AF$3:$AF$870,"&gt;="&amp;$B129)/INDEX('01_INPUTS'!$E$17:$E$31,MATCH(F$23,'01_INPUTS'!$B$17:$B$31,0)))</f>
        <v>0</v>
      </c>
      <c r="G129" s="61">
        <f>IF(INDEX('01_INPUTS'!$E$17:$E$31,MATCH(G$23,'01_INPUTS'!$B$17:$B$31,0))=0,IF(SUMIFS($AD$3:$AD$870,$AC$3:$AC$870,G$23,$AE$3:$AE$870,"&lt;="&amp;$B129,$AF$3:$AF$870,"&gt;="&amp;$B129)=0,0,9.99),SUMIFS($AD$3:$AD$870,$AC$3:$AC$870,G$23,$AE$3:$AE$870,"&lt;="&amp;$B129,$AF$3:$AF$870,"&gt;="&amp;$B129)/INDEX('01_INPUTS'!$E$17:$E$31,MATCH(G$23,'01_INPUTS'!$B$17:$B$31,0)))</f>
        <v>0</v>
      </c>
      <c r="H129" s="61">
        <f>IF(INDEX('01_INPUTS'!$E$17:$E$31,MATCH(H$23,'01_INPUTS'!$B$17:$B$31,0))=0,IF(SUMIFS($AD$3:$AD$870,$AC$3:$AC$870,H$23,$AE$3:$AE$870,"&lt;="&amp;$B129,$AF$3:$AF$870,"&gt;="&amp;$B129)=0,0,9.99),SUMIFS($AD$3:$AD$870,$AC$3:$AC$870,H$23,$AE$3:$AE$870,"&lt;="&amp;$B129,$AF$3:$AF$870,"&gt;="&amp;$B129)/INDEX('01_INPUTS'!$E$17:$E$31,MATCH(H$23,'01_INPUTS'!$B$17:$B$31,0)))</f>
        <v>0</v>
      </c>
      <c r="I129" s="61">
        <f>IF(INDEX('01_INPUTS'!$E$17:$E$31,MATCH(I$23,'01_INPUTS'!$B$17:$B$31,0))=0,IF(SUMIFS($AD$3:$AD$870,$AC$3:$AC$870,I$23,$AE$3:$AE$870,"&lt;="&amp;$B129,$AF$3:$AF$870,"&gt;="&amp;$B129)=0,0,9.99),SUMIFS($AD$3:$AD$870,$AC$3:$AC$870,I$23,$AE$3:$AE$870,"&lt;="&amp;$B129,$AF$3:$AF$870,"&gt;="&amp;$B129)/INDEX('01_INPUTS'!$E$17:$E$31,MATCH(I$23,'01_INPUTS'!$B$17:$B$31,0)))</f>
        <v>0</v>
      </c>
      <c r="J129" s="61">
        <f>IF(INDEX('01_INPUTS'!$E$17:$E$31,MATCH(J$23,'01_INPUTS'!$B$17:$B$31,0))=0,IF(SUMIFS($AD$3:$AD$870,$AC$3:$AC$870,J$23,$AE$3:$AE$870,"&lt;="&amp;$B129,$AF$3:$AF$870,"&gt;="&amp;$B129)=0,0,9.99),SUMIFS($AD$3:$AD$870,$AC$3:$AC$870,J$23,$AE$3:$AE$870,"&lt;="&amp;$B129,$AF$3:$AF$870,"&gt;="&amp;$B129)/INDEX('01_INPUTS'!$E$17:$E$31,MATCH(J$23,'01_INPUTS'!$B$17:$B$31,0)))</f>
        <v>0</v>
      </c>
      <c r="K129" s="61">
        <f>IF(INDEX('01_INPUTS'!$E$17:$E$31,MATCH(K$23,'01_INPUTS'!$B$17:$B$31,0))=0,IF(SUMIFS($AD$3:$AD$870,$AC$3:$AC$870,K$23,$AE$3:$AE$870,"&lt;="&amp;$B129,$AF$3:$AF$870,"&gt;="&amp;$B129)=0,0,9.99),SUMIFS($AD$3:$AD$870,$AC$3:$AC$870,K$23,$AE$3:$AE$870,"&lt;="&amp;$B129,$AF$3:$AF$870,"&gt;="&amp;$B129)/INDEX('01_INPUTS'!$E$17:$E$31,MATCH(K$23,'01_INPUTS'!$B$17:$B$31,0)))</f>
        <v>0</v>
      </c>
      <c r="L129" s="61">
        <f>IF(INDEX('01_INPUTS'!$E$17:$E$31,MATCH(L$23,'01_INPUTS'!$B$17:$B$31,0))=0,IF(SUMIFS($AD$3:$AD$870,$AC$3:$AC$870,L$23,$AE$3:$AE$870,"&lt;="&amp;$B129,$AF$3:$AF$870,"&gt;="&amp;$B129)=0,0,9.99),SUMIFS($AD$3:$AD$870,$AC$3:$AC$870,L$23,$AE$3:$AE$870,"&lt;="&amp;$B129,$AF$3:$AF$870,"&gt;="&amp;$B129)/INDEX('01_INPUTS'!$E$17:$E$31,MATCH(L$23,'01_INPUTS'!$B$17:$B$31,0)))</f>
        <v>0</v>
      </c>
      <c r="M129" s="61">
        <f>IF(INDEX('01_INPUTS'!$E$17:$E$31,MATCH(M$23,'01_INPUTS'!$B$17:$B$31,0))=0,IF(SUMIFS($AD$3:$AD$870,$AC$3:$AC$870,M$23,$AE$3:$AE$870,"&lt;="&amp;$B129,$AF$3:$AF$870,"&gt;="&amp;$B129)=0,0,9.99),SUMIFS($AD$3:$AD$870,$AC$3:$AC$870,M$23,$AE$3:$AE$870,"&lt;="&amp;$B129,$AF$3:$AF$870,"&gt;="&amp;$B129)/INDEX('01_INPUTS'!$E$17:$E$31,MATCH(M$23,'01_INPUTS'!$B$17:$B$31,0)))</f>
        <v>0</v>
      </c>
      <c r="N129" s="61">
        <f>IF(INDEX('01_INPUTS'!$E$17:$E$31,MATCH(N$23,'01_INPUTS'!$B$17:$B$31,0))=0,IF(SUMIFS($AD$3:$AD$870,$AC$3:$AC$870,N$23,$AE$3:$AE$870,"&lt;="&amp;$B129,$AF$3:$AF$870,"&gt;="&amp;$B129)=0,0,9.99),SUMIFS($AD$3:$AD$870,$AC$3:$AC$870,N$23,$AE$3:$AE$870,"&lt;="&amp;$B129,$AF$3:$AF$870,"&gt;="&amp;$B129)/INDEX('01_INPUTS'!$E$17:$E$31,MATCH(N$23,'01_INPUTS'!$B$17:$B$31,0)))</f>
        <v>0</v>
      </c>
      <c r="O129" s="61">
        <f>IF(INDEX('01_INPUTS'!$E$17:$E$31,MATCH(O$23,'01_INPUTS'!$B$17:$B$31,0))=0,IF(SUMIFS($AD$3:$AD$870,$AC$3:$AC$870,O$23,$AE$3:$AE$870,"&lt;="&amp;$B129,$AF$3:$AF$870,"&gt;="&amp;$B129)=0,0,9.99),SUMIFS($AD$3:$AD$870,$AC$3:$AC$870,O$23,$AE$3:$AE$870,"&lt;="&amp;$B129,$AF$3:$AF$870,"&gt;="&amp;$B129)/INDEX('01_INPUTS'!$E$17:$E$31,MATCH(O$23,'01_INPUTS'!$B$17:$B$31,0)))</f>
        <v>0</v>
      </c>
      <c r="P129" s="61">
        <f>IF(INDEX('01_INPUTS'!$E$17:$E$31,MATCH(P$23,'01_INPUTS'!$B$17:$B$31,0))=0,IF(SUMIFS($AD$3:$AD$870,$AC$3:$AC$870,P$23,$AE$3:$AE$870,"&lt;="&amp;$B129,$AF$3:$AF$870,"&gt;="&amp;$B129)=0,0,9.99),SUMIFS($AD$3:$AD$870,$AC$3:$AC$870,P$23,$AE$3:$AE$870,"&lt;="&amp;$B129,$AF$3:$AF$870,"&gt;="&amp;$B129)/INDEX('01_INPUTS'!$E$17:$E$31,MATCH(P$23,'01_INPUTS'!$B$17:$B$31,0)))</f>
        <v>0</v>
      </c>
      <c r="Q129" s="61">
        <f>IF(INDEX('01_INPUTS'!$E$17:$E$31,MATCH(Q$23,'01_INPUTS'!$B$17:$B$31,0))=0,IF(SUMIFS($AD$3:$AD$870,$AC$3:$AC$870,Q$23,$AE$3:$AE$870,"&lt;="&amp;$B129,$AF$3:$AF$870,"&gt;="&amp;$B129)=0,0,9.99),SUMIFS($AD$3:$AD$870,$AC$3:$AC$870,Q$23,$AE$3:$AE$870,"&lt;="&amp;$B129,$AF$3:$AF$870,"&gt;="&amp;$B129)/INDEX('01_INPUTS'!$E$17:$E$31,MATCH(Q$23,'01_INPUTS'!$B$17:$B$31,0)))</f>
        <v>0</v>
      </c>
      <c r="R129" s="61">
        <f>IF(INDEX('01_INPUTS'!$E$17:$E$31,MATCH(R$23,'01_INPUTS'!$B$17:$B$31,0))=0,IF(SUMIFS($AD$3:$AD$870,$AC$3:$AC$870,R$23,$AE$3:$AE$870,"&lt;="&amp;$B129,$AF$3:$AF$870,"&gt;="&amp;$B129)=0,0,9.99),SUMIFS($AD$3:$AD$870,$AC$3:$AC$870,R$23,$AE$3:$AE$870,"&lt;="&amp;$B129,$AF$3:$AF$870,"&gt;="&amp;$B129)/INDEX('01_INPUTS'!$E$17:$E$31,MATCH(R$23,'01_INPUTS'!$B$17:$B$31,0)))</f>
        <v>0</v>
      </c>
      <c r="S129">
        <f t="shared" si="14"/>
        <v>0</v>
      </c>
      <c r="T129">
        <f>SUM('01_INPUTS'!$E$17:$E$31)</f>
        <v>20</v>
      </c>
      <c r="U129" s="61">
        <f t="shared" si="15"/>
        <v>0</v>
      </c>
      <c r="V129">
        <f t="shared" si="16"/>
        <v>0</v>
      </c>
      <c r="W129" t="str">
        <f t="shared" si="17"/>
        <v>VERDE</v>
      </c>
      <c r="AA129" s="51" t="str">
        <f>'Sites Master'!$B$4</f>
        <v>Site 03</v>
      </c>
      <c r="AB129" s="51" t="str">
        <f>'Phase-Resource Allocation'!$B$66</f>
        <v>Design Adaptation</v>
      </c>
      <c r="AC129" s="51" t="str">
        <f>'Phase-Resource Allocation'!$C$66</f>
        <v>Solution Architect</v>
      </c>
      <c r="AD129" s="60">
        <f>'Phase-Resource Allocation'!$D$66</f>
        <v>1</v>
      </c>
      <c r="AE129" s="51">
        <f>IFERROR(INDEX('02_SCHEDULE'!$K$5:$K$124,MATCH(AA129&amp;"|"&amp;AB129,'02_SCHEDULE'!$M$5:$M$124,0)),0)</f>
        <v>5</v>
      </c>
      <c r="AF129" s="51">
        <f>IFERROR(INDEX('02_SCHEDULE'!$L$5:$L$124,MATCH(AA129&amp;"|"&amp;AB129,'02_SCHEDULE'!$M$5:$M$124,0)),0)</f>
        <v>5</v>
      </c>
      <c r="AG129" s="51">
        <f t="shared" si="9"/>
        <v>1</v>
      </c>
    </row>
    <row r="130" spans="2:33" x14ac:dyDescent="0.3">
      <c r="B130">
        <f>107</f>
        <v>107</v>
      </c>
      <c r="C130" s="55">
        <f>'01_INPUTS'!$C$7+(107-1)*7</f>
        <v>46993</v>
      </c>
      <c r="D130" s="61">
        <f>IF(INDEX('01_INPUTS'!$E$17:$E$31,MATCH(D$23,'01_INPUTS'!$B$17:$B$31,0))=0,IF(SUMIFS($AD$3:$AD$870,$AC$3:$AC$870,D$23,$AE$3:$AE$870,"&lt;="&amp;$B130,$AF$3:$AF$870,"&gt;="&amp;$B130)=0,0,9.99),SUMIFS($AD$3:$AD$870,$AC$3:$AC$870,D$23,$AE$3:$AE$870,"&lt;="&amp;$B130,$AF$3:$AF$870,"&gt;="&amp;$B130)/INDEX('01_INPUTS'!$E$17:$E$31,MATCH(D$23,'01_INPUTS'!$B$17:$B$31,0)))</f>
        <v>0</v>
      </c>
      <c r="E130" s="61">
        <f>IF(INDEX('01_INPUTS'!$E$17:$E$31,MATCH(E$23,'01_INPUTS'!$B$17:$B$31,0))=0,IF(SUMIFS($AD$3:$AD$870,$AC$3:$AC$870,E$23,$AE$3:$AE$870,"&lt;="&amp;$B130,$AF$3:$AF$870,"&gt;="&amp;$B130)=0,0,9.99),SUMIFS($AD$3:$AD$870,$AC$3:$AC$870,E$23,$AE$3:$AE$870,"&lt;="&amp;$B130,$AF$3:$AF$870,"&gt;="&amp;$B130)/INDEX('01_INPUTS'!$E$17:$E$31,MATCH(E$23,'01_INPUTS'!$B$17:$B$31,0)))</f>
        <v>0</v>
      </c>
      <c r="F130" s="61">
        <f>IF(INDEX('01_INPUTS'!$E$17:$E$31,MATCH(F$23,'01_INPUTS'!$B$17:$B$31,0))=0,IF(SUMIFS($AD$3:$AD$870,$AC$3:$AC$870,F$23,$AE$3:$AE$870,"&lt;="&amp;$B130,$AF$3:$AF$870,"&gt;="&amp;$B130)=0,0,9.99),SUMIFS($AD$3:$AD$870,$AC$3:$AC$870,F$23,$AE$3:$AE$870,"&lt;="&amp;$B130,$AF$3:$AF$870,"&gt;="&amp;$B130)/INDEX('01_INPUTS'!$E$17:$E$31,MATCH(F$23,'01_INPUTS'!$B$17:$B$31,0)))</f>
        <v>0</v>
      </c>
      <c r="G130" s="61">
        <f>IF(INDEX('01_INPUTS'!$E$17:$E$31,MATCH(G$23,'01_INPUTS'!$B$17:$B$31,0))=0,IF(SUMIFS($AD$3:$AD$870,$AC$3:$AC$870,G$23,$AE$3:$AE$870,"&lt;="&amp;$B130,$AF$3:$AF$870,"&gt;="&amp;$B130)=0,0,9.99),SUMIFS($AD$3:$AD$870,$AC$3:$AC$870,G$23,$AE$3:$AE$870,"&lt;="&amp;$B130,$AF$3:$AF$870,"&gt;="&amp;$B130)/INDEX('01_INPUTS'!$E$17:$E$31,MATCH(G$23,'01_INPUTS'!$B$17:$B$31,0)))</f>
        <v>0</v>
      </c>
      <c r="H130" s="61">
        <f>IF(INDEX('01_INPUTS'!$E$17:$E$31,MATCH(H$23,'01_INPUTS'!$B$17:$B$31,0))=0,IF(SUMIFS($AD$3:$AD$870,$AC$3:$AC$870,H$23,$AE$3:$AE$870,"&lt;="&amp;$B130,$AF$3:$AF$870,"&gt;="&amp;$B130)=0,0,9.99),SUMIFS($AD$3:$AD$870,$AC$3:$AC$870,H$23,$AE$3:$AE$870,"&lt;="&amp;$B130,$AF$3:$AF$870,"&gt;="&amp;$B130)/INDEX('01_INPUTS'!$E$17:$E$31,MATCH(H$23,'01_INPUTS'!$B$17:$B$31,0)))</f>
        <v>0</v>
      </c>
      <c r="I130" s="61">
        <f>IF(INDEX('01_INPUTS'!$E$17:$E$31,MATCH(I$23,'01_INPUTS'!$B$17:$B$31,0))=0,IF(SUMIFS($AD$3:$AD$870,$AC$3:$AC$870,I$23,$AE$3:$AE$870,"&lt;="&amp;$B130,$AF$3:$AF$870,"&gt;="&amp;$B130)=0,0,9.99),SUMIFS($AD$3:$AD$870,$AC$3:$AC$870,I$23,$AE$3:$AE$870,"&lt;="&amp;$B130,$AF$3:$AF$870,"&gt;="&amp;$B130)/INDEX('01_INPUTS'!$E$17:$E$31,MATCH(I$23,'01_INPUTS'!$B$17:$B$31,0)))</f>
        <v>0</v>
      </c>
      <c r="J130" s="61">
        <f>IF(INDEX('01_INPUTS'!$E$17:$E$31,MATCH(J$23,'01_INPUTS'!$B$17:$B$31,0))=0,IF(SUMIFS($AD$3:$AD$870,$AC$3:$AC$870,J$23,$AE$3:$AE$870,"&lt;="&amp;$B130,$AF$3:$AF$870,"&gt;="&amp;$B130)=0,0,9.99),SUMIFS($AD$3:$AD$870,$AC$3:$AC$870,J$23,$AE$3:$AE$870,"&lt;="&amp;$B130,$AF$3:$AF$870,"&gt;="&amp;$B130)/INDEX('01_INPUTS'!$E$17:$E$31,MATCH(J$23,'01_INPUTS'!$B$17:$B$31,0)))</f>
        <v>0</v>
      </c>
      <c r="K130" s="61">
        <f>IF(INDEX('01_INPUTS'!$E$17:$E$31,MATCH(K$23,'01_INPUTS'!$B$17:$B$31,0))=0,IF(SUMIFS($AD$3:$AD$870,$AC$3:$AC$870,K$23,$AE$3:$AE$870,"&lt;="&amp;$B130,$AF$3:$AF$870,"&gt;="&amp;$B130)=0,0,9.99),SUMIFS($AD$3:$AD$870,$AC$3:$AC$870,K$23,$AE$3:$AE$870,"&lt;="&amp;$B130,$AF$3:$AF$870,"&gt;="&amp;$B130)/INDEX('01_INPUTS'!$E$17:$E$31,MATCH(K$23,'01_INPUTS'!$B$17:$B$31,0)))</f>
        <v>0</v>
      </c>
      <c r="L130" s="61">
        <f>IF(INDEX('01_INPUTS'!$E$17:$E$31,MATCH(L$23,'01_INPUTS'!$B$17:$B$31,0))=0,IF(SUMIFS($AD$3:$AD$870,$AC$3:$AC$870,L$23,$AE$3:$AE$870,"&lt;="&amp;$B130,$AF$3:$AF$870,"&gt;="&amp;$B130)=0,0,9.99),SUMIFS($AD$3:$AD$870,$AC$3:$AC$870,L$23,$AE$3:$AE$870,"&lt;="&amp;$B130,$AF$3:$AF$870,"&gt;="&amp;$B130)/INDEX('01_INPUTS'!$E$17:$E$31,MATCH(L$23,'01_INPUTS'!$B$17:$B$31,0)))</f>
        <v>0</v>
      </c>
      <c r="M130" s="61">
        <f>IF(INDEX('01_INPUTS'!$E$17:$E$31,MATCH(M$23,'01_INPUTS'!$B$17:$B$31,0))=0,IF(SUMIFS($AD$3:$AD$870,$AC$3:$AC$870,M$23,$AE$3:$AE$870,"&lt;="&amp;$B130,$AF$3:$AF$870,"&gt;="&amp;$B130)=0,0,9.99),SUMIFS($AD$3:$AD$870,$AC$3:$AC$870,M$23,$AE$3:$AE$870,"&lt;="&amp;$B130,$AF$3:$AF$870,"&gt;="&amp;$B130)/INDEX('01_INPUTS'!$E$17:$E$31,MATCH(M$23,'01_INPUTS'!$B$17:$B$31,0)))</f>
        <v>0</v>
      </c>
      <c r="N130" s="61">
        <f>IF(INDEX('01_INPUTS'!$E$17:$E$31,MATCH(N$23,'01_INPUTS'!$B$17:$B$31,0))=0,IF(SUMIFS($AD$3:$AD$870,$AC$3:$AC$870,N$23,$AE$3:$AE$870,"&lt;="&amp;$B130,$AF$3:$AF$870,"&gt;="&amp;$B130)=0,0,9.99),SUMIFS($AD$3:$AD$870,$AC$3:$AC$870,N$23,$AE$3:$AE$870,"&lt;="&amp;$B130,$AF$3:$AF$870,"&gt;="&amp;$B130)/INDEX('01_INPUTS'!$E$17:$E$31,MATCH(N$23,'01_INPUTS'!$B$17:$B$31,0)))</f>
        <v>0</v>
      </c>
      <c r="O130" s="61">
        <f>IF(INDEX('01_INPUTS'!$E$17:$E$31,MATCH(O$23,'01_INPUTS'!$B$17:$B$31,0))=0,IF(SUMIFS($AD$3:$AD$870,$AC$3:$AC$870,O$23,$AE$3:$AE$870,"&lt;="&amp;$B130,$AF$3:$AF$870,"&gt;="&amp;$B130)=0,0,9.99),SUMIFS($AD$3:$AD$870,$AC$3:$AC$870,O$23,$AE$3:$AE$870,"&lt;="&amp;$B130,$AF$3:$AF$870,"&gt;="&amp;$B130)/INDEX('01_INPUTS'!$E$17:$E$31,MATCH(O$23,'01_INPUTS'!$B$17:$B$31,0)))</f>
        <v>0</v>
      </c>
      <c r="P130" s="61">
        <f>IF(INDEX('01_INPUTS'!$E$17:$E$31,MATCH(P$23,'01_INPUTS'!$B$17:$B$31,0))=0,IF(SUMIFS($AD$3:$AD$870,$AC$3:$AC$870,P$23,$AE$3:$AE$870,"&lt;="&amp;$B130,$AF$3:$AF$870,"&gt;="&amp;$B130)=0,0,9.99),SUMIFS($AD$3:$AD$870,$AC$3:$AC$870,P$23,$AE$3:$AE$870,"&lt;="&amp;$B130,$AF$3:$AF$870,"&gt;="&amp;$B130)/INDEX('01_INPUTS'!$E$17:$E$31,MATCH(P$23,'01_INPUTS'!$B$17:$B$31,0)))</f>
        <v>0</v>
      </c>
      <c r="Q130" s="61">
        <f>IF(INDEX('01_INPUTS'!$E$17:$E$31,MATCH(Q$23,'01_INPUTS'!$B$17:$B$31,0))=0,IF(SUMIFS($AD$3:$AD$870,$AC$3:$AC$870,Q$23,$AE$3:$AE$870,"&lt;="&amp;$B130,$AF$3:$AF$870,"&gt;="&amp;$B130)=0,0,9.99),SUMIFS($AD$3:$AD$870,$AC$3:$AC$870,Q$23,$AE$3:$AE$870,"&lt;="&amp;$B130,$AF$3:$AF$870,"&gt;="&amp;$B130)/INDEX('01_INPUTS'!$E$17:$E$31,MATCH(Q$23,'01_INPUTS'!$B$17:$B$31,0)))</f>
        <v>0</v>
      </c>
      <c r="R130" s="61">
        <f>IF(INDEX('01_INPUTS'!$E$17:$E$31,MATCH(R$23,'01_INPUTS'!$B$17:$B$31,0))=0,IF(SUMIFS($AD$3:$AD$870,$AC$3:$AC$870,R$23,$AE$3:$AE$870,"&lt;="&amp;$B130,$AF$3:$AF$870,"&gt;="&amp;$B130)=0,0,9.99),SUMIFS($AD$3:$AD$870,$AC$3:$AC$870,R$23,$AE$3:$AE$870,"&lt;="&amp;$B130,$AF$3:$AF$870,"&gt;="&amp;$B130)/INDEX('01_INPUTS'!$E$17:$E$31,MATCH(R$23,'01_INPUTS'!$B$17:$B$31,0)))</f>
        <v>0</v>
      </c>
      <c r="S130">
        <f t="shared" si="14"/>
        <v>0</v>
      </c>
      <c r="T130">
        <f>SUM('01_INPUTS'!$E$17:$E$31)</f>
        <v>20</v>
      </c>
      <c r="U130" s="61">
        <f t="shared" si="15"/>
        <v>0</v>
      </c>
      <c r="V130">
        <f t="shared" si="16"/>
        <v>0</v>
      </c>
      <c r="W130" t="str">
        <f t="shared" si="17"/>
        <v>VERDE</v>
      </c>
      <c r="AA130" s="51" t="str">
        <f>'Sites Master'!$B$4</f>
        <v>Site 03</v>
      </c>
      <c r="AB130" s="51" t="str">
        <f>'Phase-Resource Allocation'!$B$67</f>
        <v>Design Adaptation</v>
      </c>
      <c r="AC130" s="51" t="str">
        <f>'Phase-Resource Allocation'!$C$67</f>
        <v>SAP Integrations Lead</v>
      </c>
      <c r="AD130" s="60">
        <f>'Phase-Resource Allocation'!$D$67</f>
        <v>0.5</v>
      </c>
      <c r="AE130" s="51">
        <f>IFERROR(INDEX('02_SCHEDULE'!$K$5:$K$124,MATCH(AA130&amp;"|"&amp;AB130,'02_SCHEDULE'!$M$5:$M$124,0)),0)</f>
        <v>5</v>
      </c>
      <c r="AF130" s="51">
        <f>IFERROR(INDEX('02_SCHEDULE'!$L$5:$L$124,MATCH(AA130&amp;"|"&amp;AB130,'02_SCHEDULE'!$M$5:$M$124,0)),0)</f>
        <v>5</v>
      </c>
      <c r="AG130" s="51">
        <f t="shared" si="9"/>
        <v>0.5</v>
      </c>
    </row>
    <row r="131" spans="2:33" x14ac:dyDescent="0.3">
      <c r="B131">
        <f>108</f>
        <v>108</v>
      </c>
      <c r="C131" s="55">
        <f>'01_INPUTS'!$C$7+(108-1)*7</f>
        <v>47000</v>
      </c>
      <c r="D131" s="61">
        <f>IF(INDEX('01_INPUTS'!$E$17:$E$31,MATCH(D$23,'01_INPUTS'!$B$17:$B$31,0))=0,IF(SUMIFS($AD$3:$AD$870,$AC$3:$AC$870,D$23,$AE$3:$AE$870,"&lt;="&amp;$B131,$AF$3:$AF$870,"&gt;="&amp;$B131)=0,0,9.99),SUMIFS($AD$3:$AD$870,$AC$3:$AC$870,D$23,$AE$3:$AE$870,"&lt;="&amp;$B131,$AF$3:$AF$870,"&gt;="&amp;$B131)/INDEX('01_INPUTS'!$E$17:$E$31,MATCH(D$23,'01_INPUTS'!$B$17:$B$31,0)))</f>
        <v>0</v>
      </c>
      <c r="E131" s="61">
        <f>IF(INDEX('01_INPUTS'!$E$17:$E$31,MATCH(E$23,'01_INPUTS'!$B$17:$B$31,0))=0,IF(SUMIFS($AD$3:$AD$870,$AC$3:$AC$870,E$23,$AE$3:$AE$870,"&lt;="&amp;$B131,$AF$3:$AF$870,"&gt;="&amp;$B131)=0,0,9.99),SUMIFS($AD$3:$AD$870,$AC$3:$AC$870,E$23,$AE$3:$AE$870,"&lt;="&amp;$B131,$AF$3:$AF$870,"&gt;="&amp;$B131)/INDEX('01_INPUTS'!$E$17:$E$31,MATCH(E$23,'01_INPUTS'!$B$17:$B$31,0)))</f>
        <v>0</v>
      </c>
      <c r="F131" s="61">
        <f>IF(INDEX('01_INPUTS'!$E$17:$E$31,MATCH(F$23,'01_INPUTS'!$B$17:$B$31,0))=0,IF(SUMIFS($AD$3:$AD$870,$AC$3:$AC$870,F$23,$AE$3:$AE$870,"&lt;="&amp;$B131,$AF$3:$AF$870,"&gt;="&amp;$B131)=0,0,9.99),SUMIFS($AD$3:$AD$870,$AC$3:$AC$870,F$23,$AE$3:$AE$870,"&lt;="&amp;$B131,$AF$3:$AF$870,"&gt;="&amp;$B131)/INDEX('01_INPUTS'!$E$17:$E$31,MATCH(F$23,'01_INPUTS'!$B$17:$B$31,0)))</f>
        <v>0</v>
      </c>
      <c r="G131" s="61">
        <f>IF(INDEX('01_INPUTS'!$E$17:$E$31,MATCH(G$23,'01_INPUTS'!$B$17:$B$31,0))=0,IF(SUMIFS($AD$3:$AD$870,$AC$3:$AC$870,G$23,$AE$3:$AE$870,"&lt;="&amp;$B131,$AF$3:$AF$870,"&gt;="&amp;$B131)=0,0,9.99),SUMIFS($AD$3:$AD$870,$AC$3:$AC$870,G$23,$AE$3:$AE$870,"&lt;="&amp;$B131,$AF$3:$AF$870,"&gt;="&amp;$B131)/INDEX('01_INPUTS'!$E$17:$E$31,MATCH(G$23,'01_INPUTS'!$B$17:$B$31,0)))</f>
        <v>0</v>
      </c>
      <c r="H131" s="61">
        <f>IF(INDEX('01_INPUTS'!$E$17:$E$31,MATCH(H$23,'01_INPUTS'!$B$17:$B$31,0))=0,IF(SUMIFS($AD$3:$AD$870,$AC$3:$AC$870,H$23,$AE$3:$AE$870,"&lt;="&amp;$B131,$AF$3:$AF$870,"&gt;="&amp;$B131)=0,0,9.99),SUMIFS($AD$3:$AD$870,$AC$3:$AC$870,H$23,$AE$3:$AE$870,"&lt;="&amp;$B131,$AF$3:$AF$870,"&gt;="&amp;$B131)/INDEX('01_INPUTS'!$E$17:$E$31,MATCH(H$23,'01_INPUTS'!$B$17:$B$31,0)))</f>
        <v>0</v>
      </c>
      <c r="I131" s="61">
        <f>IF(INDEX('01_INPUTS'!$E$17:$E$31,MATCH(I$23,'01_INPUTS'!$B$17:$B$31,0))=0,IF(SUMIFS($AD$3:$AD$870,$AC$3:$AC$870,I$23,$AE$3:$AE$870,"&lt;="&amp;$B131,$AF$3:$AF$870,"&gt;="&amp;$B131)=0,0,9.99),SUMIFS($AD$3:$AD$870,$AC$3:$AC$870,I$23,$AE$3:$AE$870,"&lt;="&amp;$B131,$AF$3:$AF$870,"&gt;="&amp;$B131)/INDEX('01_INPUTS'!$E$17:$E$31,MATCH(I$23,'01_INPUTS'!$B$17:$B$31,0)))</f>
        <v>0</v>
      </c>
      <c r="J131" s="61">
        <f>IF(INDEX('01_INPUTS'!$E$17:$E$31,MATCH(J$23,'01_INPUTS'!$B$17:$B$31,0))=0,IF(SUMIFS($AD$3:$AD$870,$AC$3:$AC$870,J$23,$AE$3:$AE$870,"&lt;="&amp;$B131,$AF$3:$AF$870,"&gt;="&amp;$B131)=0,0,9.99),SUMIFS($AD$3:$AD$870,$AC$3:$AC$870,J$23,$AE$3:$AE$870,"&lt;="&amp;$B131,$AF$3:$AF$870,"&gt;="&amp;$B131)/INDEX('01_INPUTS'!$E$17:$E$31,MATCH(J$23,'01_INPUTS'!$B$17:$B$31,0)))</f>
        <v>0</v>
      </c>
      <c r="K131" s="61">
        <f>IF(INDEX('01_INPUTS'!$E$17:$E$31,MATCH(K$23,'01_INPUTS'!$B$17:$B$31,0))=0,IF(SUMIFS($AD$3:$AD$870,$AC$3:$AC$870,K$23,$AE$3:$AE$870,"&lt;="&amp;$B131,$AF$3:$AF$870,"&gt;="&amp;$B131)=0,0,9.99),SUMIFS($AD$3:$AD$870,$AC$3:$AC$870,K$23,$AE$3:$AE$870,"&lt;="&amp;$B131,$AF$3:$AF$870,"&gt;="&amp;$B131)/INDEX('01_INPUTS'!$E$17:$E$31,MATCH(K$23,'01_INPUTS'!$B$17:$B$31,0)))</f>
        <v>0</v>
      </c>
      <c r="L131" s="61">
        <f>IF(INDEX('01_INPUTS'!$E$17:$E$31,MATCH(L$23,'01_INPUTS'!$B$17:$B$31,0))=0,IF(SUMIFS($AD$3:$AD$870,$AC$3:$AC$870,L$23,$AE$3:$AE$870,"&lt;="&amp;$B131,$AF$3:$AF$870,"&gt;="&amp;$B131)=0,0,9.99),SUMIFS($AD$3:$AD$870,$AC$3:$AC$870,L$23,$AE$3:$AE$870,"&lt;="&amp;$B131,$AF$3:$AF$870,"&gt;="&amp;$B131)/INDEX('01_INPUTS'!$E$17:$E$31,MATCH(L$23,'01_INPUTS'!$B$17:$B$31,0)))</f>
        <v>0</v>
      </c>
      <c r="M131" s="61">
        <f>IF(INDEX('01_INPUTS'!$E$17:$E$31,MATCH(M$23,'01_INPUTS'!$B$17:$B$31,0))=0,IF(SUMIFS($AD$3:$AD$870,$AC$3:$AC$870,M$23,$AE$3:$AE$870,"&lt;="&amp;$B131,$AF$3:$AF$870,"&gt;="&amp;$B131)=0,0,9.99),SUMIFS($AD$3:$AD$870,$AC$3:$AC$870,M$23,$AE$3:$AE$870,"&lt;="&amp;$B131,$AF$3:$AF$870,"&gt;="&amp;$B131)/INDEX('01_INPUTS'!$E$17:$E$31,MATCH(M$23,'01_INPUTS'!$B$17:$B$31,0)))</f>
        <v>0</v>
      </c>
      <c r="N131" s="61">
        <f>IF(INDEX('01_INPUTS'!$E$17:$E$31,MATCH(N$23,'01_INPUTS'!$B$17:$B$31,0))=0,IF(SUMIFS($AD$3:$AD$870,$AC$3:$AC$870,N$23,$AE$3:$AE$870,"&lt;="&amp;$B131,$AF$3:$AF$870,"&gt;="&amp;$B131)=0,0,9.99),SUMIFS($AD$3:$AD$870,$AC$3:$AC$870,N$23,$AE$3:$AE$870,"&lt;="&amp;$B131,$AF$3:$AF$870,"&gt;="&amp;$B131)/INDEX('01_INPUTS'!$E$17:$E$31,MATCH(N$23,'01_INPUTS'!$B$17:$B$31,0)))</f>
        <v>0</v>
      </c>
      <c r="O131" s="61">
        <f>IF(INDEX('01_INPUTS'!$E$17:$E$31,MATCH(O$23,'01_INPUTS'!$B$17:$B$31,0))=0,IF(SUMIFS($AD$3:$AD$870,$AC$3:$AC$870,O$23,$AE$3:$AE$870,"&lt;="&amp;$B131,$AF$3:$AF$870,"&gt;="&amp;$B131)=0,0,9.99),SUMIFS($AD$3:$AD$870,$AC$3:$AC$870,O$23,$AE$3:$AE$870,"&lt;="&amp;$B131,$AF$3:$AF$870,"&gt;="&amp;$B131)/INDEX('01_INPUTS'!$E$17:$E$31,MATCH(O$23,'01_INPUTS'!$B$17:$B$31,0)))</f>
        <v>0</v>
      </c>
      <c r="P131" s="61">
        <f>IF(INDEX('01_INPUTS'!$E$17:$E$31,MATCH(P$23,'01_INPUTS'!$B$17:$B$31,0))=0,IF(SUMIFS($AD$3:$AD$870,$AC$3:$AC$870,P$23,$AE$3:$AE$870,"&lt;="&amp;$B131,$AF$3:$AF$870,"&gt;="&amp;$B131)=0,0,9.99),SUMIFS($AD$3:$AD$870,$AC$3:$AC$870,P$23,$AE$3:$AE$870,"&lt;="&amp;$B131,$AF$3:$AF$870,"&gt;="&amp;$B131)/INDEX('01_INPUTS'!$E$17:$E$31,MATCH(P$23,'01_INPUTS'!$B$17:$B$31,0)))</f>
        <v>0</v>
      </c>
      <c r="Q131" s="61">
        <f>IF(INDEX('01_INPUTS'!$E$17:$E$31,MATCH(Q$23,'01_INPUTS'!$B$17:$B$31,0))=0,IF(SUMIFS($AD$3:$AD$870,$AC$3:$AC$870,Q$23,$AE$3:$AE$870,"&lt;="&amp;$B131,$AF$3:$AF$870,"&gt;="&amp;$B131)=0,0,9.99),SUMIFS($AD$3:$AD$870,$AC$3:$AC$870,Q$23,$AE$3:$AE$870,"&lt;="&amp;$B131,$AF$3:$AF$870,"&gt;="&amp;$B131)/INDEX('01_INPUTS'!$E$17:$E$31,MATCH(Q$23,'01_INPUTS'!$B$17:$B$31,0)))</f>
        <v>0</v>
      </c>
      <c r="R131" s="61">
        <f>IF(INDEX('01_INPUTS'!$E$17:$E$31,MATCH(R$23,'01_INPUTS'!$B$17:$B$31,0))=0,IF(SUMIFS($AD$3:$AD$870,$AC$3:$AC$870,R$23,$AE$3:$AE$870,"&lt;="&amp;$B131,$AF$3:$AF$870,"&gt;="&amp;$B131)=0,0,9.99),SUMIFS($AD$3:$AD$870,$AC$3:$AC$870,R$23,$AE$3:$AE$870,"&lt;="&amp;$B131,$AF$3:$AF$870,"&gt;="&amp;$B131)/INDEX('01_INPUTS'!$E$17:$E$31,MATCH(R$23,'01_INPUTS'!$B$17:$B$31,0)))</f>
        <v>0</v>
      </c>
      <c r="S131">
        <f t="shared" si="14"/>
        <v>0</v>
      </c>
      <c r="T131">
        <f>SUM('01_INPUTS'!$E$17:$E$31)</f>
        <v>20</v>
      </c>
      <c r="U131" s="61">
        <f t="shared" si="15"/>
        <v>0</v>
      </c>
      <c r="V131">
        <f t="shared" si="16"/>
        <v>0</v>
      </c>
      <c r="W131" t="str">
        <f t="shared" si="17"/>
        <v>VERDE</v>
      </c>
      <c r="AA131" s="51" t="str">
        <f>'Sites Master'!$B$4</f>
        <v>Site 03</v>
      </c>
      <c r="AB131" s="51" t="str">
        <f>'Phase-Resource Allocation'!$B$68</f>
        <v>Design Adaptation</v>
      </c>
      <c r="AC131" s="51" t="str">
        <f>'Phase-Resource Allocation'!$C$68</f>
        <v>SAP Integrations Specialist</v>
      </c>
      <c r="AD131" s="60">
        <f>'Phase-Resource Allocation'!$D$68</f>
        <v>0.5</v>
      </c>
      <c r="AE131" s="51">
        <f>IFERROR(INDEX('02_SCHEDULE'!$K$5:$K$124,MATCH(AA131&amp;"|"&amp;AB131,'02_SCHEDULE'!$M$5:$M$124,0)),0)</f>
        <v>5</v>
      </c>
      <c r="AF131" s="51">
        <f>IFERROR(INDEX('02_SCHEDULE'!$L$5:$L$124,MATCH(AA131&amp;"|"&amp;AB131,'02_SCHEDULE'!$M$5:$M$124,0)),0)</f>
        <v>5</v>
      </c>
      <c r="AG131" s="51">
        <f t="shared" ref="AG131:AG194" si="18">AD131*(AF131-AE131+1)</f>
        <v>0.5</v>
      </c>
    </row>
    <row r="132" spans="2:33" x14ac:dyDescent="0.3">
      <c r="B132">
        <f>109</f>
        <v>109</v>
      </c>
      <c r="C132" s="55">
        <f>'01_INPUTS'!$C$7+(109-1)*7</f>
        <v>47007</v>
      </c>
      <c r="D132" s="61">
        <f>IF(INDEX('01_INPUTS'!$E$17:$E$31,MATCH(D$23,'01_INPUTS'!$B$17:$B$31,0))=0,IF(SUMIFS($AD$3:$AD$870,$AC$3:$AC$870,D$23,$AE$3:$AE$870,"&lt;="&amp;$B132,$AF$3:$AF$870,"&gt;="&amp;$B132)=0,0,9.99),SUMIFS($AD$3:$AD$870,$AC$3:$AC$870,D$23,$AE$3:$AE$870,"&lt;="&amp;$B132,$AF$3:$AF$870,"&gt;="&amp;$B132)/INDEX('01_INPUTS'!$E$17:$E$31,MATCH(D$23,'01_INPUTS'!$B$17:$B$31,0)))</f>
        <v>0</v>
      </c>
      <c r="E132" s="61">
        <f>IF(INDEX('01_INPUTS'!$E$17:$E$31,MATCH(E$23,'01_INPUTS'!$B$17:$B$31,0))=0,IF(SUMIFS($AD$3:$AD$870,$AC$3:$AC$870,E$23,$AE$3:$AE$870,"&lt;="&amp;$B132,$AF$3:$AF$870,"&gt;="&amp;$B132)=0,0,9.99),SUMIFS($AD$3:$AD$870,$AC$3:$AC$870,E$23,$AE$3:$AE$870,"&lt;="&amp;$B132,$AF$3:$AF$870,"&gt;="&amp;$B132)/INDEX('01_INPUTS'!$E$17:$E$31,MATCH(E$23,'01_INPUTS'!$B$17:$B$31,0)))</f>
        <v>0</v>
      </c>
      <c r="F132" s="61">
        <f>IF(INDEX('01_INPUTS'!$E$17:$E$31,MATCH(F$23,'01_INPUTS'!$B$17:$B$31,0))=0,IF(SUMIFS($AD$3:$AD$870,$AC$3:$AC$870,F$23,$AE$3:$AE$870,"&lt;="&amp;$B132,$AF$3:$AF$870,"&gt;="&amp;$B132)=0,0,9.99),SUMIFS($AD$3:$AD$870,$AC$3:$AC$870,F$23,$AE$3:$AE$870,"&lt;="&amp;$B132,$AF$3:$AF$870,"&gt;="&amp;$B132)/INDEX('01_INPUTS'!$E$17:$E$31,MATCH(F$23,'01_INPUTS'!$B$17:$B$31,0)))</f>
        <v>0</v>
      </c>
      <c r="G132" s="61">
        <f>IF(INDEX('01_INPUTS'!$E$17:$E$31,MATCH(G$23,'01_INPUTS'!$B$17:$B$31,0))=0,IF(SUMIFS($AD$3:$AD$870,$AC$3:$AC$870,G$23,$AE$3:$AE$870,"&lt;="&amp;$B132,$AF$3:$AF$870,"&gt;="&amp;$B132)=0,0,9.99),SUMIFS($AD$3:$AD$870,$AC$3:$AC$870,G$23,$AE$3:$AE$870,"&lt;="&amp;$B132,$AF$3:$AF$870,"&gt;="&amp;$B132)/INDEX('01_INPUTS'!$E$17:$E$31,MATCH(G$23,'01_INPUTS'!$B$17:$B$31,0)))</f>
        <v>0</v>
      </c>
      <c r="H132" s="61">
        <f>IF(INDEX('01_INPUTS'!$E$17:$E$31,MATCH(H$23,'01_INPUTS'!$B$17:$B$31,0))=0,IF(SUMIFS($AD$3:$AD$870,$AC$3:$AC$870,H$23,$AE$3:$AE$870,"&lt;="&amp;$B132,$AF$3:$AF$870,"&gt;="&amp;$B132)=0,0,9.99),SUMIFS($AD$3:$AD$870,$AC$3:$AC$870,H$23,$AE$3:$AE$870,"&lt;="&amp;$B132,$AF$3:$AF$870,"&gt;="&amp;$B132)/INDEX('01_INPUTS'!$E$17:$E$31,MATCH(H$23,'01_INPUTS'!$B$17:$B$31,0)))</f>
        <v>0</v>
      </c>
      <c r="I132" s="61">
        <f>IF(INDEX('01_INPUTS'!$E$17:$E$31,MATCH(I$23,'01_INPUTS'!$B$17:$B$31,0))=0,IF(SUMIFS($AD$3:$AD$870,$AC$3:$AC$870,I$23,$AE$3:$AE$870,"&lt;="&amp;$B132,$AF$3:$AF$870,"&gt;="&amp;$B132)=0,0,9.99),SUMIFS($AD$3:$AD$870,$AC$3:$AC$870,I$23,$AE$3:$AE$870,"&lt;="&amp;$B132,$AF$3:$AF$870,"&gt;="&amp;$B132)/INDEX('01_INPUTS'!$E$17:$E$31,MATCH(I$23,'01_INPUTS'!$B$17:$B$31,0)))</f>
        <v>0</v>
      </c>
      <c r="J132" s="61">
        <f>IF(INDEX('01_INPUTS'!$E$17:$E$31,MATCH(J$23,'01_INPUTS'!$B$17:$B$31,0))=0,IF(SUMIFS($AD$3:$AD$870,$AC$3:$AC$870,J$23,$AE$3:$AE$870,"&lt;="&amp;$B132,$AF$3:$AF$870,"&gt;="&amp;$B132)=0,0,9.99),SUMIFS($AD$3:$AD$870,$AC$3:$AC$870,J$23,$AE$3:$AE$870,"&lt;="&amp;$B132,$AF$3:$AF$870,"&gt;="&amp;$B132)/INDEX('01_INPUTS'!$E$17:$E$31,MATCH(J$23,'01_INPUTS'!$B$17:$B$31,0)))</f>
        <v>0</v>
      </c>
      <c r="K132" s="61">
        <f>IF(INDEX('01_INPUTS'!$E$17:$E$31,MATCH(K$23,'01_INPUTS'!$B$17:$B$31,0))=0,IF(SUMIFS($AD$3:$AD$870,$AC$3:$AC$870,K$23,$AE$3:$AE$870,"&lt;="&amp;$B132,$AF$3:$AF$870,"&gt;="&amp;$B132)=0,0,9.99),SUMIFS($AD$3:$AD$870,$AC$3:$AC$870,K$23,$AE$3:$AE$870,"&lt;="&amp;$B132,$AF$3:$AF$870,"&gt;="&amp;$B132)/INDEX('01_INPUTS'!$E$17:$E$31,MATCH(K$23,'01_INPUTS'!$B$17:$B$31,0)))</f>
        <v>0</v>
      </c>
      <c r="L132" s="61">
        <f>IF(INDEX('01_INPUTS'!$E$17:$E$31,MATCH(L$23,'01_INPUTS'!$B$17:$B$31,0))=0,IF(SUMIFS($AD$3:$AD$870,$AC$3:$AC$870,L$23,$AE$3:$AE$870,"&lt;="&amp;$B132,$AF$3:$AF$870,"&gt;="&amp;$B132)=0,0,9.99),SUMIFS($AD$3:$AD$870,$AC$3:$AC$870,L$23,$AE$3:$AE$870,"&lt;="&amp;$B132,$AF$3:$AF$870,"&gt;="&amp;$B132)/INDEX('01_INPUTS'!$E$17:$E$31,MATCH(L$23,'01_INPUTS'!$B$17:$B$31,0)))</f>
        <v>0</v>
      </c>
      <c r="M132" s="61">
        <f>IF(INDEX('01_INPUTS'!$E$17:$E$31,MATCH(M$23,'01_INPUTS'!$B$17:$B$31,0))=0,IF(SUMIFS($AD$3:$AD$870,$AC$3:$AC$870,M$23,$AE$3:$AE$870,"&lt;="&amp;$B132,$AF$3:$AF$870,"&gt;="&amp;$B132)=0,0,9.99),SUMIFS($AD$3:$AD$870,$AC$3:$AC$870,M$23,$AE$3:$AE$870,"&lt;="&amp;$B132,$AF$3:$AF$870,"&gt;="&amp;$B132)/INDEX('01_INPUTS'!$E$17:$E$31,MATCH(M$23,'01_INPUTS'!$B$17:$B$31,0)))</f>
        <v>0</v>
      </c>
      <c r="N132" s="61">
        <f>IF(INDEX('01_INPUTS'!$E$17:$E$31,MATCH(N$23,'01_INPUTS'!$B$17:$B$31,0))=0,IF(SUMIFS($AD$3:$AD$870,$AC$3:$AC$870,N$23,$AE$3:$AE$870,"&lt;="&amp;$B132,$AF$3:$AF$870,"&gt;="&amp;$B132)=0,0,9.99),SUMIFS($AD$3:$AD$870,$AC$3:$AC$870,N$23,$AE$3:$AE$870,"&lt;="&amp;$B132,$AF$3:$AF$870,"&gt;="&amp;$B132)/INDEX('01_INPUTS'!$E$17:$E$31,MATCH(N$23,'01_INPUTS'!$B$17:$B$31,0)))</f>
        <v>0</v>
      </c>
      <c r="O132" s="61">
        <f>IF(INDEX('01_INPUTS'!$E$17:$E$31,MATCH(O$23,'01_INPUTS'!$B$17:$B$31,0))=0,IF(SUMIFS($AD$3:$AD$870,$AC$3:$AC$870,O$23,$AE$3:$AE$870,"&lt;="&amp;$B132,$AF$3:$AF$870,"&gt;="&amp;$B132)=0,0,9.99),SUMIFS($AD$3:$AD$870,$AC$3:$AC$870,O$23,$AE$3:$AE$870,"&lt;="&amp;$B132,$AF$3:$AF$870,"&gt;="&amp;$B132)/INDEX('01_INPUTS'!$E$17:$E$31,MATCH(O$23,'01_INPUTS'!$B$17:$B$31,0)))</f>
        <v>0</v>
      </c>
      <c r="P132" s="61">
        <f>IF(INDEX('01_INPUTS'!$E$17:$E$31,MATCH(P$23,'01_INPUTS'!$B$17:$B$31,0))=0,IF(SUMIFS($AD$3:$AD$870,$AC$3:$AC$870,P$23,$AE$3:$AE$870,"&lt;="&amp;$B132,$AF$3:$AF$870,"&gt;="&amp;$B132)=0,0,9.99),SUMIFS($AD$3:$AD$870,$AC$3:$AC$870,P$23,$AE$3:$AE$870,"&lt;="&amp;$B132,$AF$3:$AF$870,"&gt;="&amp;$B132)/INDEX('01_INPUTS'!$E$17:$E$31,MATCH(P$23,'01_INPUTS'!$B$17:$B$31,0)))</f>
        <v>0</v>
      </c>
      <c r="Q132" s="61">
        <f>IF(INDEX('01_INPUTS'!$E$17:$E$31,MATCH(Q$23,'01_INPUTS'!$B$17:$B$31,0))=0,IF(SUMIFS($AD$3:$AD$870,$AC$3:$AC$870,Q$23,$AE$3:$AE$870,"&lt;="&amp;$B132,$AF$3:$AF$870,"&gt;="&amp;$B132)=0,0,9.99),SUMIFS($AD$3:$AD$870,$AC$3:$AC$870,Q$23,$AE$3:$AE$870,"&lt;="&amp;$B132,$AF$3:$AF$870,"&gt;="&amp;$B132)/INDEX('01_INPUTS'!$E$17:$E$31,MATCH(Q$23,'01_INPUTS'!$B$17:$B$31,0)))</f>
        <v>0</v>
      </c>
      <c r="R132" s="61">
        <f>IF(INDEX('01_INPUTS'!$E$17:$E$31,MATCH(R$23,'01_INPUTS'!$B$17:$B$31,0))=0,IF(SUMIFS($AD$3:$AD$870,$AC$3:$AC$870,R$23,$AE$3:$AE$870,"&lt;="&amp;$B132,$AF$3:$AF$870,"&gt;="&amp;$B132)=0,0,9.99),SUMIFS($AD$3:$AD$870,$AC$3:$AC$870,R$23,$AE$3:$AE$870,"&lt;="&amp;$B132,$AF$3:$AF$870,"&gt;="&amp;$B132)/INDEX('01_INPUTS'!$E$17:$E$31,MATCH(R$23,'01_INPUTS'!$B$17:$B$31,0)))</f>
        <v>0</v>
      </c>
      <c r="S132">
        <f t="shared" si="14"/>
        <v>0</v>
      </c>
      <c r="T132">
        <f>SUM('01_INPUTS'!$E$17:$E$31)</f>
        <v>20</v>
      </c>
      <c r="U132" s="61">
        <f t="shared" si="15"/>
        <v>0</v>
      </c>
      <c r="V132">
        <f t="shared" si="16"/>
        <v>0</v>
      </c>
      <c r="W132" t="str">
        <f t="shared" si="17"/>
        <v>VERDE</v>
      </c>
      <c r="AA132" s="51" t="str">
        <f>'Sites Master'!$B$4</f>
        <v>Site 03</v>
      </c>
      <c r="AB132" s="51" t="str">
        <f>'Phase-Resource Allocation'!$B$69</f>
        <v>Design Adaptation</v>
      </c>
      <c r="AC132" s="51" t="str">
        <f>'Phase-Resource Allocation'!$C$69</f>
        <v>Azure Lead</v>
      </c>
      <c r="AD132" s="60">
        <f>'Phase-Resource Allocation'!$D$69</f>
        <v>0.5</v>
      </c>
      <c r="AE132" s="51">
        <f>IFERROR(INDEX('02_SCHEDULE'!$K$5:$K$124,MATCH(AA132&amp;"|"&amp;AB132,'02_SCHEDULE'!$M$5:$M$124,0)),0)</f>
        <v>5</v>
      </c>
      <c r="AF132" s="51">
        <f>IFERROR(INDEX('02_SCHEDULE'!$L$5:$L$124,MATCH(AA132&amp;"|"&amp;AB132,'02_SCHEDULE'!$M$5:$M$124,0)),0)</f>
        <v>5</v>
      </c>
      <c r="AG132" s="51">
        <f t="shared" si="18"/>
        <v>0.5</v>
      </c>
    </row>
    <row r="133" spans="2:33" x14ac:dyDescent="0.3">
      <c r="B133">
        <f>110</f>
        <v>110</v>
      </c>
      <c r="C133" s="55">
        <f>'01_INPUTS'!$C$7+(110-1)*7</f>
        <v>47014</v>
      </c>
      <c r="D133" s="61">
        <f>IF(INDEX('01_INPUTS'!$E$17:$E$31,MATCH(D$23,'01_INPUTS'!$B$17:$B$31,0))=0,IF(SUMIFS($AD$3:$AD$870,$AC$3:$AC$870,D$23,$AE$3:$AE$870,"&lt;="&amp;$B133,$AF$3:$AF$870,"&gt;="&amp;$B133)=0,0,9.99),SUMIFS($AD$3:$AD$870,$AC$3:$AC$870,D$23,$AE$3:$AE$870,"&lt;="&amp;$B133,$AF$3:$AF$870,"&gt;="&amp;$B133)/INDEX('01_INPUTS'!$E$17:$E$31,MATCH(D$23,'01_INPUTS'!$B$17:$B$31,0)))</f>
        <v>0</v>
      </c>
      <c r="E133" s="61">
        <f>IF(INDEX('01_INPUTS'!$E$17:$E$31,MATCH(E$23,'01_INPUTS'!$B$17:$B$31,0))=0,IF(SUMIFS($AD$3:$AD$870,$AC$3:$AC$870,E$23,$AE$3:$AE$870,"&lt;="&amp;$B133,$AF$3:$AF$870,"&gt;="&amp;$B133)=0,0,9.99),SUMIFS($AD$3:$AD$870,$AC$3:$AC$870,E$23,$AE$3:$AE$870,"&lt;="&amp;$B133,$AF$3:$AF$870,"&gt;="&amp;$B133)/INDEX('01_INPUTS'!$E$17:$E$31,MATCH(E$23,'01_INPUTS'!$B$17:$B$31,0)))</f>
        <v>0</v>
      </c>
      <c r="F133" s="61">
        <f>IF(INDEX('01_INPUTS'!$E$17:$E$31,MATCH(F$23,'01_INPUTS'!$B$17:$B$31,0))=0,IF(SUMIFS($AD$3:$AD$870,$AC$3:$AC$870,F$23,$AE$3:$AE$870,"&lt;="&amp;$B133,$AF$3:$AF$870,"&gt;="&amp;$B133)=0,0,9.99),SUMIFS($AD$3:$AD$870,$AC$3:$AC$870,F$23,$AE$3:$AE$870,"&lt;="&amp;$B133,$AF$3:$AF$870,"&gt;="&amp;$B133)/INDEX('01_INPUTS'!$E$17:$E$31,MATCH(F$23,'01_INPUTS'!$B$17:$B$31,0)))</f>
        <v>0</v>
      </c>
      <c r="G133" s="61">
        <f>IF(INDEX('01_INPUTS'!$E$17:$E$31,MATCH(G$23,'01_INPUTS'!$B$17:$B$31,0))=0,IF(SUMIFS($AD$3:$AD$870,$AC$3:$AC$870,G$23,$AE$3:$AE$870,"&lt;="&amp;$B133,$AF$3:$AF$870,"&gt;="&amp;$B133)=0,0,9.99),SUMIFS($AD$3:$AD$870,$AC$3:$AC$870,G$23,$AE$3:$AE$870,"&lt;="&amp;$B133,$AF$3:$AF$870,"&gt;="&amp;$B133)/INDEX('01_INPUTS'!$E$17:$E$31,MATCH(G$23,'01_INPUTS'!$B$17:$B$31,0)))</f>
        <v>0</v>
      </c>
      <c r="H133" s="61">
        <f>IF(INDEX('01_INPUTS'!$E$17:$E$31,MATCH(H$23,'01_INPUTS'!$B$17:$B$31,0))=0,IF(SUMIFS($AD$3:$AD$870,$AC$3:$AC$870,H$23,$AE$3:$AE$870,"&lt;="&amp;$B133,$AF$3:$AF$870,"&gt;="&amp;$B133)=0,0,9.99),SUMIFS($AD$3:$AD$870,$AC$3:$AC$870,H$23,$AE$3:$AE$870,"&lt;="&amp;$B133,$AF$3:$AF$870,"&gt;="&amp;$B133)/INDEX('01_INPUTS'!$E$17:$E$31,MATCH(H$23,'01_INPUTS'!$B$17:$B$31,0)))</f>
        <v>0</v>
      </c>
      <c r="I133" s="61">
        <f>IF(INDEX('01_INPUTS'!$E$17:$E$31,MATCH(I$23,'01_INPUTS'!$B$17:$B$31,0))=0,IF(SUMIFS($AD$3:$AD$870,$AC$3:$AC$870,I$23,$AE$3:$AE$870,"&lt;="&amp;$B133,$AF$3:$AF$870,"&gt;="&amp;$B133)=0,0,9.99),SUMIFS($AD$3:$AD$870,$AC$3:$AC$870,I$23,$AE$3:$AE$870,"&lt;="&amp;$B133,$AF$3:$AF$870,"&gt;="&amp;$B133)/INDEX('01_INPUTS'!$E$17:$E$31,MATCH(I$23,'01_INPUTS'!$B$17:$B$31,0)))</f>
        <v>0</v>
      </c>
      <c r="J133" s="61">
        <f>IF(INDEX('01_INPUTS'!$E$17:$E$31,MATCH(J$23,'01_INPUTS'!$B$17:$B$31,0))=0,IF(SUMIFS($AD$3:$AD$870,$AC$3:$AC$870,J$23,$AE$3:$AE$870,"&lt;="&amp;$B133,$AF$3:$AF$870,"&gt;="&amp;$B133)=0,0,9.99),SUMIFS($AD$3:$AD$870,$AC$3:$AC$870,J$23,$AE$3:$AE$870,"&lt;="&amp;$B133,$AF$3:$AF$870,"&gt;="&amp;$B133)/INDEX('01_INPUTS'!$E$17:$E$31,MATCH(J$23,'01_INPUTS'!$B$17:$B$31,0)))</f>
        <v>0</v>
      </c>
      <c r="K133" s="61">
        <f>IF(INDEX('01_INPUTS'!$E$17:$E$31,MATCH(K$23,'01_INPUTS'!$B$17:$B$31,0))=0,IF(SUMIFS($AD$3:$AD$870,$AC$3:$AC$870,K$23,$AE$3:$AE$870,"&lt;="&amp;$B133,$AF$3:$AF$870,"&gt;="&amp;$B133)=0,0,9.99),SUMIFS($AD$3:$AD$870,$AC$3:$AC$870,K$23,$AE$3:$AE$870,"&lt;="&amp;$B133,$AF$3:$AF$870,"&gt;="&amp;$B133)/INDEX('01_INPUTS'!$E$17:$E$31,MATCH(K$23,'01_INPUTS'!$B$17:$B$31,0)))</f>
        <v>0</v>
      </c>
      <c r="L133" s="61">
        <f>IF(INDEX('01_INPUTS'!$E$17:$E$31,MATCH(L$23,'01_INPUTS'!$B$17:$B$31,0))=0,IF(SUMIFS($AD$3:$AD$870,$AC$3:$AC$870,L$23,$AE$3:$AE$870,"&lt;="&amp;$B133,$AF$3:$AF$870,"&gt;="&amp;$B133)=0,0,9.99),SUMIFS($AD$3:$AD$870,$AC$3:$AC$870,L$23,$AE$3:$AE$870,"&lt;="&amp;$B133,$AF$3:$AF$870,"&gt;="&amp;$B133)/INDEX('01_INPUTS'!$E$17:$E$31,MATCH(L$23,'01_INPUTS'!$B$17:$B$31,0)))</f>
        <v>0</v>
      </c>
      <c r="M133" s="61">
        <f>IF(INDEX('01_INPUTS'!$E$17:$E$31,MATCH(M$23,'01_INPUTS'!$B$17:$B$31,0))=0,IF(SUMIFS($AD$3:$AD$870,$AC$3:$AC$870,M$23,$AE$3:$AE$870,"&lt;="&amp;$B133,$AF$3:$AF$870,"&gt;="&amp;$B133)=0,0,9.99),SUMIFS($AD$3:$AD$870,$AC$3:$AC$870,M$23,$AE$3:$AE$870,"&lt;="&amp;$B133,$AF$3:$AF$870,"&gt;="&amp;$B133)/INDEX('01_INPUTS'!$E$17:$E$31,MATCH(M$23,'01_INPUTS'!$B$17:$B$31,0)))</f>
        <v>0</v>
      </c>
      <c r="N133" s="61">
        <f>IF(INDEX('01_INPUTS'!$E$17:$E$31,MATCH(N$23,'01_INPUTS'!$B$17:$B$31,0))=0,IF(SUMIFS($AD$3:$AD$870,$AC$3:$AC$870,N$23,$AE$3:$AE$870,"&lt;="&amp;$B133,$AF$3:$AF$870,"&gt;="&amp;$B133)=0,0,9.99),SUMIFS($AD$3:$AD$870,$AC$3:$AC$870,N$23,$AE$3:$AE$870,"&lt;="&amp;$B133,$AF$3:$AF$870,"&gt;="&amp;$B133)/INDEX('01_INPUTS'!$E$17:$E$31,MATCH(N$23,'01_INPUTS'!$B$17:$B$31,0)))</f>
        <v>0</v>
      </c>
      <c r="O133" s="61">
        <f>IF(INDEX('01_INPUTS'!$E$17:$E$31,MATCH(O$23,'01_INPUTS'!$B$17:$B$31,0))=0,IF(SUMIFS($AD$3:$AD$870,$AC$3:$AC$870,O$23,$AE$3:$AE$870,"&lt;="&amp;$B133,$AF$3:$AF$870,"&gt;="&amp;$B133)=0,0,9.99),SUMIFS($AD$3:$AD$870,$AC$3:$AC$870,O$23,$AE$3:$AE$870,"&lt;="&amp;$B133,$AF$3:$AF$870,"&gt;="&amp;$B133)/INDEX('01_INPUTS'!$E$17:$E$31,MATCH(O$23,'01_INPUTS'!$B$17:$B$31,0)))</f>
        <v>0</v>
      </c>
      <c r="P133" s="61">
        <f>IF(INDEX('01_INPUTS'!$E$17:$E$31,MATCH(P$23,'01_INPUTS'!$B$17:$B$31,0))=0,IF(SUMIFS($AD$3:$AD$870,$AC$3:$AC$870,P$23,$AE$3:$AE$870,"&lt;="&amp;$B133,$AF$3:$AF$870,"&gt;="&amp;$B133)=0,0,9.99),SUMIFS($AD$3:$AD$870,$AC$3:$AC$870,P$23,$AE$3:$AE$870,"&lt;="&amp;$B133,$AF$3:$AF$870,"&gt;="&amp;$B133)/INDEX('01_INPUTS'!$E$17:$E$31,MATCH(P$23,'01_INPUTS'!$B$17:$B$31,0)))</f>
        <v>0</v>
      </c>
      <c r="Q133" s="61">
        <f>IF(INDEX('01_INPUTS'!$E$17:$E$31,MATCH(Q$23,'01_INPUTS'!$B$17:$B$31,0))=0,IF(SUMIFS($AD$3:$AD$870,$AC$3:$AC$870,Q$23,$AE$3:$AE$870,"&lt;="&amp;$B133,$AF$3:$AF$870,"&gt;="&amp;$B133)=0,0,9.99),SUMIFS($AD$3:$AD$870,$AC$3:$AC$870,Q$23,$AE$3:$AE$870,"&lt;="&amp;$B133,$AF$3:$AF$870,"&gt;="&amp;$B133)/INDEX('01_INPUTS'!$E$17:$E$31,MATCH(Q$23,'01_INPUTS'!$B$17:$B$31,0)))</f>
        <v>0</v>
      </c>
      <c r="R133" s="61">
        <f>IF(INDEX('01_INPUTS'!$E$17:$E$31,MATCH(R$23,'01_INPUTS'!$B$17:$B$31,0))=0,IF(SUMIFS($AD$3:$AD$870,$AC$3:$AC$870,R$23,$AE$3:$AE$870,"&lt;="&amp;$B133,$AF$3:$AF$870,"&gt;="&amp;$B133)=0,0,9.99),SUMIFS($AD$3:$AD$870,$AC$3:$AC$870,R$23,$AE$3:$AE$870,"&lt;="&amp;$B133,$AF$3:$AF$870,"&gt;="&amp;$B133)/INDEX('01_INPUTS'!$E$17:$E$31,MATCH(R$23,'01_INPUTS'!$B$17:$B$31,0)))</f>
        <v>0</v>
      </c>
      <c r="S133">
        <f t="shared" si="14"/>
        <v>0</v>
      </c>
      <c r="T133">
        <f>SUM('01_INPUTS'!$E$17:$E$31)</f>
        <v>20</v>
      </c>
      <c r="U133" s="61">
        <f t="shared" si="15"/>
        <v>0</v>
      </c>
      <c r="V133">
        <f t="shared" si="16"/>
        <v>0</v>
      </c>
      <c r="W133" t="str">
        <f t="shared" si="17"/>
        <v>VERDE</v>
      </c>
      <c r="AA133" s="51" t="str">
        <f>'Sites Master'!$B$4</f>
        <v>Site 03</v>
      </c>
      <c r="AB133" s="51" t="str">
        <f>'Phase-Resource Allocation'!$B$70</f>
        <v>Design Adaptation</v>
      </c>
      <c r="AC133" s="51" t="str">
        <f>'Phase-Resource Allocation'!$C$70</f>
        <v>Azure Specialist</v>
      </c>
      <c r="AD133" s="60">
        <f>'Phase-Resource Allocation'!$D$70</f>
        <v>0.5</v>
      </c>
      <c r="AE133" s="51">
        <f>IFERROR(INDEX('02_SCHEDULE'!$K$5:$K$124,MATCH(AA133&amp;"|"&amp;AB133,'02_SCHEDULE'!$M$5:$M$124,0)),0)</f>
        <v>5</v>
      </c>
      <c r="AF133" s="51">
        <f>IFERROR(INDEX('02_SCHEDULE'!$L$5:$L$124,MATCH(AA133&amp;"|"&amp;AB133,'02_SCHEDULE'!$M$5:$M$124,0)),0)</f>
        <v>5</v>
      </c>
      <c r="AG133" s="51">
        <f t="shared" si="18"/>
        <v>0.5</v>
      </c>
    </row>
    <row r="134" spans="2:33" x14ac:dyDescent="0.3">
      <c r="B134">
        <f>111</f>
        <v>111</v>
      </c>
      <c r="C134" s="55">
        <f>'01_INPUTS'!$C$7+(111-1)*7</f>
        <v>47021</v>
      </c>
      <c r="D134" s="61">
        <f>IF(INDEX('01_INPUTS'!$E$17:$E$31,MATCH(D$23,'01_INPUTS'!$B$17:$B$31,0))=0,IF(SUMIFS($AD$3:$AD$870,$AC$3:$AC$870,D$23,$AE$3:$AE$870,"&lt;="&amp;$B134,$AF$3:$AF$870,"&gt;="&amp;$B134)=0,0,9.99),SUMIFS($AD$3:$AD$870,$AC$3:$AC$870,D$23,$AE$3:$AE$870,"&lt;="&amp;$B134,$AF$3:$AF$870,"&gt;="&amp;$B134)/INDEX('01_INPUTS'!$E$17:$E$31,MATCH(D$23,'01_INPUTS'!$B$17:$B$31,0)))</f>
        <v>0</v>
      </c>
      <c r="E134" s="61">
        <f>IF(INDEX('01_INPUTS'!$E$17:$E$31,MATCH(E$23,'01_INPUTS'!$B$17:$B$31,0))=0,IF(SUMIFS($AD$3:$AD$870,$AC$3:$AC$870,E$23,$AE$3:$AE$870,"&lt;="&amp;$B134,$AF$3:$AF$870,"&gt;="&amp;$B134)=0,0,9.99),SUMIFS($AD$3:$AD$870,$AC$3:$AC$870,E$23,$AE$3:$AE$870,"&lt;="&amp;$B134,$AF$3:$AF$870,"&gt;="&amp;$B134)/INDEX('01_INPUTS'!$E$17:$E$31,MATCH(E$23,'01_INPUTS'!$B$17:$B$31,0)))</f>
        <v>0</v>
      </c>
      <c r="F134" s="61">
        <f>IF(INDEX('01_INPUTS'!$E$17:$E$31,MATCH(F$23,'01_INPUTS'!$B$17:$B$31,0))=0,IF(SUMIFS($AD$3:$AD$870,$AC$3:$AC$870,F$23,$AE$3:$AE$870,"&lt;="&amp;$B134,$AF$3:$AF$870,"&gt;="&amp;$B134)=0,0,9.99),SUMIFS($AD$3:$AD$870,$AC$3:$AC$870,F$23,$AE$3:$AE$870,"&lt;="&amp;$B134,$AF$3:$AF$870,"&gt;="&amp;$B134)/INDEX('01_INPUTS'!$E$17:$E$31,MATCH(F$23,'01_INPUTS'!$B$17:$B$31,0)))</f>
        <v>0</v>
      </c>
      <c r="G134" s="61">
        <f>IF(INDEX('01_INPUTS'!$E$17:$E$31,MATCH(G$23,'01_INPUTS'!$B$17:$B$31,0))=0,IF(SUMIFS($AD$3:$AD$870,$AC$3:$AC$870,G$23,$AE$3:$AE$870,"&lt;="&amp;$B134,$AF$3:$AF$870,"&gt;="&amp;$B134)=0,0,9.99),SUMIFS($AD$3:$AD$870,$AC$3:$AC$870,G$23,$AE$3:$AE$870,"&lt;="&amp;$B134,$AF$3:$AF$870,"&gt;="&amp;$B134)/INDEX('01_INPUTS'!$E$17:$E$31,MATCH(G$23,'01_INPUTS'!$B$17:$B$31,0)))</f>
        <v>0</v>
      </c>
      <c r="H134" s="61">
        <f>IF(INDEX('01_INPUTS'!$E$17:$E$31,MATCH(H$23,'01_INPUTS'!$B$17:$B$31,0))=0,IF(SUMIFS($AD$3:$AD$870,$AC$3:$AC$870,H$23,$AE$3:$AE$870,"&lt;="&amp;$B134,$AF$3:$AF$870,"&gt;="&amp;$B134)=0,0,9.99),SUMIFS($AD$3:$AD$870,$AC$3:$AC$870,H$23,$AE$3:$AE$870,"&lt;="&amp;$B134,$AF$3:$AF$870,"&gt;="&amp;$B134)/INDEX('01_INPUTS'!$E$17:$E$31,MATCH(H$23,'01_INPUTS'!$B$17:$B$31,0)))</f>
        <v>0</v>
      </c>
      <c r="I134" s="61">
        <f>IF(INDEX('01_INPUTS'!$E$17:$E$31,MATCH(I$23,'01_INPUTS'!$B$17:$B$31,0))=0,IF(SUMIFS($AD$3:$AD$870,$AC$3:$AC$870,I$23,$AE$3:$AE$870,"&lt;="&amp;$B134,$AF$3:$AF$870,"&gt;="&amp;$B134)=0,0,9.99),SUMIFS($AD$3:$AD$870,$AC$3:$AC$870,I$23,$AE$3:$AE$870,"&lt;="&amp;$B134,$AF$3:$AF$870,"&gt;="&amp;$B134)/INDEX('01_INPUTS'!$E$17:$E$31,MATCH(I$23,'01_INPUTS'!$B$17:$B$31,0)))</f>
        <v>0</v>
      </c>
      <c r="J134" s="61">
        <f>IF(INDEX('01_INPUTS'!$E$17:$E$31,MATCH(J$23,'01_INPUTS'!$B$17:$B$31,0))=0,IF(SUMIFS($AD$3:$AD$870,$AC$3:$AC$870,J$23,$AE$3:$AE$870,"&lt;="&amp;$B134,$AF$3:$AF$870,"&gt;="&amp;$B134)=0,0,9.99),SUMIFS($AD$3:$AD$870,$AC$3:$AC$870,J$23,$AE$3:$AE$870,"&lt;="&amp;$B134,$AF$3:$AF$870,"&gt;="&amp;$B134)/INDEX('01_INPUTS'!$E$17:$E$31,MATCH(J$23,'01_INPUTS'!$B$17:$B$31,0)))</f>
        <v>0</v>
      </c>
      <c r="K134" s="61">
        <f>IF(INDEX('01_INPUTS'!$E$17:$E$31,MATCH(K$23,'01_INPUTS'!$B$17:$B$31,0))=0,IF(SUMIFS($AD$3:$AD$870,$AC$3:$AC$870,K$23,$AE$3:$AE$870,"&lt;="&amp;$B134,$AF$3:$AF$870,"&gt;="&amp;$B134)=0,0,9.99),SUMIFS($AD$3:$AD$870,$AC$3:$AC$870,K$23,$AE$3:$AE$870,"&lt;="&amp;$B134,$AF$3:$AF$870,"&gt;="&amp;$B134)/INDEX('01_INPUTS'!$E$17:$E$31,MATCH(K$23,'01_INPUTS'!$B$17:$B$31,0)))</f>
        <v>0</v>
      </c>
      <c r="L134" s="61">
        <f>IF(INDEX('01_INPUTS'!$E$17:$E$31,MATCH(L$23,'01_INPUTS'!$B$17:$B$31,0))=0,IF(SUMIFS($AD$3:$AD$870,$AC$3:$AC$870,L$23,$AE$3:$AE$870,"&lt;="&amp;$B134,$AF$3:$AF$870,"&gt;="&amp;$B134)=0,0,9.99),SUMIFS($AD$3:$AD$870,$AC$3:$AC$870,L$23,$AE$3:$AE$870,"&lt;="&amp;$B134,$AF$3:$AF$870,"&gt;="&amp;$B134)/INDEX('01_INPUTS'!$E$17:$E$31,MATCH(L$23,'01_INPUTS'!$B$17:$B$31,0)))</f>
        <v>0</v>
      </c>
      <c r="M134" s="61">
        <f>IF(INDEX('01_INPUTS'!$E$17:$E$31,MATCH(M$23,'01_INPUTS'!$B$17:$B$31,0))=0,IF(SUMIFS($AD$3:$AD$870,$AC$3:$AC$870,M$23,$AE$3:$AE$870,"&lt;="&amp;$B134,$AF$3:$AF$870,"&gt;="&amp;$B134)=0,0,9.99),SUMIFS($AD$3:$AD$870,$AC$3:$AC$870,M$23,$AE$3:$AE$870,"&lt;="&amp;$B134,$AF$3:$AF$870,"&gt;="&amp;$B134)/INDEX('01_INPUTS'!$E$17:$E$31,MATCH(M$23,'01_INPUTS'!$B$17:$B$31,0)))</f>
        <v>0</v>
      </c>
      <c r="N134" s="61">
        <f>IF(INDEX('01_INPUTS'!$E$17:$E$31,MATCH(N$23,'01_INPUTS'!$B$17:$B$31,0))=0,IF(SUMIFS($AD$3:$AD$870,$AC$3:$AC$870,N$23,$AE$3:$AE$870,"&lt;="&amp;$B134,$AF$3:$AF$870,"&gt;="&amp;$B134)=0,0,9.99),SUMIFS($AD$3:$AD$870,$AC$3:$AC$870,N$23,$AE$3:$AE$870,"&lt;="&amp;$B134,$AF$3:$AF$870,"&gt;="&amp;$B134)/INDEX('01_INPUTS'!$E$17:$E$31,MATCH(N$23,'01_INPUTS'!$B$17:$B$31,0)))</f>
        <v>0</v>
      </c>
      <c r="O134" s="61">
        <f>IF(INDEX('01_INPUTS'!$E$17:$E$31,MATCH(O$23,'01_INPUTS'!$B$17:$B$31,0))=0,IF(SUMIFS($AD$3:$AD$870,$AC$3:$AC$870,O$23,$AE$3:$AE$870,"&lt;="&amp;$B134,$AF$3:$AF$870,"&gt;="&amp;$B134)=0,0,9.99),SUMIFS($AD$3:$AD$870,$AC$3:$AC$870,O$23,$AE$3:$AE$870,"&lt;="&amp;$B134,$AF$3:$AF$870,"&gt;="&amp;$B134)/INDEX('01_INPUTS'!$E$17:$E$31,MATCH(O$23,'01_INPUTS'!$B$17:$B$31,0)))</f>
        <v>0</v>
      </c>
      <c r="P134" s="61">
        <f>IF(INDEX('01_INPUTS'!$E$17:$E$31,MATCH(P$23,'01_INPUTS'!$B$17:$B$31,0))=0,IF(SUMIFS($AD$3:$AD$870,$AC$3:$AC$870,P$23,$AE$3:$AE$870,"&lt;="&amp;$B134,$AF$3:$AF$870,"&gt;="&amp;$B134)=0,0,9.99),SUMIFS($AD$3:$AD$870,$AC$3:$AC$870,P$23,$AE$3:$AE$870,"&lt;="&amp;$B134,$AF$3:$AF$870,"&gt;="&amp;$B134)/INDEX('01_INPUTS'!$E$17:$E$31,MATCH(P$23,'01_INPUTS'!$B$17:$B$31,0)))</f>
        <v>0</v>
      </c>
      <c r="Q134" s="61">
        <f>IF(INDEX('01_INPUTS'!$E$17:$E$31,MATCH(Q$23,'01_INPUTS'!$B$17:$B$31,0))=0,IF(SUMIFS($AD$3:$AD$870,$AC$3:$AC$870,Q$23,$AE$3:$AE$870,"&lt;="&amp;$B134,$AF$3:$AF$870,"&gt;="&amp;$B134)=0,0,9.99),SUMIFS($AD$3:$AD$870,$AC$3:$AC$870,Q$23,$AE$3:$AE$870,"&lt;="&amp;$B134,$AF$3:$AF$870,"&gt;="&amp;$B134)/INDEX('01_INPUTS'!$E$17:$E$31,MATCH(Q$23,'01_INPUTS'!$B$17:$B$31,0)))</f>
        <v>0</v>
      </c>
      <c r="R134" s="61">
        <f>IF(INDEX('01_INPUTS'!$E$17:$E$31,MATCH(R$23,'01_INPUTS'!$B$17:$B$31,0))=0,IF(SUMIFS($AD$3:$AD$870,$AC$3:$AC$870,R$23,$AE$3:$AE$870,"&lt;="&amp;$B134,$AF$3:$AF$870,"&gt;="&amp;$B134)=0,0,9.99),SUMIFS($AD$3:$AD$870,$AC$3:$AC$870,R$23,$AE$3:$AE$870,"&lt;="&amp;$B134,$AF$3:$AF$870,"&gt;="&amp;$B134)/INDEX('01_INPUTS'!$E$17:$E$31,MATCH(R$23,'01_INPUTS'!$B$17:$B$31,0)))</f>
        <v>0</v>
      </c>
      <c r="S134">
        <f t="shared" si="14"/>
        <v>0</v>
      </c>
      <c r="T134">
        <f>SUM('01_INPUTS'!$E$17:$E$31)</f>
        <v>20</v>
      </c>
      <c r="U134" s="61">
        <f t="shared" si="15"/>
        <v>0</v>
      </c>
      <c r="V134">
        <f t="shared" si="16"/>
        <v>0</v>
      </c>
      <c r="W134" t="str">
        <f t="shared" si="17"/>
        <v>VERDE</v>
      </c>
      <c r="AA134" s="51" t="str">
        <f>'Sites Master'!$B$4</f>
        <v>Site 03</v>
      </c>
      <c r="AB134" s="51" t="str">
        <f>'Phase-Resource Allocation'!$B$71</f>
        <v>Design Adaptation</v>
      </c>
      <c r="AC134" s="51" t="str">
        <f>'Phase-Resource Allocation'!$C$71</f>
        <v>Testing Lead</v>
      </c>
      <c r="AD134" s="60">
        <f>'Phase-Resource Allocation'!$D$71</f>
        <v>1</v>
      </c>
      <c r="AE134" s="51">
        <f>IFERROR(INDEX('02_SCHEDULE'!$K$5:$K$124,MATCH(AA134&amp;"|"&amp;AB134,'02_SCHEDULE'!$M$5:$M$124,0)),0)</f>
        <v>5</v>
      </c>
      <c r="AF134" s="51">
        <f>IFERROR(INDEX('02_SCHEDULE'!$L$5:$L$124,MATCH(AA134&amp;"|"&amp;AB134,'02_SCHEDULE'!$M$5:$M$124,0)),0)</f>
        <v>5</v>
      </c>
      <c r="AG134" s="51">
        <f t="shared" si="18"/>
        <v>1</v>
      </c>
    </row>
    <row r="135" spans="2:33" x14ac:dyDescent="0.3">
      <c r="B135">
        <f>112</f>
        <v>112</v>
      </c>
      <c r="C135" s="55">
        <f>'01_INPUTS'!$C$7+(112-1)*7</f>
        <v>47028</v>
      </c>
      <c r="D135" s="61">
        <f>IF(INDEX('01_INPUTS'!$E$17:$E$31,MATCH(D$23,'01_INPUTS'!$B$17:$B$31,0))=0,IF(SUMIFS($AD$3:$AD$870,$AC$3:$AC$870,D$23,$AE$3:$AE$870,"&lt;="&amp;$B135,$AF$3:$AF$870,"&gt;="&amp;$B135)=0,0,9.99),SUMIFS($AD$3:$AD$870,$AC$3:$AC$870,D$23,$AE$3:$AE$870,"&lt;="&amp;$B135,$AF$3:$AF$870,"&gt;="&amp;$B135)/INDEX('01_INPUTS'!$E$17:$E$31,MATCH(D$23,'01_INPUTS'!$B$17:$B$31,0)))</f>
        <v>0</v>
      </c>
      <c r="E135" s="61">
        <f>IF(INDEX('01_INPUTS'!$E$17:$E$31,MATCH(E$23,'01_INPUTS'!$B$17:$B$31,0))=0,IF(SUMIFS($AD$3:$AD$870,$AC$3:$AC$870,E$23,$AE$3:$AE$870,"&lt;="&amp;$B135,$AF$3:$AF$870,"&gt;="&amp;$B135)=0,0,9.99),SUMIFS($AD$3:$AD$870,$AC$3:$AC$870,E$23,$AE$3:$AE$870,"&lt;="&amp;$B135,$AF$3:$AF$870,"&gt;="&amp;$B135)/INDEX('01_INPUTS'!$E$17:$E$31,MATCH(E$23,'01_INPUTS'!$B$17:$B$31,0)))</f>
        <v>0</v>
      </c>
      <c r="F135" s="61">
        <f>IF(INDEX('01_INPUTS'!$E$17:$E$31,MATCH(F$23,'01_INPUTS'!$B$17:$B$31,0))=0,IF(SUMIFS($AD$3:$AD$870,$AC$3:$AC$870,F$23,$AE$3:$AE$870,"&lt;="&amp;$B135,$AF$3:$AF$870,"&gt;="&amp;$B135)=0,0,9.99),SUMIFS($AD$3:$AD$870,$AC$3:$AC$870,F$23,$AE$3:$AE$870,"&lt;="&amp;$B135,$AF$3:$AF$870,"&gt;="&amp;$B135)/INDEX('01_INPUTS'!$E$17:$E$31,MATCH(F$23,'01_INPUTS'!$B$17:$B$31,0)))</f>
        <v>0</v>
      </c>
      <c r="G135" s="61">
        <f>IF(INDEX('01_INPUTS'!$E$17:$E$31,MATCH(G$23,'01_INPUTS'!$B$17:$B$31,0))=0,IF(SUMIFS($AD$3:$AD$870,$AC$3:$AC$870,G$23,$AE$3:$AE$870,"&lt;="&amp;$B135,$AF$3:$AF$870,"&gt;="&amp;$B135)=0,0,9.99),SUMIFS($AD$3:$AD$870,$AC$3:$AC$870,G$23,$AE$3:$AE$870,"&lt;="&amp;$B135,$AF$3:$AF$870,"&gt;="&amp;$B135)/INDEX('01_INPUTS'!$E$17:$E$31,MATCH(G$23,'01_INPUTS'!$B$17:$B$31,0)))</f>
        <v>0</v>
      </c>
      <c r="H135" s="61">
        <f>IF(INDEX('01_INPUTS'!$E$17:$E$31,MATCH(H$23,'01_INPUTS'!$B$17:$B$31,0))=0,IF(SUMIFS($AD$3:$AD$870,$AC$3:$AC$870,H$23,$AE$3:$AE$870,"&lt;="&amp;$B135,$AF$3:$AF$870,"&gt;="&amp;$B135)=0,0,9.99),SUMIFS($AD$3:$AD$870,$AC$3:$AC$870,H$23,$AE$3:$AE$870,"&lt;="&amp;$B135,$AF$3:$AF$870,"&gt;="&amp;$B135)/INDEX('01_INPUTS'!$E$17:$E$31,MATCH(H$23,'01_INPUTS'!$B$17:$B$31,0)))</f>
        <v>0</v>
      </c>
      <c r="I135" s="61">
        <f>IF(INDEX('01_INPUTS'!$E$17:$E$31,MATCH(I$23,'01_INPUTS'!$B$17:$B$31,0))=0,IF(SUMIFS($AD$3:$AD$870,$AC$3:$AC$870,I$23,$AE$3:$AE$870,"&lt;="&amp;$B135,$AF$3:$AF$870,"&gt;="&amp;$B135)=0,0,9.99),SUMIFS($AD$3:$AD$870,$AC$3:$AC$870,I$23,$AE$3:$AE$870,"&lt;="&amp;$B135,$AF$3:$AF$870,"&gt;="&amp;$B135)/INDEX('01_INPUTS'!$E$17:$E$31,MATCH(I$23,'01_INPUTS'!$B$17:$B$31,0)))</f>
        <v>0</v>
      </c>
      <c r="J135" s="61">
        <f>IF(INDEX('01_INPUTS'!$E$17:$E$31,MATCH(J$23,'01_INPUTS'!$B$17:$B$31,0))=0,IF(SUMIFS($AD$3:$AD$870,$AC$3:$AC$870,J$23,$AE$3:$AE$870,"&lt;="&amp;$B135,$AF$3:$AF$870,"&gt;="&amp;$B135)=0,0,9.99),SUMIFS($AD$3:$AD$870,$AC$3:$AC$870,J$23,$AE$3:$AE$870,"&lt;="&amp;$B135,$AF$3:$AF$870,"&gt;="&amp;$B135)/INDEX('01_INPUTS'!$E$17:$E$31,MATCH(J$23,'01_INPUTS'!$B$17:$B$31,0)))</f>
        <v>0</v>
      </c>
      <c r="K135" s="61">
        <f>IF(INDEX('01_INPUTS'!$E$17:$E$31,MATCH(K$23,'01_INPUTS'!$B$17:$B$31,0))=0,IF(SUMIFS($AD$3:$AD$870,$AC$3:$AC$870,K$23,$AE$3:$AE$870,"&lt;="&amp;$B135,$AF$3:$AF$870,"&gt;="&amp;$B135)=0,0,9.99),SUMIFS($AD$3:$AD$870,$AC$3:$AC$870,K$23,$AE$3:$AE$870,"&lt;="&amp;$B135,$AF$3:$AF$870,"&gt;="&amp;$B135)/INDEX('01_INPUTS'!$E$17:$E$31,MATCH(K$23,'01_INPUTS'!$B$17:$B$31,0)))</f>
        <v>0</v>
      </c>
      <c r="L135" s="61">
        <f>IF(INDEX('01_INPUTS'!$E$17:$E$31,MATCH(L$23,'01_INPUTS'!$B$17:$B$31,0))=0,IF(SUMIFS($AD$3:$AD$870,$AC$3:$AC$870,L$23,$AE$3:$AE$870,"&lt;="&amp;$B135,$AF$3:$AF$870,"&gt;="&amp;$B135)=0,0,9.99),SUMIFS($AD$3:$AD$870,$AC$3:$AC$870,L$23,$AE$3:$AE$870,"&lt;="&amp;$B135,$AF$3:$AF$870,"&gt;="&amp;$B135)/INDEX('01_INPUTS'!$E$17:$E$31,MATCH(L$23,'01_INPUTS'!$B$17:$B$31,0)))</f>
        <v>0</v>
      </c>
      <c r="M135" s="61">
        <f>IF(INDEX('01_INPUTS'!$E$17:$E$31,MATCH(M$23,'01_INPUTS'!$B$17:$B$31,0))=0,IF(SUMIFS($AD$3:$AD$870,$AC$3:$AC$870,M$23,$AE$3:$AE$870,"&lt;="&amp;$B135,$AF$3:$AF$870,"&gt;="&amp;$B135)=0,0,9.99),SUMIFS($AD$3:$AD$870,$AC$3:$AC$870,M$23,$AE$3:$AE$870,"&lt;="&amp;$B135,$AF$3:$AF$870,"&gt;="&amp;$B135)/INDEX('01_INPUTS'!$E$17:$E$31,MATCH(M$23,'01_INPUTS'!$B$17:$B$31,0)))</f>
        <v>0</v>
      </c>
      <c r="N135" s="61">
        <f>IF(INDEX('01_INPUTS'!$E$17:$E$31,MATCH(N$23,'01_INPUTS'!$B$17:$B$31,0))=0,IF(SUMIFS($AD$3:$AD$870,$AC$3:$AC$870,N$23,$AE$3:$AE$870,"&lt;="&amp;$B135,$AF$3:$AF$870,"&gt;="&amp;$B135)=0,0,9.99),SUMIFS($AD$3:$AD$870,$AC$3:$AC$870,N$23,$AE$3:$AE$870,"&lt;="&amp;$B135,$AF$3:$AF$870,"&gt;="&amp;$B135)/INDEX('01_INPUTS'!$E$17:$E$31,MATCH(N$23,'01_INPUTS'!$B$17:$B$31,0)))</f>
        <v>0</v>
      </c>
      <c r="O135" s="61">
        <f>IF(INDEX('01_INPUTS'!$E$17:$E$31,MATCH(O$23,'01_INPUTS'!$B$17:$B$31,0))=0,IF(SUMIFS($AD$3:$AD$870,$AC$3:$AC$870,O$23,$AE$3:$AE$870,"&lt;="&amp;$B135,$AF$3:$AF$870,"&gt;="&amp;$B135)=0,0,9.99),SUMIFS($AD$3:$AD$870,$AC$3:$AC$870,O$23,$AE$3:$AE$870,"&lt;="&amp;$B135,$AF$3:$AF$870,"&gt;="&amp;$B135)/INDEX('01_INPUTS'!$E$17:$E$31,MATCH(O$23,'01_INPUTS'!$B$17:$B$31,0)))</f>
        <v>0</v>
      </c>
      <c r="P135" s="61">
        <f>IF(INDEX('01_INPUTS'!$E$17:$E$31,MATCH(P$23,'01_INPUTS'!$B$17:$B$31,0))=0,IF(SUMIFS($AD$3:$AD$870,$AC$3:$AC$870,P$23,$AE$3:$AE$870,"&lt;="&amp;$B135,$AF$3:$AF$870,"&gt;="&amp;$B135)=0,0,9.99),SUMIFS($AD$3:$AD$870,$AC$3:$AC$870,P$23,$AE$3:$AE$870,"&lt;="&amp;$B135,$AF$3:$AF$870,"&gt;="&amp;$B135)/INDEX('01_INPUTS'!$E$17:$E$31,MATCH(P$23,'01_INPUTS'!$B$17:$B$31,0)))</f>
        <v>0</v>
      </c>
      <c r="Q135" s="61">
        <f>IF(INDEX('01_INPUTS'!$E$17:$E$31,MATCH(Q$23,'01_INPUTS'!$B$17:$B$31,0))=0,IF(SUMIFS($AD$3:$AD$870,$AC$3:$AC$870,Q$23,$AE$3:$AE$870,"&lt;="&amp;$B135,$AF$3:$AF$870,"&gt;="&amp;$B135)=0,0,9.99),SUMIFS($AD$3:$AD$870,$AC$3:$AC$870,Q$23,$AE$3:$AE$870,"&lt;="&amp;$B135,$AF$3:$AF$870,"&gt;="&amp;$B135)/INDEX('01_INPUTS'!$E$17:$E$31,MATCH(Q$23,'01_INPUTS'!$B$17:$B$31,0)))</f>
        <v>0</v>
      </c>
      <c r="R135" s="61">
        <f>IF(INDEX('01_INPUTS'!$E$17:$E$31,MATCH(R$23,'01_INPUTS'!$B$17:$B$31,0))=0,IF(SUMIFS($AD$3:$AD$870,$AC$3:$AC$870,R$23,$AE$3:$AE$870,"&lt;="&amp;$B135,$AF$3:$AF$870,"&gt;="&amp;$B135)=0,0,9.99),SUMIFS($AD$3:$AD$870,$AC$3:$AC$870,R$23,$AE$3:$AE$870,"&lt;="&amp;$B135,$AF$3:$AF$870,"&gt;="&amp;$B135)/INDEX('01_INPUTS'!$E$17:$E$31,MATCH(R$23,'01_INPUTS'!$B$17:$B$31,0)))</f>
        <v>0</v>
      </c>
      <c r="S135">
        <f t="shared" si="14"/>
        <v>0</v>
      </c>
      <c r="T135">
        <f>SUM('01_INPUTS'!$E$17:$E$31)</f>
        <v>20</v>
      </c>
      <c r="U135" s="61">
        <f t="shared" si="15"/>
        <v>0</v>
      </c>
      <c r="V135">
        <f t="shared" si="16"/>
        <v>0</v>
      </c>
      <c r="W135" t="str">
        <f t="shared" si="17"/>
        <v>VERDE</v>
      </c>
      <c r="AA135" s="51" t="str">
        <f>'Sites Master'!$B$4</f>
        <v>Site 03</v>
      </c>
      <c r="AB135" s="51" t="str">
        <f>'Phase-Resource Allocation'!$B$72</f>
        <v>Design Adaptation</v>
      </c>
      <c r="AC135" s="51" t="str">
        <f>'Phase-Resource Allocation'!$C$72</f>
        <v>Functional Lead</v>
      </c>
      <c r="AD135" s="60">
        <f>'Phase-Resource Allocation'!$D$72</f>
        <v>1</v>
      </c>
      <c r="AE135" s="51">
        <f>IFERROR(INDEX('02_SCHEDULE'!$K$5:$K$124,MATCH(AA135&amp;"|"&amp;AB135,'02_SCHEDULE'!$M$5:$M$124,0)),0)</f>
        <v>5</v>
      </c>
      <c r="AF135" s="51">
        <f>IFERROR(INDEX('02_SCHEDULE'!$L$5:$L$124,MATCH(AA135&amp;"|"&amp;AB135,'02_SCHEDULE'!$M$5:$M$124,0)),0)</f>
        <v>5</v>
      </c>
      <c r="AG135" s="51">
        <f t="shared" si="18"/>
        <v>1</v>
      </c>
    </row>
    <row r="136" spans="2:33" x14ac:dyDescent="0.3">
      <c r="B136">
        <f>113</f>
        <v>113</v>
      </c>
      <c r="C136" s="55">
        <f>'01_INPUTS'!$C$7+(113-1)*7</f>
        <v>47035</v>
      </c>
      <c r="D136" s="61">
        <f>IF(INDEX('01_INPUTS'!$E$17:$E$31,MATCH(D$23,'01_INPUTS'!$B$17:$B$31,0))=0,IF(SUMIFS($AD$3:$AD$870,$AC$3:$AC$870,D$23,$AE$3:$AE$870,"&lt;="&amp;$B136,$AF$3:$AF$870,"&gt;="&amp;$B136)=0,0,9.99),SUMIFS($AD$3:$AD$870,$AC$3:$AC$870,D$23,$AE$3:$AE$870,"&lt;="&amp;$B136,$AF$3:$AF$870,"&gt;="&amp;$B136)/INDEX('01_INPUTS'!$E$17:$E$31,MATCH(D$23,'01_INPUTS'!$B$17:$B$31,0)))</f>
        <v>0</v>
      </c>
      <c r="E136" s="61">
        <f>IF(INDEX('01_INPUTS'!$E$17:$E$31,MATCH(E$23,'01_INPUTS'!$B$17:$B$31,0))=0,IF(SUMIFS($AD$3:$AD$870,$AC$3:$AC$870,E$23,$AE$3:$AE$870,"&lt;="&amp;$B136,$AF$3:$AF$870,"&gt;="&amp;$B136)=0,0,9.99),SUMIFS($AD$3:$AD$870,$AC$3:$AC$870,E$23,$AE$3:$AE$870,"&lt;="&amp;$B136,$AF$3:$AF$870,"&gt;="&amp;$B136)/INDEX('01_INPUTS'!$E$17:$E$31,MATCH(E$23,'01_INPUTS'!$B$17:$B$31,0)))</f>
        <v>0</v>
      </c>
      <c r="F136" s="61">
        <f>IF(INDEX('01_INPUTS'!$E$17:$E$31,MATCH(F$23,'01_INPUTS'!$B$17:$B$31,0))=0,IF(SUMIFS($AD$3:$AD$870,$AC$3:$AC$870,F$23,$AE$3:$AE$870,"&lt;="&amp;$B136,$AF$3:$AF$870,"&gt;="&amp;$B136)=0,0,9.99),SUMIFS($AD$3:$AD$870,$AC$3:$AC$870,F$23,$AE$3:$AE$870,"&lt;="&amp;$B136,$AF$3:$AF$870,"&gt;="&amp;$B136)/INDEX('01_INPUTS'!$E$17:$E$31,MATCH(F$23,'01_INPUTS'!$B$17:$B$31,0)))</f>
        <v>0</v>
      </c>
      <c r="G136" s="61">
        <f>IF(INDEX('01_INPUTS'!$E$17:$E$31,MATCH(G$23,'01_INPUTS'!$B$17:$B$31,0))=0,IF(SUMIFS($AD$3:$AD$870,$AC$3:$AC$870,G$23,$AE$3:$AE$870,"&lt;="&amp;$B136,$AF$3:$AF$870,"&gt;="&amp;$B136)=0,0,9.99),SUMIFS($AD$3:$AD$870,$AC$3:$AC$870,G$23,$AE$3:$AE$870,"&lt;="&amp;$B136,$AF$3:$AF$870,"&gt;="&amp;$B136)/INDEX('01_INPUTS'!$E$17:$E$31,MATCH(G$23,'01_INPUTS'!$B$17:$B$31,0)))</f>
        <v>0</v>
      </c>
      <c r="H136" s="61">
        <f>IF(INDEX('01_INPUTS'!$E$17:$E$31,MATCH(H$23,'01_INPUTS'!$B$17:$B$31,0))=0,IF(SUMIFS($AD$3:$AD$870,$AC$3:$AC$870,H$23,$AE$3:$AE$870,"&lt;="&amp;$B136,$AF$3:$AF$870,"&gt;="&amp;$B136)=0,0,9.99),SUMIFS($AD$3:$AD$870,$AC$3:$AC$870,H$23,$AE$3:$AE$870,"&lt;="&amp;$B136,$AF$3:$AF$870,"&gt;="&amp;$B136)/INDEX('01_INPUTS'!$E$17:$E$31,MATCH(H$23,'01_INPUTS'!$B$17:$B$31,0)))</f>
        <v>0</v>
      </c>
      <c r="I136" s="61">
        <f>IF(INDEX('01_INPUTS'!$E$17:$E$31,MATCH(I$23,'01_INPUTS'!$B$17:$B$31,0))=0,IF(SUMIFS($AD$3:$AD$870,$AC$3:$AC$870,I$23,$AE$3:$AE$870,"&lt;="&amp;$B136,$AF$3:$AF$870,"&gt;="&amp;$B136)=0,0,9.99),SUMIFS($AD$3:$AD$870,$AC$3:$AC$870,I$23,$AE$3:$AE$870,"&lt;="&amp;$B136,$AF$3:$AF$870,"&gt;="&amp;$B136)/INDEX('01_INPUTS'!$E$17:$E$31,MATCH(I$23,'01_INPUTS'!$B$17:$B$31,0)))</f>
        <v>0</v>
      </c>
      <c r="J136" s="61">
        <f>IF(INDEX('01_INPUTS'!$E$17:$E$31,MATCH(J$23,'01_INPUTS'!$B$17:$B$31,0))=0,IF(SUMIFS($AD$3:$AD$870,$AC$3:$AC$870,J$23,$AE$3:$AE$870,"&lt;="&amp;$B136,$AF$3:$AF$870,"&gt;="&amp;$B136)=0,0,9.99),SUMIFS($AD$3:$AD$870,$AC$3:$AC$870,J$23,$AE$3:$AE$870,"&lt;="&amp;$B136,$AF$3:$AF$870,"&gt;="&amp;$B136)/INDEX('01_INPUTS'!$E$17:$E$31,MATCH(J$23,'01_INPUTS'!$B$17:$B$31,0)))</f>
        <v>0</v>
      </c>
      <c r="K136" s="61">
        <f>IF(INDEX('01_INPUTS'!$E$17:$E$31,MATCH(K$23,'01_INPUTS'!$B$17:$B$31,0))=0,IF(SUMIFS($AD$3:$AD$870,$AC$3:$AC$870,K$23,$AE$3:$AE$870,"&lt;="&amp;$B136,$AF$3:$AF$870,"&gt;="&amp;$B136)=0,0,9.99),SUMIFS($AD$3:$AD$870,$AC$3:$AC$870,K$23,$AE$3:$AE$870,"&lt;="&amp;$B136,$AF$3:$AF$870,"&gt;="&amp;$B136)/INDEX('01_INPUTS'!$E$17:$E$31,MATCH(K$23,'01_INPUTS'!$B$17:$B$31,0)))</f>
        <v>0</v>
      </c>
      <c r="L136" s="61">
        <f>IF(INDEX('01_INPUTS'!$E$17:$E$31,MATCH(L$23,'01_INPUTS'!$B$17:$B$31,0))=0,IF(SUMIFS($AD$3:$AD$870,$AC$3:$AC$870,L$23,$AE$3:$AE$870,"&lt;="&amp;$B136,$AF$3:$AF$870,"&gt;="&amp;$B136)=0,0,9.99),SUMIFS($AD$3:$AD$870,$AC$3:$AC$870,L$23,$AE$3:$AE$870,"&lt;="&amp;$B136,$AF$3:$AF$870,"&gt;="&amp;$B136)/INDEX('01_INPUTS'!$E$17:$E$31,MATCH(L$23,'01_INPUTS'!$B$17:$B$31,0)))</f>
        <v>0</v>
      </c>
      <c r="M136" s="61">
        <f>IF(INDEX('01_INPUTS'!$E$17:$E$31,MATCH(M$23,'01_INPUTS'!$B$17:$B$31,0))=0,IF(SUMIFS($AD$3:$AD$870,$AC$3:$AC$870,M$23,$AE$3:$AE$870,"&lt;="&amp;$B136,$AF$3:$AF$870,"&gt;="&amp;$B136)=0,0,9.99),SUMIFS($AD$3:$AD$870,$AC$3:$AC$870,M$23,$AE$3:$AE$870,"&lt;="&amp;$B136,$AF$3:$AF$870,"&gt;="&amp;$B136)/INDEX('01_INPUTS'!$E$17:$E$31,MATCH(M$23,'01_INPUTS'!$B$17:$B$31,0)))</f>
        <v>0</v>
      </c>
      <c r="N136" s="61">
        <f>IF(INDEX('01_INPUTS'!$E$17:$E$31,MATCH(N$23,'01_INPUTS'!$B$17:$B$31,0))=0,IF(SUMIFS($AD$3:$AD$870,$AC$3:$AC$870,N$23,$AE$3:$AE$870,"&lt;="&amp;$B136,$AF$3:$AF$870,"&gt;="&amp;$B136)=0,0,9.99),SUMIFS($AD$3:$AD$870,$AC$3:$AC$870,N$23,$AE$3:$AE$870,"&lt;="&amp;$B136,$AF$3:$AF$870,"&gt;="&amp;$B136)/INDEX('01_INPUTS'!$E$17:$E$31,MATCH(N$23,'01_INPUTS'!$B$17:$B$31,0)))</f>
        <v>0</v>
      </c>
      <c r="O136" s="61">
        <f>IF(INDEX('01_INPUTS'!$E$17:$E$31,MATCH(O$23,'01_INPUTS'!$B$17:$B$31,0))=0,IF(SUMIFS($AD$3:$AD$870,$AC$3:$AC$870,O$23,$AE$3:$AE$870,"&lt;="&amp;$B136,$AF$3:$AF$870,"&gt;="&amp;$B136)=0,0,9.99),SUMIFS($AD$3:$AD$870,$AC$3:$AC$870,O$23,$AE$3:$AE$870,"&lt;="&amp;$B136,$AF$3:$AF$870,"&gt;="&amp;$B136)/INDEX('01_INPUTS'!$E$17:$E$31,MATCH(O$23,'01_INPUTS'!$B$17:$B$31,0)))</f>
        <v>0</v>
      </c>
      <c r="P136" s="61">
        <f>IF(INDEX('01_INPUTS'!$E$17:$E$31,MATCH(P$23,'01_INPUTS'!$B$17:$B$31,0))=0,IF(SUMIFS($AD$3:$AD$870,$AC$3:$AC$870,P$23,$AE$3:$AE$870,"&lt;="&amp;$B136,$AF$3:$AF$870,"&gt;="&amp;$B136)=0,0,9.99),SUMIFS($AD$3:$AD$870,$AC$3:$AC$870,P$23,$AE$3:$AE$870,"&lt;="&amp;$B136,$AF$3:$AF$870,"&gt;="&amp;$B136)/INDEX('01_INPUTS'!$E$17:$E$31,MATCH(P$23,'01_INPUTS'!$B$17:$B$31,0)))</f>
        <v>0</v>
      </c>
      <c r="Q136" s="61">
        <f>IF(INDEX('01_INPUTS'!$E$17:$E$31,MATCH(Q$23,'01_INPUTS'!$B$17:$B$31,0))=0,IF(SUMIFS($AD$3:$AD$870,$AC$3:$AC$870,Q$23,$AE$3:$AE$870,"&lt;="&amp;$B136,$AF$3:$AF$870,"&gt;="&amp;$B136)=0,0,9.99),SUMIFS($AD$3:$AD$870,$AC$3:$AC$870,Q$23,$AE$3:$AE$870,"&lt;="&amp;$B136,$AF$3:$AF$870,"&gt;="&amp;$B136)/INDEX('01_INPUTS'!$E$17:$E$31,MATCH(Q$23,'01_INPUTS'!$B$17:$B$31,0)))</f>
        <v>0</v>
      </c>
      <c r="R136" s="61">
        <f>IF(INDEX('01_INPUTS'!$E$17:$E$31,MATCH(R$23,'01_INPUTS'!$B$17:$B$31,0))=0,IF(SUMIFS($AD$3:$AD$870,$AC$3:$AC$870,R$23,$AE$3:$AE$870,"&lt;="&amp;$B136,$AF$3:$AF$870,"&gt;="&amp;$B136)=0,0,9.99),SUMIFS($AD$3:$AD$870,$AC$3:$AC$870,R$23,$AE$3:$AE$870,"&lt;="&amp;$B136,$AF$3:$AF$870,"&gt;="&amp;$B136)/INDEX('01_INPUTS'!$E$17:$E$31,MATCH(R$23,'01_INPUTS'!$B$17:$B$31,0)))</f>
        <v>0</v>
      </c>
      <c r="S136">
        <f t="shared" si="14"/>
        <v>0</v>
      </c>
      <c r="T136">
        <f>SUM('01_INPUTS'!$E$17:$E$31)</f>
        <v>20</v>
      </c>
      <c r="U136" s="61">
        <f t="shared" si="15"/>
        <v>0</v>
      </c>
      <c r="V136">
        <f t="shared" si="16"/>
        <v>0</v>
      </c>
      <c r="W136" t="str">
        <f t="shared" si="17"/>
        <v>VERDE</v>
      </c>
      <c r="AA136" s="51" t="str">
        <f>'Sites Master'!$B$4</f>
        <v>Site 03</v>
      </c>
      <c r="AB136" s="51" t="str">
        <f>'Phase-Resource Allocation'!$B$73</f>
        <v>Design Adaptation</v>
      </c>
      <c r="AC136" s="51" t="str">
        <f>'Phase-Resource Allocation'!$C$73</f>
        <v>Trainers</v>
      </c>
      <c r="AD136" s="60">
        <f>'Phase-Resource Allocation'!$D$73</f>
        <v>1</v>
      </c>
      <c r="AE136" s="51">
        <f>IFERROR(INDEX('02_SCHEDULE'!$K$5:$K$124,MATCH(AA136&amp;"|"&amp;AB136,'02_SCHEDULE'!$M$5:$M$124,0)),0)</f>
        <v>5</v>
      </c>
      <c r="AF136" s="51">
        <f>IFERROR(INDEX('02_SCHEDULE'!$L$5:$L$124,MATCH(AA136&amp;"|"&amp;AB136,'02_SCHEDULE'!$M$5:$M$124,0)),0)</f>
        <v>5</v>
      </c>
      <c r="AG136" s="51">
        <f t="shared" si="18"/>
        <v>1</v>
      </c>
    </row>
    <row r="137" spans="2:33" x14ac:dyDescent="0.3">
      <c r="B137">
        <f>114</f>
        <v>114</v>
      </c>
      <c r="C137" s="55">
        <f>'01_INPUTS'!$C$7+(114-1)*7</f>
        <v>47042</v>
      </c>
      <c r="D137" s="61">
        <f>IF(INDEX('01_INPUTS'!$E$17:$E$31,MATCH(D$23,'01_INPUTS'!$B$17:$B$31,0))=0,IF(SUMIFS($AD$3:$AD$870,$AC$3:$AC$870,D$23,$AE$3:$AE$870,"&lt;="&amp;$B137,$AF$3:$AF$870,"&gt;="&amp;$B137)=0,0,9.99),SUMIFS($AD$3:$AD$870,$AC$3:$AC$870,D$23,$AE$3:$AE$870,"&lt;="&amp;$B137,$AF$3:$AF$870,"&gt;="&amp;$B137)/INDEX('01_INPUTS'!$E$17:$E$31,MATCH(D$23,'01_INPUTS'!$B$17:$B$31,0)))</f>
        <v>0</v>
      </c>
      <c r="E137" s="61">
        <f>IF(INDEX('01_INPUTS'!$E$17:$E$31,MATCH(E$23,'01_INPUTS'!$B$17:$B$31,0))=0,IF(SUMIFS($AD$3:$AD$870,$AC$3:$AC$870,E$23,$AE$3:$AE$870,"&lt;="&amp;$B137,$AF$3:$AF$870,"&gt;="&amp;$B137)=0,0,9.99),SUMIFS($AD$3:$AD$870,$AC$3:$AC$870,E$23,$AE$3:$AE$870,"&lt;="&amp;$B137,$AF$3:$AF$870,"&gt;="&amp;$B137)/INDEX('01_INPUTS'!$E$17:$E$31,MATCH(E$23,'01_INPUTS'!$B$17:$B$31,0)))</f>
        <v>0</v>
      </c>
      <c r="F137" s="61">
        <f>IF(INDEX('01_INPUTS'!$E$17:$E$31,MATCH(F$23,'01_INPUTS'!$B$17:$B$31,0))=0,IF(SUMIFS($AD$3:$AD$870,$AC$3:$AC$870,F$23,$AE$3:$AE$870,"&lt;="&amp;$B137,$AF$3:$AF$870,"&gt;="&amp;$B137)=0,0,9.99),SUMIFS($AD$3:$AD$870,$AC$3:$AC$870,F$23,$AE$3:$AE$870,"&lt;="&amp;$B137,$AF$3:$AF$870,"&gt;="&amp;$B137)/INDEX('01_INPUTS'!$E$17:$E$31,MATCH(F$23,'01_INPUTS'!$B$17:$B$31,0)))</f>
        <v>0</v>
      </c>
      <c r="G137" s="61">
        <f>IF(INDEX('01_INPUTS'!$E$17:$E$31,MATCH(G$23,'01_INPUTS'!$B$17:$B$31,0))=0,IF(SUMIFS($AD$3:$AD$870,$AC$3:$AC$870,G$23,$AE$3:$AE$870,"&lt;="&amp;$B137,$AF$3:$AF$870,"&gt;="&amp;$B137)=0,0,9.99),SUMIFS($AD$3:$AD$870,$AC$3:$AC$870,G$23,$AE$3:$AE$870,"&lt;="&amp;$B137,$AF$3:$AF$870,"&gt;="&amp;$B137)/INDEX('01_INPUTS'!$E$17:$E$31,MATCH(G$23,'01_INPUTS'!$B$17:$B$31,0)))</f>
        <v>0</v>
      </c>
      <c r="H137" s="61">
        <f>IF(INDEX('01_INPUTS'!$E$17:$E$31,MATCH(H$23,'01_INPUTS'!$B$17:$B$31,0))=0,IF(SUMIFS($AD$3:$AD$870,$AC$3:$AC$870,H$23,$AE$3:$AE$870,"&lt;="&amp;$B137,$AF$3:$AF$870,"&gt;="&amp;$B137)=0,0,9.99),SUMIFS($AD$3:$AD$870,$AC$3:$AC$870,H$23,$AE$3:$AE$870,"&lt;="&amp;$B137,$AF$3:$AF$870,"&gt;="&amp;$B137)/INDEX('01_INPUTS'!$E$17:$E$31,MATCH(H$23,'01_INPUTS'!$B$17:$B$31,0)))</f>
        <v>0</v>
      </c>
      <c r="I137" s="61">
        <f>IF(INDEX('01_INPUTS'!$E$17:$E$31,MATCH(I$23,'01_INPUTS'!$B$17:$B$31,0))=0,IF(SUMIFS($AD$3:$AD$870,$AC$3:$AC$870,I$23,$AE$3:$AE$870,"&lt;="&amp;$B137,$AF$3:$AF$870,"&gt;="&amp;$B137)=0,0,9.99),SUMIFS($AD$3:$AD$870,$AC$3:$AC$870,I$23,$AE$3:$AE$870,"&lt;="&amp;$B137,$AF$3:$AF$870,"&gt;="&amp;$B137)/INDEX('01_INPUTS'!$E$17:$E$31,MATCH(I$23,'01_INPUTS'!$B$17:$B$31,0)))</f>
        <v>0</v>
      </c>
      <c r="J137" s="61">
        <f>IF(INDEX('01_INPUTS'!$E$17:$E$31,MATCH(J$23,'01_INPUTS'!$B$17:$B$31,0))=0,IF(SUMIFS($AD$3:$AD$870,$AC$3:$AC$870,J$23,$AE$3:$AE$870,"&lt;="&amp;$B137,$AF$3:$AF$870,"&gt;="&amp;$B137)=0,0,9.99),SUMIFS($AD$3:$AD$870,$AC$3:$AC$870,J$23,$AE$3:$AE$870,"&lt;="&amp;$B137,$AF$3:$AF$870,"&gt;="&amp;$B137)/INDEX('01_INPUTS'!$E$17:$E$31,MATCH(J$23,'01_INPUTS'!$B$17:$B$31,0)))</f>
        <v>0</v>
      </c>
      <c r="K137" s="61">
        <f>IF(INDEX('01_INPUTS'!$E$17:$E$31,MATCH(K$23,'01_INPUTS'!$B$17:$B$31,0))=0,IF(SUMIFS($AD$3:$AD$870,$AC$3:$AC$870,K$23,$AE$3:$AE$870,"&lt;="&amp;$B137,$AF$3:$AF$870,"&gt;="&amp;$B137)=0,0,9.99),SUMIFS($AD$3:$AD$870,$AC$3:$AC$870,K$23,$AE$3:$AE$870,"&lt;="&amp;$B137,$AF$3:$AF$870,"&gt;="&amp;$B137)/INDEX('01_INPUTS'!$E$17:$E$31,MATCH(K$23,'01_INPUTS'!$B$17:$B$31,0)))</f>
        <v>0</v>
      </c>
      <c r="L137" s="61">
        <f>IF(INDEX('01_INPUTS'!$E$17:$E$31,MATCH(L$23,'01_INPUTS'!$B$17:$B$31,0))=0,IF(SUMIFS($AD$3:$AD$870,$AC$3:$AC$870,L$23,$AE$3:$AE$870,"&lt;="&amp;$B137,$AF$3:$AF$870,"&gt;="&amp;$B137)=0,0,9.99),SUMIFS($AD$3:$AD$870,$AC$3:$AC$870,L$23,$AE$3:$AE$870,"&lt;="&amp;$B137,$AF$3:$AF$870,"&gt;="&amp;$B137)/INDEX('01_INPUTS'!$E$17:$E$31,MATCH(L$23,'01_INPUTS'!$B$17:$B$31,0)))</f>
        <v>0</v>
      </c>
      <c r="M137" s="61">
        <f>IF(INDEX('01_INPUTS'!$E$17:$E$31,MATCH(M$23,'01_INPUTS'!$B$17:$B$31,0))=0,IF(SUMIFS($AD$3:$AD$870,$AC$3:$AC$870,M$23,$AE$3:$AE$870,"&lt;="&amp;$B137,$AF$3:$AF$870,"&gt;="&amp;$B137)=0,0,9.99),SUMIFS($AD$3:$AD$870,$AC$3:$AC$870,M$23,$AE$3:$AE$870,"&lt;="&amp;$B137,$AF$3:$AF$870,"&gt;="&amp;$B137)/INDEX('01_INPUTS'!$E$17:$E$31,MATCH(M$23,'01_INPUTS'!$B$17:$B$31,0)))</f>
        <v>0</v>
      </c>
      <c r="N137" s="61">
        <f>IF(INDEX('01_INPUTS'!$E$17:$E$31,MATCH(N$23,'01_INPUTS'!$B$17:$B$31,0))=0,IF(SUMIFS($AD$3:$AD$870,$AC$3:$AC$870,N$23,$AE$3:$AE$870,"&lt;="&amp;$B137,$AF$3:$AF$870,"&gt;="&amp;$B137)=0,0,9.99),SUMIFS($AD$3:$AD$870,$AC$3:$AC$870,N$23,$AE$3:$AE$870,"&lt;="&amp;$B137,$AF$3:$AF$870,"&gt;="&amp;$B137)/INDEX('01_INPUTS'!$E$17:$E$31,MATCH(N$23,'01_INPUTS'!$B$17:$B$31,0)))</f>
        <v>0</v>
      </c>
      <c r="O137" s="61">
        <f>IF(INDEX('01_INPUTS'!$E$17:$E$31,MATCH(O$23,'01_INPUTS'!$B$17:$B$31,0))=0,IF(SUMIFS($AD$3:$AD$870,$AC$3:$AC$870,O$23,$AE$3:$AE$870,"&lt;="&amp;$B137,$AF$3:$AF$870,"&gt;="&amp;$B137)=0,0,9.99),SUMIFS($AD$3:$AD$870,$AC$3:$AC$870,O$23,$AE$3:$AE$870,"&lt;="&amp;$B137,$AF$3:$AF$870,"&gt;="&amp;$B137)/INDEX('01_INPUTS'!$E$17:$E$31,MATCH(O$23,'01_INPUTS'!$B$17:$B$31,0)))</f>
        <v>0</v>
      </c>
      <c r="P137" s="61">
        <f>IF(INDEX('01_INPUTS'!$E$17:$E$31,MATCH(P$23,'01_INPUTS'!$B$17:$B$31,0))=0,IF(SUMIFS($AD$3:$AD$870,$AC$3:$AC$870,P$23,$AE$3:$AE$870,"&lt;="&amp;$B137,$AF$3:$AF$870,"&gt;="&amp;$B137)=0,0,9.99),SUMIFS($AD$3:$AD$870,$AC$3:$AC$870,P$23,$AE$3:$AE$870,"&lt;="&amp;$B137,$AF$3:$AF$870,"&gt;="&amp;$B137)/INDEX('01_INPUTS'!$E$17:$E$31,MATCH(P$23,'01_INPUTS'!$B$17:$B$31,0)))</f>
        <v>0</v>
      </c>
      <c r="Q137" s="61">
        <f>IF(INDEX('01_INPUTS'!$E$17:$E$31,MATCH(Q$23,'01_INPUTS'!$B$17:$B$31,0))=0,IF(SUMIFS($AD$3:$AD$870,$AC$3:$AC$870,Q$23,$AE$3:$AE$870,"&lt;="&amp;$B137,$AF$3:$AF$870,"&gt;="&amp;$B137)=0,0,9.99),SUMIFS($AD$3:$AD$870,$AC$3:$AC$870,Q$23,$AE$3:$AE$870,"&lt;="&amp;$B137,$AF$3:$AF$870,"&gt;="&amp;$B137)/INDEX('01_INPUTS'!$E$17:$E$31,MATCH(Q$23,'01_INPUTS'!$B$17:$B$31,0)))</f>
        <v>0</v>
      </c>
      <c r="R137" s="61">
        <f>IF(INDEX('01_INPUTS'!$E$17:$E$31,MATCH(R$23,'01_INPUTS'!$B$17:$B$31,0))=0,IF(SUMIFS($AD$3:$AD$870,$AC$3:$AC$870,R$23,$AE$3:$AE$870,"&lt;="&amp;$B137,$AF$3:$AF$870,"&gt;="&amp;$B137)=0,0,9.99),SUMIFS($AD$3:$AD$870,$AC$3:$AC$870,R$23,$AE$3:$AE$870,"&lt;="&amp;$B137,$AF$3:$AF$870,"&gt;="&amp;$B137)/INDEX('01_INPUTS'!$E$17:$E$31,MATCH(R$23,'01_INPUTS'!$B$17:$B$31,0)))</f>
        <v>0</v>
      </c>
      <c r="S137">
        <f t="shared" si="14"/>
        <v>0</v>
      </c>
      <c r="T137">
        <f>SUM('01_INPUTS'!$E$17:$E$31)</f>
        <v>20</v>
      </c>
      <c r="U137" s="61">
        <f t="shared" si="15"/>
        <v>0</v>
      </c>
      <c r="V137">
        <f t="shared" si="16"/>
        <v>0</v>
      </c>
      <c r="W137" t="str">
        <f t="shared" si="17"/>
        <v>VERDE</v>
      </c>
      <c r="AA137" s="51" t="str">
        <f>'Sites Master'!$B$4</f>
        <v>Site 03</v>
      </c>
      <c r="AB137" s="51" t="str">
        <f>'Phase-Resource Allocation'!$B$74</f>
        <v>Design Adaptation</v>
      </c>
      <c r="AC137" s="51" t="str">
        <f>'Phase-Resource Allocation'!$C$74</f>
        <v>Infrastructure Lead</v>
      </c>
      <c r="AD137" s="60">
        <f>'Phase-Resource Allocation'!$D$74</f>
        <v>1</v>
      </c>
      <c r="AE137" s="51">
        <f>IFERROR(INDEX('02_SCHEDULE'!$K$5:$K$124,MATCH(AA137&amp;"|"&amp;AB137,'02_SCHEDULE'!$M$5:$M$124,0)),0)</f>
        <v>5</v>
      </c>
      <c r="AF137" s="51">
        <f>IFERROR(INDEX('02_SCHEDULE'!$L$5:$L$124,MATCH(AA137&amp;"|"&amp;AB137,'02_SCHEDULE'!$M$5:$M$124,0)),0)</f>
        <v>5</v>
      </c>
      <c r="AG137" s="51">
        <f t="shared" si="18"/>
        <v>1</v>
      </c>
    </row>
    <row r="138" spans="2:33" x14ac:dyDescent="0.3">
      <c r="B138">
        <f>115</f>
        <v>115</v>
      </c>
      <c r="C138" s="55">
        <f>'01_INPUTS'!$C$7+(115-1)*7</f>
        <v>47049</v>
      </c>
      <c r="D138" s="61">
        <f>IF(INDEX('01_INPUTS'!$E$17:$E$31,MATCH(D$23,'01_INPUTS'!$B$17:$B$31,0))=0,IF(SUMIFS($AD$3:$AD$870,$AC$3:$AC$870,D$23,$AE$3:$AE$870,"&lt;="&amp;$B138,$AF$3:$AF$870,"&gt;="&amp;$B138)=0,0,9.99),SUMIFS($AD$3:$AD$870,$AC$3:$AC$870,D$23,$AE$3:$AE$870,"&lt;="&amp;$B138,$AF$3:$AF$870,"&gt;="&amp;$B138)/INDEX('01_INPUTS'!$E$17:$E$31,MATCH(D$23,'01_INPUTS'!$B$17:$B$31,0)))</f>
        <v>0</v>
      </c>
      <c r="E138" s="61">
        <f>IF(INDEX('01_INPUTS'!$E$17:$E$31,MATCH(E$23,'01_INPUTS'!$B$17:$B$31,0))=0,IF(SUMIFS($AD$3:$AD$870,$AC$3:$AC$870,E$23,$AE$3:$AE$870,"&lt;="&amp;$B138,$AF$3:$AF$870,"&gt;="&amp;$B138)=0,0,9.99),SUMIFS($AD$3:$AD$870,$AC$3:$AC$870,E$23,$AE$3:$AE$870,"&lt;="&amp;$B138,$AF$3:$AF$870,"&gt;="&amp;$B138)/INDEX('01_INPUTS'!$E$17:$E$31,MATCH(E$23,'01_INPUTS'!$B$17:$B$31,0)))</f>
        <v>0</v>
      </c>
      <c r="F138" s="61">
        <f>IF(INDEX('01_INPUTS'!$E$17:$E$31,MATCH(F$23,'01_INPUTS'!$B$17:$B$31,0))=0,IF(SUMIFS($AD$3:$AD$870,$AC$3:$AC$870,F$23,$AE$3:$AE$870,"&lt;="&amp;$B138,$AF$3:$AF$870,"&gt;="&amp;$B138)=0,0,9.99),SUMIFS($AD$3:$AD$870,$AC$3:$AC$870,F$23,$AE$3:$AE$870,"&lt;="&amp;$B138,$AF$3:$AF$870,"&gt;="&amp;$B138)/INDEX('01_INPUTS'!$E$17:$E$31,MATCH(F$23,'01_INPUTS'!$B$17:$B$31,0)))</f>
        <v>0</v>
      </c>
      <c r="G138" s="61">
        <f>IF(INDEX('01_INPUTS'!$E$17:$E$31,MATCH(G$23,'01_INPUTS'!$B$17:$B$31,0))=0,IF(SUMIFS($AD$3:$AD$870,$AC$3:$AC$870,G$23,$AE$3:$AE$870,"&lt;="&amp;$B138,$AF$3:$AF$870,"&gt;="&amp;$B138)=0,0,9.99),SUMIFS($AD$3:$AD$870,$AC$3:$AC$870,G$23,$AE$3:$AE$870,"&lt;="&amp;$B138,$AF$3:$AF$870,"&gt;="&amp;$B138)/INDEX('01_INPUTS'!$E$17:$E$31,MATCH(G$23,'01_INPUTS'!$B$17:$B$31,0)))</f>
        <v>0</v>
      </c>
      <c r="H138" s="61">
        <f>IF(INDEX('01_INPUTS'!$E$17:$E$31,MATCH(H$23,'01_INPUTS'!$B$17:$B$31,0))=0,IF(SUMIFS($AD$3:$AD$870,$AC$3:$AC$870,H$23,$AE$3:$AE$870,"&lt;="&amp;$B138,$AF$3:$AF$870,"&gt;="&amp;$B138)=0,0,9.99),SUMIFS($AD$3:$AD$870,$AC$3:$AC$870,H$23,$AE$3:$AE$870,"&lt;="&amp;$B138,$AF$3:$AF$870,"&gt;="&amp;$B138)/INDEX('01_INPUTS'!$E$17:$E$31,MATCH(H$23,'01_INPUTS'!$B$17:$B$31,0)))</f>
        <v>0</v>
      </c>
      <c r="I138" s="61">
        <f>IF(INDEX('01_INPUTS'!$E$17:$E$31,MATCH(I$23,'01_INPUTS'!$B$17:$B$31,0))=0,IF(SUMIFS($AD$3:$AD$870,$AC$3:$AC$870,I$23,$AE$3:$AE$870,"&lt;="&amp;$B138,$AF$3:$AF$870,"&gt;="&amp;$B138)=0,0,9.99),SUMIFS($AD$3:$AD$870,$AC$3:$AC$870,I$23,$AE$3:$AE$870,"&lt;="&amp;$B138,$AF$3:$AF$870,"&gt;="&amp;$B138)/INDEX('01_INPUTS'!$E$17:$E$31,MATCH(I$23,'01_INPUTS'!$B$17:$B$31,0)))</f>
        <v>0</v>
      </c>
      <c r="J138" s="61">
        <f>IF(INDEX('01_INPUTS'!$E$17:$E$31,MATCH(J$23,'01_INPUTS'!$B$17:$B$31,0))=0,IF(SUMIFS($AD$3:$AD$870,$AC$3:$AC$870,J$23,$AE$3:$AE$870,"&lt;="&amp;$B138,$AF$3:$AF$870,"&gt;="&amp;$B138)=0,0,9.99),SUMIFS($AD$3:$AD$870,$AC$3:$AC$870,J$23,$AE$3:$AE$870,"&lt;="&amp;$B138,$AF$3:$AF$870,"&gt;="&amp;$B138)/INDEX('01_INPUTS'!$E$17:$E$31,MATCH(J$23,'01_INPUTS'!$B$17:$B$31,0)))</f>
        <v>0</v>
      </c>
      <c r="K138" s="61">
        <f>IF(INDEX('01_INPUTS'!$E$17:$E$31,MATCH(K$23,'01_INPUTS'!$B$17:$B$31,0))=0,IF(SUMIFS($AD$3:$AD$870,$AC$3:$AC$870,K$23,$AE$3:$AE$870,"&lt;="&amp;$B138,$AF$3:$AF$870,"&gt;="&amp;$B138)=0,0,9.99),SUMIFS($AD$3:$AD$870,$AC$3:$AC$870,K$23,$AE$3:$AE$870,"&lt;="&amp;$B138,$AF$3:$AF$870,"&gt;="&amp;$B138)/INDEX('01_INPUTS'!$E$17:$E$31,MATCH(K$23,'01_INPUTS'!$B$17:$B$31,0)))</f>
        <v>0</v>
      </c>
      <c r="L138" s="61">
        <f>IF(INDEX('01_INPUTS'!$E$17:$E$31,MATCH(L$23,'01_INPUTS'!$B$17:$B$31,0))=0,IF(SUMIFS($AD$3:$AD$870,$AC$3:$AC$870,L$23,$AE$3:$AE$870,"&lt;="&amp;$B138,$AF$3:$AF$870,"&gt;="&amp;$B138)=0,0,9.99),SUMIFS($AD$3:$AD$870,$AC$3:$AC$870,L$23,$AE$3:$AE$870,"&lt;="&amp;$B138,$AF$3:$AF$870,"&gt;="&amp;$B138)/INDEX('01_INPUTS'!$E$17:$E$31,MATCH(L$23,'01_INPUTS'!$B$17:$B$31,0)))</f>
        <v>0</v>
      </c>
      <c r="M138" s="61">
        <f>IF(INDEX('01_INPUTS'!$E$17:$E$31,MATCH(M$23,'01_INPUTS'!$B$17:$B$31,0))=0,IF(SUMIFS($AD$3:$AD$870,$AC$3:$AC$870,M$23,$AE$3:$AE$870,"&lt;="&amp;$B138,$AF$3:$AF$870,"&gt;="&amp;$B138)=0,0,9.99),SUMIFS($AD$3:$AD$870,$AC$3:$AC$870,M$23,$AE$3:$AE$870,"&lt;="&amp;$B138,$AF$3:$AF$870,"&gt;="&amp;$B138)/INDEX('01_INPUTS'!$E$17:$E$31,MATCH(M$23,'01_INPUTS'!$B$17:$B$31,0)))</f>
        <v>0</v>
      </c>
      <c r="N138" s="61">
        <f>IF(INDEX('01_INPUTS'!$E$17:$E$31,MATCH(N$23,'01_INPUTS'!$B$17:$B$31,0))=0,IF(SUMIFS($AD$3:$AD$870,$AC$3:$AC$870,N$23,$AE$3:$AE$870,"&lt;="&amp;$B138,$AF$3:$AF$870,"&gt;="&amp;$B138)=0,0,9.99),SUMIFS($AD$3:$AD$870,$AC$3:$AC$870,N$23,$AE$3:$AE$870,"&lt;="&amp;$B138,$AF$3:$AF$870,"&gt;="&amp;$B138)/INDEX('01_INPUTS'!$E$17:$E$31,MATCH(N$23,'01_INPUTS'!$B$17:$B$31,0)))</f>
        <v>0</v>
      </c>
      <c r="O138" s="61">
        <f>IF(INDEX('01_INPUTS'!$E$17:$E$31,MATCH(O$23,'01_INPUTS'!$B$17:$B$31,0))=0,IF(SUMIFS($AD$3:$AD$870,$AC$3:$AC$870,O$23,$AE$3:$AE$870,"&lt;="&amp;$B138,$AF$3:$AF$870,"&gt;="&amp;$B138)=0,0,9.99),SUMIFS($AD$3:$AD$870,$AC$3:$AC$870,O$23,$AE$3:$AE$870,"&lt;="&amp;$B138,$AF$3:$AF$870,"&gt;="&amp;$B138)/INDEX('01_INPUTS'!$E$17:$E$31,MATCH(O$23,'01_INPUTS'!$B$17:$B$31,0)))</f>
        <v>0</v>
      </c>
      <c r="P138" s="61">
        <f>IF(INDEX('01_INPUTS'!$E$17:$E$31,MATCH(P$23,'01_INPUTS'!$B$17:$B$31,0))=0,IF(SUMIFS($AD$3:$AD$870,$AC$3:$AC$870,P$23,$AE$3:$AE$870,"&lt;="&amp;$B138,$AF$3:$AF$870,"&gt;="&amp;$B138)=0,0,9.99),SUMIFS($AD$3:$AD$870,$AC$3:$AC$870,P$23,$AE$3:$AE$870,"&lt;="&amp;$B138,$AF$3:$AF$870,"&gt;="&amp;$B138)/INDEX('01_INPUTS'!$E$17:$E$31,MATCH(P$23,'01_INPUTS'!$B$17:$B$31,0)))</f>
        <v>0</v>
      </c>
      <c r="Q138" s="61">
        <f>IF(INDEX('01_INPUTS'!$E$17:$E$31,MATCH(Q$23,'01_INPUTS'!$B$17:$B$31,0))=0,IF(SUMIFS($AD$3:$AD$870,$AC$3:$AC$870,Q$23,$AE$3:$AE$870,"&lt;="&amp;$B138,$AF$3:$AF$870,"&gt;="&amp;$B138)=0,0,9.99),SUMIFS($AD$3:$AD$870,$AC$3:$AC$870,Q$23,$AE$3:$AE$870,"&lt;="&amp;$B138,$AF$3:$AF$870,"&gt;="&amp;$B138)/INDEX('01_INPUTS'!$E$17:$E$31,MATCH(Q$23,'01_INPUTS'!$B$17:$B$31,0)))</f>
        <v>0</v>
      </c>
      <c r="R138" s="61">
        <f>IF(INDEX('01_INPUTS'!$E$17:$E$31,MATCH(R$23,'01_INPUTS'!$B$17:$B$31,0))=0,IF(SUMIFS($AD$3:$AD$870,$AC$3:$AC$870,R$23,$AE$3:$AE$870,"&lt;="&amp;$B138,$AF$3:$AF$870,"&gt;="&amp;$B138)=0,0,9.99),SUMIFS($AD$3:$AD$870,$AC$3:$AC$870,R$23,$AE$3:$AE$870,"&lt;="&amp;$B138,$AF$3:$AF$870,"&gt;="&amp;$B138)/INDEX('01_INPUTS'!$E$17:$E$31,MATCH(R$23,'01_INPUTS'!$B$17:$B$31,0)))</f>
        <v>0</v>
      </c>
      <c r="S138">
        <f t="shared" si="14"/>
        <v>0</v>
      </c>
      <c r="T138">
        <f>SUM('01_INPUTS'!$E$17:$E$31)</f>
        <v>20</v>
      </c>
      <c r="U138" s="61">
        <f t="shared" si="15"/>
        <v>0</v>
      </c>
      <c r="V138">
        <f t="shared" si="16"/>
        <v>0</v>
      </c>
      <c r="W138" t="str">
        <f t="shared" si="17"/>
        <v>VERDE</v>
      </c>
      <c r="AA138" s="51" t="str">
        <f>'Sites Master'!$B$4</f>
        <v>Site 03</v>
      </c>
      <c r="AB138" s="51" t="str">
        <f>'Phase-Resource Allocation'!$B$75</f>
        <v>Design Adaptation</v>
      </c>
      <c r="AC138" s="51" t="str">
        <f>'Phase-Resource Allocation'!$C$75</f>
        <v>Functional Lead Vendor A</v>
      </c>
      <c r="AD138" s="60">
        <f>'Phase-Resource Allocation'!$D$75</f>
        <v>1</v>
      </c>
      <c r="AE138" s="51">
        <f>IFERROR(INDEX('02_SCHEDULE'!$K$5:$K$124,MATCH(AA138&amp;"|"&amp;AB138,'02_SCHEDULE'!$M$5:$M$124,0)),0)</f>
        <v>5</v>
      </c>
      <c r="AF138" s="51">
        <f>IFERROR(INDEX('02_SCHEDULE'!$L$5:$L$124,MATCH(AA138&amp;"|"&amp;AB138,'02_SCHEDULE'!$M$5:$M$124,0)),0)</f>
        <v>5</v>
      </c>
      <c r="AG138" s="51">
        <f t="shared" si="18"/>
        <v>1</v>
      </c>
    </row>
    <row r="139" spans="2:33" x14ac:dyDescent="0.3">
      <c r="B139">
        <f>116</f>
        <v>116</v>
      </c>
      <c r="C139" s="55">
        <f>'01_INPUTS'!$C$7+(116-1)*7</f>
        <v>47056</v>
      </c>
      <c r="D139" s="61">
        <f>IF(INDEX('01_INPUTS'!$E$17:$E$31,MATCH(D$23,'01_INPUTS'!$B$17:$B$31,0))=0,IF(SUMIFS($AD$3:$AD$870,$AC$3:$AC$870,D$23,$AE$3:$AE$870,"&lt;="&amp;$B139,$AF$3:$AF$870,"&gt;="&amp;$B139)=0,0,9.99),SUMIFS($AD$3:$AD$870,$AC$3:$AC$870,D$23,$AE$3:$AE$870,"&lt;="&amp;$B139,$AF$3:$AF$870,"&gt;="&amp;$B139)/INDEX('01_INPUTS'!$E$17:$E$31,MATCH(D$23,'01_INPUTS'!$B$17:$B$31,0)))</f>
        <v>0</v>
      </c>
      <c r="E139" s="61">
        <f>IF(INDEX('01_INPUTS'!$E$17:$E$31,MATCH(E$23,'01_INPUTS'!$B$17:$B$31,0))=0,IF(SUMIFS($AD$3:$AD$870,$AC$3:$AC$870,E$23,$AE$3:$AE$870,"&lt;="&amp;$B139,$AF$3:$AF$870,"&gt;="&amp;$B139)=0,0,9.99),SUMIFS($AD$3:$AD$870,$AC$3:$AC$870,E$23,$AE$3:$AE$870,"&lt;="&amp;$B139,$AF$3:$AF$870,"&gt;="&amp;$B139)/INDEX('01_INPUTS'!$E$17:$E$31,MATCH(E$23,'01_INPUTS'!$B$17:$B$31,0)))</f>
        <v>0</v>
      </c>
      <c r="F139" s="61">
        <f>IF(INDEX('01_INPUTS'!$E$17:$E$31,MATCH(F$23,'01_INPUTS'!$B$17:$B$31,0))=0,IF(SUMIFS($AD$3:$AD$870,$AC$3:$AC$870,F$23,$AE$3:$AE$870,"&lt;="&amp;$B139,$AF$3:$AF$870,"&gt;="&amp;$B139)=0,0,9.99),SUMIFS($AD$3:$AD$870,$AC$3:$AC$870,F$23,$AE$3:$AE$870,"&lt;="&amp;$B139,$AF$3:$AF$870,"&gt;="&amp;$B139)/INDEX('01_INPUTS'!$E$17:$E$31,MATCH(F$23,'01_INPUTS'!$B$17:$B$31,0)))</f>
        <v>0</v>
      </c>
      <c r="G139" s="61">
        <f>IF(INDEX('01_INPUTS'!$E$17:$E$31,MATCH(G$23,'01_INPUTS'!$B$17:$B$31,0))=0,IF(SUMIFS($AD$3:$AD$870,$AC$3:$AC$870,G$23,$AE$3:$AE$870,"&lt;="&amp;$B139,$AF$3:$AF$870,"&gt;="&amp;$B139)=0,0,9.99),SUMIFS($AD$3:$AD$870,$AC$3:$AC$870,G$23,$AE$3:$AE$870,"&lt;="&amp;$B139,$AF$3:$AF$870,"&gt;="&amp;$B139)/INDEX('01_INPUTS'!$E$17:$E$31,MATCH(G$23,'01_INPUTS'!$B$17:$B$31,0)))</f>
        <v>0</v>
      </c>
      <c r="H139" s="61">
        <f>IF(INDEX('01_INPUTS'!$E$17:$E$31,MATCH(H$23,'01_INPUTS'!$B$17:$B$31,0))=0,IF(SUMIFS($AD$3:$AD$870,$AC$3:$AC$870,H$23,$AE$3:$AE$870,"&lt;="&amp;$B139,$AF$3:$AF$870,"&gt;="&amp;$B139)=0,0,9.99),SUMIFS($AD$3:$AD$870,$AC$3:$AC$870,H$23,$AE$3:$AE$870,"&lt;="&amp;$B139,$AF$3:$AF$870,"&gt;="&amp;$B139)/INDEX('01_INPUTS'!$E$17:$E$31,MATCH(H$23,'01_INPUTS'!$B$17:$B$31,0)))</f>
        <v>0</v>
      </c>
      <c r="I139" s="61">
        <f>IF(INDEX('01_INPUTS'!$E$17:$E$31,MATCH(I$23,'01_INPUTS'!$B$17:$B$31,0))=0,IF(SUMIFS($AD$3:$AD$870,$AC$3:$AC$870,I$23,$AE$3:$AE$870,"&lt;="&amp;$B139,$AF$3:$AF$870,"&gt;="&amp;$B139)=0,0,9.99),SUMIFS($AD$3:$AD$870,$AC$3:$AC$870,I$23,$AE$3:$AE$870,"&lt;="&amp;$B139,$AF$3:$AF$870,"&gt;="&amp;$B139)/INDEX('01_INPUTS'!$E$17:$E$31,MATCH(I$23,'01_INPUTS'!$B$17:$B$31,0)))</f>
        <v>0</v>
      </c>
      <c r="J139" s="61">
        <f>IF(INDEX('01_INPUTS'!$E$17:$E$31,MATCH(J$23,'01_INPUTS'!$B$17:$B$31,0))=0,IF(SUMIFS($AD$3:$AD$870,$AC$3:$AC$870,J$23,$AE$3:$AE$870,"&lt;="&amp;$B139,$AF$3:$AF$870,"&gt;="&amp;$B139)=0,0,9.99),SUMIFS($AD$3:$AD$870,$AC$3:$AC$870,J$23,$AE$3:$AE$870,"&lt;="&amp;$B139,$AF$3:$AF$870,"&gt;="&amp;$B139)/INDEX('01_INPUTS'!$E$17:$E$31,MATCH(J$23,'01_INPUTS'!$B$17:$B$31,0)))</f>
        <v>0</v>
      </c>
      <c r="K139" s="61">
        <f>IF(INDEX('01_INPUTS'!$E$17:$E$31,MATCH(K$23,'01_INPUTS'!$B$17:$B$31,0))=0,IF(SUMIFS($AD$3:$AD$870,$AC$3:$AC$870,K$23,$AE$3:$AE$870,"&lt;="&amp;$B139,$AF$3:$AF$870,"&gt;="&amp;$B139)=0,0,9.99),SUMIFS($AD$3:$AD$870,$AC$3:$AC$870,K$23,$AE$3:$AE$870,"&lt;="&amp;$B139,$AF$3:$AF$870,"&gt;="&amp;$B139)/INDEX('01_INPUTS'!$E$17:$E$31,MATCH(K$23,'01_INPUTS'!$B$17:$B$31,0)))</f>
        <v>0</v>
      </c>
      <c r="L139" s="61">
        <f>IF(INDEX('01_INPUTS'!$E$17:$E$31,MATCH(L$23,'01_INPUTS'!$B$17:$B$31,0))=0,IF(SUMIFS($AD$3:$AD$870,$AC$3:$AC$870,L$23,$AE$3:$AE$870,"&lt;="&amp;$B139,$AF$3:$AF$870,"&gt;="&amp;$B139)=0,0,9.99),SUMIFS($AD$3:$AD$870,$AC$3:$AC$870,L$23,$AE$3:$AE$870,"&lt;="&amp;$B139,$AF$3:$AF$870,"&gt;="&amp;$B139)/INDEX('01_INPUTS'!$E$17:$E$31,MATCH(L$23,'01_INPUTS'!$B$17:$B$31,0)))</f>
        <v>0</v>
      </c>
      <c r="M139" s="61">
        <f>IF(INDEX('01_INPUTS'!$E$17:$E$31,MATCH(M$23,'01_INPUTS'!$B$17:$B$31,0))=0,IF(SUMIFS($AD$3:$AD$870,$AC$3:$AC$870,M$23,$AE$3:$AE$870,"&lt;="&amp;$B139,$AF$3:$AF$870,"&gt;="&amp;$B139)=0,0,9.99),SUMIFS($AD$3:$AD$870,$AC$3:$AC$870,M$23,$AE$3:$AE$870,"&lt;="&amp;$B139,$AF$3:$AF$870,"&gt;="&amp;$B139)/INDEX('01_INPUTS'!$E$17:$E$31,MATCH(M$23,'01_INPUTS'!$B$17:$B$31,0)))</f>
        <v>0</v>
      </c>
      <c r="N139" s="61">
        <f>IF(INDEX('01_INPUTS'!$E$17:$E$31,MATCH(N$23,'01_INPUTS'!$B$17:$B$31,0))=0,IF(SUMIFS($AD$3:$AD$870,$AC$3:$AC$870,N$23,$AE$3:$AE$870,"&lt;="&amp;$B139,$AF$3:$AF$870,"&gt;="&amp;$B139)=0,0,9.99),SUMIFS($AD$3:$AD$870,$AC$3:$AC$870,N$23,$AE$3:$AE$870,"&lt;="&amp;$B139,$AF$3:$AF$870,"&gt;="&amp;$B139)/INDEX('01_INPUTS'!$E$17:$E$31,MATCH(N$23,'01_INPUTS'!$B$17:$B$31,0)))</f>
        <v>0</v>
      </c>
      <c r="O139" s="61">
        <f>IF(INDEX('01_INPUTS'!$E$17:$E$31,MATCH(O$23,'01_INPUTS'!$B$17:$B$31,0))=0,IF(SUMIFS($AD$3:$AD$870,$AC$3:$AC$870,O$23,$AE$3:$AE$870,"&lt;="&amp;$B139,$AF$3:$AF$870,"&gt;="&amp;$B139)=0,0,9.99),SUMIFS($AD$3:$AD$870,$AC$3:$AC$870,O$23,$AE$3:$AE$870,"&lt;="&amp;$B139,$AF$3:$AF$870,"&gt;="&amp;$B139)/INDEX('01_INPUTS'!$E$17:$E$31,MATCH(O$23,'01_INPUTS'!$B$17:$B$31,0)))</f>
        <v>0</v>
      </c>
      <c r="P139" s="61">
        <f>IF(INDEX('01_INPUTS'!$E$17:$E$31,MATCH(P$23,'01_INPUTS'!$B$17:$B$31,0))=0,IF(SUMIFS($AD$3:$AD$870,$AC$3:$AC$870,P$23,$AE$3:$AE$870,"&lt;="&amp;$B139,$AF$3:$AF$870,"&gt;="&amp;$B139)=0,0,9.99),SUMIFS($AD$3:$AD$870,$AC$3:$AC$870,P$23,$AE$3:$AE$870,"&lt;="&amp;$B139,$AF$3:$AF$870,"&gt;="&amp;$B139)/INDEX('01_INPUTS'!$E$17:$E$31,MATCH(P$23,'01_INPUTS'!$B$17:$B$31,0)))</f>
        <v>0</v>
      </c>
      <c r="Q139" s="61">
        <f>IF(INDEX('01_INPUTS'!$E$17:$E$31,MATCH(Q$23,'01_INPUTS'!$B$17:$B$31,0))=0,IF(SUMIFS($AD$3:$AD$870,$AC$3:$AC$870,Q$23,$AE$3:$AE$870,"&lt;="&amp;$B139,$AF$3:$AF$870,"&gt;="&amp;$B139)=0,0,9.99),SUMIFS($AD$3:$AD$870,$AC$3:$AC$870,Q$23,$AE$3:$AE$870,"&lt;="&amp;$B139,$AF$3:$AF$870,"&gt;="&amp;$B139)/INDEX('01_INPUTS'!$E$17:$E$31,MATCH(Q$23,'01_INPUTS'!$B$17:$B$31,0)))</f>
        <v>0</v>
      </c>
      <c r="R139" s="61">
        <f>IF(INDEX('01_INPUTS'!$E$17:$E$31,MATCH(R$23,'01_INPUTS'!$B$17:$B$31,0))=0,IF(SUMIFS($AD$3:$AD$870,$AC$3:$AC$870,R$23,$AE$3:$AE$870,"&lt;="&amp;$B139,$AF$3:$AF$870,"&gt;="&amp;$B139)=0,0,9.99),SUMIFS($AD$3:$AD$870,$AC$3:$AC$870,R$23,$AE$3:$AE$870,"&lt;="&amp;$B139,$AF$3:$AF$870,"&gt;="&amp;$B139)/INDEX('01_INPUTS'!$E$17:$E$31,MATCH(R$23,'01_INPUTS'!$B$17:$B$31,0)))</f>
        <v>0</v>
      </c>
      <c r="S139">
        <f t="shared" si="14"/>
        <v>0</v>
      </c>
      <c r="T139">
        <f>SUM('01_INPUTS'!$E$17:$E$31)</f>
        <v>20</v>
      </c>
      <c r="U139" s="61">
        <f t="shared" si="15"/>
        <v>0</v>
      </c>
      <c r="V139">
        <f t="shared" si="16"/>
        <v>0</v>
      </c>
      <c r="W139" t="str">
        <f t="shared" si="17"/>
        <v>VERDE</v>
      </c>
      <c r="AA139" s="51" t="str">
        <f>'Sites Master'!$B$4</f>
        <v>Site 03</v>
      </c>
      <c r="AB139" s="51" t="str">
        <f>'Phase-Resource Allocation'!$B$76</f>
        <v>Functional Review</v>
      </c>
      <c r="AC139" s="51" t="str">
        <f>'Phase-Resource Allocation'!$C$76</f>
        <v>Solution Architect</v>
      </c>
      <c r="AD139" s="60">
        <f>'Phase-Resource Allocation'!$D$76</f>
        <v>0.5</v>
      </c>
      <c r="AE139" s="51">
        <f>IFERROR(INDEX('02_SCHEDULE'!$K$5:$K$124,MATCH(AA139&amp;"|"&amp;AB139,'02_SCHEDULE'!$M$5:$M$124,0)),0)</f>
        <v>6</v>
      </c>
      <c r="AF139" s="51">
        <f>IFERROR(INDEX('02_SCHEDULE'!$L$5:$L$124,MATCH(AA139&amp;"|"&amp;AB139,'02_SCHEDULE'!$M$5:$M$124,0)),0)</f>
        <v>6</v>
      </c>
      <c r="AG139" s="51">
        <f t="shared" si="18"/>
        <v>0.5</v>
      </c>
    </row>
    <row r="140" spans="2:33" x14ac:dyDescent="0.3">
      <c r="B140">
        <f>117</f>
        <v>117</v>
      </c>
      <c r="C140" s="55">
        <f>'01_INPUTS'!$C$7+(117-1)*7</f>
        <v>47063</v>
      </c>
      <c r="D140" s="61">
        <f>IF(INDEX('01_INPUTS'!$E$17:$E$31,MATCH(D$23,'01_INPUTS'!$B$17:$B$31,0))=0,IF(SUMIFS($AD$3:$AD$870,$AC$3:$AC$870,D$23,$AE$3:$AE$870,"&lt;="&amp;$B140,$AF$3:$AF$870,"&gt;="&amp;$B140)=0,0,9.99),SUMIFS($AD$3:$AD$870,$AC$3:$AC$870,D$23,$AE$3:$AE$870,"&lt;="&amp;$B140,$AF$3:$AF$870,"&gt;="&amp;$B140)/INDEX('01_INPUTS'!$E$17:$E$31,MATCH(D$23,'01_INPUTS'!$B$17:$B$31,0)))</f>
        <v>0</v>
      </c>
      <c r="E140" s="61">
        <f>IF(INDEX('01_INPUTS'!$E$17:$E$31,MATCH(E$23,'01_INPUTS'!$B$17:$B$31,0))=0,IF(SUMIFS($AD$3:$AD$870,$AC$3:$AC$870,E$23,$AE$3:$AE$870,"&lt;="&amp;$B140,$AF$3:$AF$870,"&gt;="&amp;$B140)=0,0,9.99),SUMIFS($AD$3:$AD$870,$AC$3:$AC$870,E$23,$AE$3:$AE$870,"&lt;="&amp;$B140,$AF$3:$AF$870,"&gt;="&amp;$B140)/INDEX('01_INPUTS'!$E$17:$E$31,MATCH(E$23,'01_INPUTS'!$B$17:$B$31,0)))</f>
        <v>0</v>
      </c>
      <c r="F140" s="61">
        <f>IF(INDEX('01_INPUTS'!$E$17:$E$31,MATCH(F$23,'01_INPUTS'!$B$17:$B$31,0))=0,IF(SUMIFS($AD$3:$AD$870,$AC$3:$AC$870,F$23,$AE$3:$AE$870,"&lt;="&amp;$B140,$AF$3:$AF$870,"&gt;="&amp;$B140)=0,0,9.99),SUMIFS($AD$3:$AD$870,$AC$3:$AC$870,F$23,$AE$3:$AE$870,"&lt;="&amp;$B140,$AF$3:$AF$870,"&gt;="&amp;$B140)/INDEX('01_INPUTS'!$E$17:$E$31,MATCH(F$23,'01_INPUTS'!$B$17:$B$31,0)))</f>
        <v>0</v>
      </c>
      <c r="G140" s="61">
        <f>IF(INDEX('01_INPUTS'!$E$17:$E$31,MATCH(G$23,'01_INPUTS'!$B$17:$B$31,0))=0,IF(SUMIFS($AD$3:$AD$870,$AC$3:$AC$870,G$23,$AE$3:$AE$870,"&lt;="&amp;$B140,$AF$3:$AF$870,"&gt;="&amp;$B140)=0,0,9.99),SUMIFS($AD$3:$AD$870,$AC$3:$AC$870,G$23,$AE$3:$AE$870,"&lt;="&amp;$B140,$AF$3:$AF$870,"&gt;="&amp;$B140)/INDEX('01_INPUTS'!$E$17:$E$31,MATCH(G$23,'01_INPUTS'!$B$17:$B$31,0)))</f>
        <v>0</v>
      </c>
      <c r="H140" s="61">
        <f>IF(INDEX('01_INPUTS'!$E$17:$E$31,MATCH(H$23,'01_INPUTS'!$B$17:$B$31,0))=0,IF(SUMIFS($AD$3:$AD$870,$AC$3:$AC$870,H$23,$AE$3:$AE$870,"&lt;="&amp;$B140,$AF$3:$AF$870,"&gt;="&amp;$B140)=0,0,9.99),SUMIFS($AD$3:$AD$870,$AC$3:$AC$870,H$23,$AE$3:$AE$870,"&lt;="&amp;$B140,$AF$3:$AF$870,"&gt;="&amp;$B140)/INDEX('01_INPUTS'!$E$17:$E$31,MATCH(H$23,'01_INPUTS'!$B$17:$B$31,0)))</f>
        <v>0</v>
      </c>
      <c r="I140" s="61">
        <f>IF(INDEX('01_INPUTS'!$E$17:$E$31,MATCH(I$23,'01_INPUTS'!$B$17:$B$31,0))=0,IF(SUMIFS($AD$3:$AD$870,$AC$3:$AC$870,I$23,$AE$3:$AE$870,"&lt;="&amp;$B140,$AF$3:$AF$870,"&gt;="&amp;$B140)=0,0,9.99),SUMIFS($AD$3:$AD$870,$AC$3:$AC$870,I$23,$AE$3:$AE$870,"&lt;="&amp;$B140,$AF$3:$AF$870,"&gt;="&amp;$B140)/INDEX('01_INPUTS'!$E$17:$E$31,MATCH(I$23,'01_INPUTS'!$B$17:$B$31,0)))</f>
        <v>0</v>
      </c>
      <c r="J140" s="61">
        <f>IF(INDEX('01_INPUTS'!$E$17:$E$31,MATCH(J$23,'01_INPUTS'!$B$17:$B$31,0))=0,IF(SUMIFS($AD$3:$AD$870,$AC$3:$AC$870,J$23,$AE$3:$AE$870,"&lt;="&amp;$B140,$AF$3:$AF$870,"&gt;="&amp;$B140)=0,0,9.99),SUMIFS($AD$3:$AD$870,$AC$3:$AC$870,J$23,$AE$3:$AE$870,"&lt;="&amp;$B140,$AF$3:$AF$870,"&gt;="&amp;$B140)/INDEX('01_INPUTS'!$E$17:$E$31,MATCH(J$23,'01_INPUTS'!$B$17:$B$31,0)))</f>
        <v>0</v>
      </c>
      <c r="K140" s="61">
        <f>IF(INDEX('01_INPUTS'!$E$17:$E$31,MATCH(K$23,'01_INPUTS'!$B$17:$B$31,0))=0,IF(SUMIFS($AD$3:$AD$870,$AC$3:$AC$870,K$23,$AE$3:$AE$870,"&lt;="&amp;$B140,$AF$3:$AF$870,"&gt;="&amp;$B140)=0,0,9.99),SUMIFS($AD$3:$AD$870,$AC$3:$AC$870,K$23,$AE$3:$AE$870,"&lt;="&amp;$B140,$AF$3:$AF$870,"&gt;="&amp;$B140)/INDEX('01_INPUTS'!$E$17:$E$31,MATCH(K$23,'01_INPUTS'!$B$17:$B$31,0)))</f>
        <v>0</v>
      </c>
      <c r="L140" s="61">
        <f>IF(INDEX('01_INPUTS'!$E$17:$E$31,MATCH(L$23,'01_INPUTS'!$B$17:$B$31,0))=0,IF(SUMIFS($AD$3:$AD$870,$AC$3:$AC$870,L$23,$AE$3:$AE$870,"&lt;="&amp;$B140,$AF$3:$AF$870,"&gt;="&amp;$B140)=0,0,9.99),SUMIFS($AD$3:$AD$870,$AC$3:$AC$870,L$23,$AE$3:$AE$870,"&lt;="&amp;$B140,$AF$3:$AF$870,"&gt;="&amp;$B140)/INDEX('01_INPUTS'!$E$17:$E$31,MATCH(L$23,'01_INPUTS'!$B$17:$B$31,0)))</f>
        <v>0</v>
      </c>
      <c r="M140" s="61">
        <f>IF(INDEX('01_INPUTS'!$E$17:$E$31,MATCH(M$23,'01_INPUTS'!$B$17:$B$31,0))=0,IF(SUMIFS($AD$3:$AD$870,$AC$3:$AC$870,M$23,$AE$3:$AE$870,"&lt;="&amp;$B140,$AF$3:$AF$870,"&gt;="&amp;$B140)=0,0,9.99),SUMIFS($AD$3:$AD$870,$AC$3:$AC$870,M$23,$AE$3:$AE$870,"&lt;="&amp;$B140,$AF$3:$AF$870,"&gt;="&amp;$B140)/INDEX('01_INPUTS'!$E$17:$E$31,MATCH(M$23,'01_INPUTS'!$B$17:$B$31,0)))</f>
        <v>0</v>
      </c>
      <c r="N140" s="61">
        <f>IF(INDEX('01_INPUTS'!$E$17:$E$31,MATCH(N$23,'01_INPUTS'!$B$17:$B$31,0))=0,IF(SUMIFS($AD$3:$AD$870,$AC$3:$AC$870,N$23,$AE$3:$AE$870,"&lt;="&amp;$B140,$AF$3:$AF$870,"&gt;="&amp;$B140)=0,0,9.99),SUMIFS($AD$3:$AD$870,$AC$3:$AC$870,N$23,$AE$3:$AE$870,"&lt;="&amp;$B140,$AF$3:$AF$870,"&gt;="&amp;$B140)/INDEX('01_INPUTS'!$E$17:$E$31,MATCH(N$23,'01_INPUTS'!$B$17:$B$31,0)))</f>
        <v>0</v>
      </c>
      <c r="O140" s="61">
        <f>IF(INDEX('01_INPUTS'!$E$17:$E$31,MATCH(O$23,'01_INPUTS'!$B$17:$B$31,0))=0,IF(SUMIFS($AD$3:$AD$870,$AC$3:$AC$870,O$23,$AE$3:$AE$870,"&lt;="&amp;$B140,$AF$3:$AF$870,"&gt;="&amp;$B140)=0,0,9.99),SUMIFS($AD$3:$AD$870,$AC$3:$AC$870,O$23,$AE$3:$AE$870,"&lt;="&amp;$B140,$AF$3:$AF$870,"&gt;="&amp;$B140)/INDEX('01_INPUTS'!$E$17:$E$31,MATCH(O$23,'01_INPUTS'!$B$17:$B$31,0)))</f>
        <v>0</v>
      </c>
      <c r="P140" s="61">
        <f>IF(INDEX('01_INPUTS'!$E$17:$E$31,MATCH(P$23,'01_INPUTS'!$B$17:$B$31,0))=0,IF(SUMIFS($AD$3:$AD$870,$AC$3:$AC$870,P$23,$AE$3:$AE$870,"&lt;="&amp;$B140,$AF$3:$AF$870,"&gt;="&amp;$B140)=0,0,9.99),SUMIFS($AD$3:$AD$870,$AC$3:$AC$870,P$23,$AE$3:$AE$870,"&lt;="&amp;$B140,$AF$3:$AF$870,"&gt;="&amp;$B140)/INDEX('01_INPUTS'!$E$17:$E$31,MATCH(P$23,'01_INPUTS'!$B$17:$B$31,0)))</f>
        <v>0</v>
      </c>
      <c r="Q140" s="61">
        <f>IF(INDEX('01_INPUTS'!$E$17:$E$31,MATCH(Q$23,'01_INPUTS'!$B$17:$B$31,0))=0,IF(SUMIFS($AD$3:$AD$870,$AC$3:$AC$870,Q$23,$AE$3:$AE$870,"&lt;="&amp;$B140,$AF$3:$AF$870,"&gt;="&amp;$B140)=0,0,9.99),SUMIFS($AD$3:$AD$870,$AC$3:$AC$870,Q$23,$AE$3:$AE$870,"&lt;="&amp;$B140,$AF$3:$AF$870,"&gt;="&amp;$B140)/INDEX('01_INPUTS'!$E$17:$E$31,MATCH(Q$23,'01_INPUTS'!$B$17:$B$31,0)))</f>
        <v>0</v>
      </c>
      <c r="R140" s="61">
        <f>IF(INDEX('01_INPUTS'!$E$17:$E$31,MATCH(R$23,'01_INPUTS'!$B$17:$B$31,0))=0,IF(SUMIFS($AD$3:$AD$870,$AC$3:$AC$870,R$23,$AE$3:$AE$870,"&lt;="&amp;$B140,$AF$3:$AF$870,"&gt;="&amp;$B140)=0,0,9.99),SUMIFS($AD$3:$AD$870,$AC$3:$AC$870,R$23,$AE$3:$AE$870,"&lt;="&amp;$B140,$AF$3:$AF$870,"&gt;="&amp;$B140)/INDEX('01_INPUTS'!$E$17:$E$31,MATCH(R$23,'01_INPUTS'!$B$17:$B$31,0)))</f>
        <v>0</v>
      </c>
      <c r="S140">
        <f t="shared" si="14"/>
        <v>0</v>
      </c>
      <c r="T140">
        <f>SUM('01_INPUTS'!$E$17:$E$31)</f>
        <v>20</v>
      </c>
      <c r="U140" s="61">
        <f t="shared" si="15"/>
        <v>0</v>
      </c>
      <c r="V140">
        <f t="shared" si="16"/>
        <v>0</v>
      </c>
      <c r="W140" t="str">
        <f t="shared" si="17"/>
        <v>VERDE</v>
      </c>
      <c r="AA140" s="51" t="str">
        <f>'Sites Master'!$B$4</f>
        <v>Site 03</v>
      </c>
      <c r="AB140" s="51" t="str">
        <f>'Phase-Resource Allocation'!$B$77</f>
        <v>Functional Review</v>
      </c>
      <c r="AC140" s="51" t="str">
        <f>'Phase-Resource Allocation'!$C$77</f>
        <v>Change Management Lead</v>
      </c>
      <c r="AD140" s="60">
        <f>'Phase-Resource Allocation'!$D$77</f>
        <v>1</v>
      </c>
      <c r="AE140" s="51">
        <f>IFERROR(INDEX('02_SCHEDULE'!$K$5:$K$124,MATCH(AA140&amp;"|"&amp;AB140,'02_SCHEDULE'!$M$5:$M$124,0)),0)</f>
        <v>6</v>
      </c>
      <c r="AF140" s="51">
        <f>IFERROR(INDEX('02_SCHEDULE'!$L$5:$L$124,MATCH(AA140&amp;"|"&amp;AB140,'02_SCHEDULE'!$M$5:$M$124,0)),0)</f>
        <v>6</v>
      </c>
      <c r="AG140" s="51">
        <f t="shared" si="18"/>
        <v>1</v>
      </c>
    </row>
    <row r="141" spans="2:33" x14ac:dyDescent="0.3">
      <c r="B141">
        <f>118</f>
        <v>118</v>
      </c>
      <c r="C141" s="55">
        <f>'01_INPUTS'!$C$7+(118-1)*7</f>
        <v>47070</v>
      </c>
      <c r="D141" s="61">
        <f>IF(INDEX('01_INPUTS'!$E$17:$E$31,MATCH(D$23,'01_INPUTS'!$B$17:$B$31,0))=0,IF(SUMIFS($AD$3:$AD$870,$AC$3:$AC$870,D$23,$AE$3:$AE$870,"&lt;="&amp;$B141,$AF$3:$AF$870,"&gt;="&amp;$B141)=0,0,9.99),SUMIFS($AD$3:$AD$870,$AC$3:$AC$870,D$23,$AE$3:$AE$870,"&lt;="&amp;$B141,$AF$3:$AF$870,"&gt;="&amp;$B141)/INDEX('01_INPUTS'!$E$17:$E$31,MATCH(D$23,'01_INPUTS'!$B$17:$B$31,0)))</f>
        <v>0</v>
      </c>
      <c r="E141" s="61">
        <f>IF(INDEX('01_INPUTS'!$E$17:$E$31,MATCH(E$23,'01_INPUTS'!$B$17:$B$31,0))=0,IF(SUMIFS($AD$3:$AD$870,$AC$3:$AC$870,E$23,$AE$3:$AE$870,"&lt;="&amp;$B141,$AF$3:$AF$870,"&gt;="&amp;$B141)=0,0,9.99),SUMIFS($AD$3:$AD$870,$AC$3:$AC$870,E$23,$AE$3:$AE$870,"&lt;="&amp;$B141,$AF$3:$AF$870,"&gt;="&amp;$B141)/INDEX('01_INPUTS'!$E$17:$E$31,MATCH(E$23,'01_INPUTS'!$B$17:$B$31,0)))</f>
        <v>0</v>
      </c>
      <c r="F141" s="61">
        <f>IF(INDEX('01_INPUTS'!$E$17:$E$31,MATCH(F$23,'01_INPUTS'!$B$17:$B$31,0))=0,IF(SUMIFS($AD$3:$AD$870,$AC$3:$AC$870,F$23,$AE$3:$AE$870,"&lt;="&amp;$B141,$AF$3:$AF$870,"&gt;="&amp;$B141)=0,0,9.99),SUMIFS($AD$3:$AD$870,$AC$3:$AC$870,F$23,$AE$3:$AE$870,"&lt;="&amp;$B141,$AF$3:$AF$870,"&gt;="&amp;$B141)/INDEX('01_INPUTS'!$E$17:$E$31,MATCH(F$23,'01_INPUTS'!$B$17:$B$31,0)))</f>
        <v>0</v>
      </c>
      <c r="G141" s="61">
        <f>IF(INDEX('01_INPUTS'!$E$17:$E$31,MATCH(G$23,'01_INPUTS'!$B$17:$B$31,0))=0,IF(SUMIFS($AD$3:$AD$870,$AC$3:$AC$870,G$23,$AE$3:$AE$870,"&lt;="&amp;$B141,$AF$3:$AF$870,"&gt;="&amp;$B141)=0,0,9.99),SUMIFS($AD$3:$AD$870,$AC$3:$AC$870,G$23,$AE$3:$AE$870,"&lt;="&amp;$B141,$AF$3:$AF$870,"&gt;="&amp;$B141)/INDEX('01_INPUTS'!$E$17:$E$31,MATCH(G$23,'01_INPUTS'!$B$17:$B$31,0)))</f>
        <v>0</v>
      </c>
      <c r="H141" s="61">
        <f>IF(INDEX('01_INPUTS'!$E$17:$E$31,MATCH(H$23,'01_INPUTS'!$B$17:$B$31,0))=0,IF(SUMIFS($AD$3:$AD$870,$AC$3:$AC$870,H$23,$AE$3:$AE$870,"&lt;="&amp;$B141,$AF$3:$AF$870,"&gt;="&amp;$B141)=0,0,9.99),SUMIFS($AD$3:$AD$870,$AC$3:$AC$870,H$23,$AE$3:$AE$870,"&lt;="&amp;$B141,$AF$3:$AF$870,"&gt;="&amp;$B141)/INDEX('01_INPUTS'!$E$17:$E$31,MATCH(H$23,'01_INPUTS'!$B$17:$B$31,0)))</f>
        <v>0</v>
      </c>
      <c r="I141" s="61">
        <f>IF(INDEX('01_INPUTS'!$E$17:$E$31,MATCH(I$23,'01_INPUTS'!$B$17:$B$31,0))=0,IF(SUMIFS($AD$3:$AD$870,$AC$3:$AC$870,I$23,$AE$3:$AE$870,"&lt;="&amp;$B141,$AF$3:$AF$870,"&gt;="&amp;$B141)=0,0,9.99),SUMIFS($AD$3:$AD$870,$AC$3:$AC$870,I$23,$AE$3:$AE$870,"&lt;="&amp;$B141,$AF$3:$AF$870,"&gt;="&amp;$B141)/INDEX('01_INPUTS'!$E$17:$E$31,MATCH(I$23,'01_INPUTS'!$B$17:$B$31,0)))</f>
        <v>0</v>
      </c>
      <c r="J141" s="61">
        <f>IF(INDEX('01_INPUTS'!$E$17:$E$31,MATCH(J$23,'01_INPUTS'!$B$17:$B$31,0))=0,IF(SUMIFS($AD$3:$AD$870,$AC$3:$AC$870,J$23,$AE$3:$AE$870,"&lt;="&amp;$B141,$AF$3:$AF$870,"&gt;="&amp;$B141)=0,0,9.99),SUMIFS($AD$3:$AD$870,$AC$3:$AC$870,J$23,$AE$3:$AE$870,"&lt;="&amp;$B141,$AF$3:$AF$870,"&gt;="&amp;$B141)/INDEX('01_INPUTS'!$E$17:$E$31,MATCH(J$23,'01_INPUTS'!$B$17:$B$31,0)))</f>
        <v>0</v>
      </c>
      <c r="K141" s="61">
        <f>IF(INDEX('01_INPUTS'!$E$17:$E$31,MATCH(K$23,'01_INPUTS'!$B$17:$B$31,0))=0,IF(SUMIFS($AD$3:$AD$870,$AC$3:$AC$870,K$23,$AE$3:$AE$870,"&lt;="&amp;$B141,$AF$3:$AF$870,"&gt;="&amp;$B141)=0,0,9.99),SUMIFS($AD$3:$AD$870,$AC$3:$AC$870,K$23,$AE$3:$AE$870,"&lt;="&amp;$B141,$AF$3:$AF$870,"&gt;="&amp;$B141)/INDEX('01_INPUTS'!$E$17:$E$31,MATCH(K$23,'01_INPUTS'!$B$17:$B$31,0)))</f>
        <v>0</v>
      </c>
      <c r="L141" s="61">
        <f>IF(INDEX('01_INPUTS'!$E$17:$E$31,MATCH(L$23,'01_INPUTS'!$B$17:$B$31,0))=0,IF(SUMIFS($AD$3:$AD$870,$AC$3:$AC$870,L$23,$AE$3:$AE$870,"&lt;="&amp;$B141,$AF$3:$AF$870,"&gt;="&amp;$B141)=0,0,9.99),SUMIFS($AD$3:$AD$870,$AC$3:$AC$870,L$23,$AE$3:$AE$870,"&lt;="&amp;$B141,$AF$3:$AF$870,"&gt;="&amp;$B141)/INDEX('01_INPUTS'!$E$17:$E$31,MATCH(L$23,'01_INPUTS'!$B$17:$B$31,0)))</f>
        <v>0</v>
      </c>
      <c r="M141" s="61">
        <f>IF(INDEX('01_INPUTS'!$E$17:$E$31,MATCH(M$23,'01_INPUTS'!$B$17:$B$31,0))=0,IF(SUMIFS($AD$3:$AD$870,$AC$3:$AC$870,M$23,$AE$3:$AE$870,"&lt;="&amp;$B141,$AF$3:$AF$870,"&gt;="&amp;$B141)=0,0,9.99),SUMIFS($AD$3:$AD$870,$AC$3:$AC$870,M$23,$AE$3:$AE$870,"&lt;="&amp;$B141,$AF$3:$AF$870,"&gt;="&amp;$B141)/INDEX('01_INPUTS'!$E$17:$E$31,MATCH(M$23,'01_INPUTS'!$B$17:$B$31,0)))</f>
        <v>0</v>
      </c>
      <c r="N141" s="61">
        <f>IF(INDEX('01_INPUTS'!$E$17:$E$31,MATCH(N$23,'01_INPUTS'!$B$17:$B$31,0))=0,IF(SUMIFS($AD$3:$AD$870,$AC$3:$AC$870,N$23,$AE$3:$AE$870,"&lt;="&amp;$B141,$AF$3:$AF$870,"&gt;="&amp;$B141)=0,0,9.99),SUMIFS($AD$3:$AD$870,$AC$3:$AC$870,N$23,$AE$3:$AE$870,"&lt;="&amp;$B141,$AF$3:$AF$870,"&gt;="&amp;$B141)/INDEX('01_INPUTS'!$E$17:$E$31,MATCH(N$23,'01_INPUTS'!$B$17:$B$31,0)))</f>
        <v>0</v>
      </c>
      <c r="O141" s="61">
        <f>IF(INDEX('01_INPUTS'!$E$17:$E$31,MATCH(O$23,'01_INPUTS'!$B$17:$B$31,0))=0,IF(SUMIFS($AD$3:$AD$870,$AC$3:$AC$870,O$23,$AE$3:$AE$870,"&lt;="&amp;$B141,$AF$3:$AF$870,"&gt;="&amp;$B141)=0,0,9.99),SUMIFS($AD$3:$AD$870,$AC$3:$AC$870,O$23,$AE$3:$AE$870,"&lt;="&amp;$B141,$AF$3:$AF$870,"&gt;="&amp;$B141)/INDEX('01_INPUTS'!$E$17:$E$31,MATCH(O$23,'01_INPUTS'!$B$17:$B$31,0)))</f>
        <v>0</v>
      </c>
      <c r="P141" s="61">
        <f>IF(INDEX('01_INPUTS'!$E$17:$E$31,MATCH(P$23,'01_INPUTS'!$B$17:$B$31,0))=0,IF(SUMIFS($AD$3:$AD$870,$AC$3:$AC$870,P$23,$AE$3:$AE$870,"&lt;="&amp;$B141,$AF$3:$AF$870,"&gt;="&amp;$B141)=0,0,9.99),SUMIFS($AD$3:$AD$870,$AC$3:$AC$870,P$23,$AE$3:$AE$870,"&lt;="&amp;$B141,$AF$3:$AF$870,"&gt;="&amp;$B141)/INDEX('01_INPUTS'!$E$17:$E$31,MATCH(P$23,'01_INPUTS'!$B$17:$B$31,0)))</f>
        <v>0</v>
      </c>
      <c r="Q141" s="61">
        <f>IF(INDEX('01_INPUTS'!$E$17:$E$31,MATCH(Q$23,'01_INPUTS'!$B$17:$B$31,0))=0,IF(SUMIFS($AD$3:$AD$870,$AC$3:$AC$870,Q$23,$AE$3:$AE$870,"&lt;="&amp;$B141,$AF$3:$AF$870,"&gt;="&amp;$B141)=0,0,9.99),SUMIFS($AD$3:$AD$870,$AC$3:$AC$870,Q$23,$AE$3:$AE$870,"&lt;="&amp;$B141,$AF$3:$AF$870,"&gt;="&amp;$B141)/INDEX('01_INPUTS'!$E$17:$E$31,MATCH(Q$23,'01_INPUTS'!$B$17:$B$31,0)))</f>
        <v>0</v>
      </c>
      <c r="R141" s="61">
        <f>IF(INDEX('01_INPUTS'!$E$17:$E$31,MATCH(R$23,'01_INPUTS'!$B$17:$B$31,0))=0,IF(SUMIFS($AD$3:$AD$870,$AC$3:$AC$870,R$23,$AE$3:$AE$870,"&lt;="&amp;$B141,$AF$3:$AF$870,"&gt;="&amp;$B141)=0,0,9.99),SUMIFS($AD$3:$AD$870,$AC$3:$AC$870,R$23,$AE$3:$AE$870,"&lt;="&amp;$B141,$AF$3:$AF$870,"&gt;="&amp;$B141)/INDEX('01_INPUTS'!$E$17:$E$31,MATCH(R$23,'01_INPUTS'!$B$17:$B$31,0)))</f>
        <v>0</v>
      </c>
      <c r="S141">
        <f t="shared" si="14"/>
        <v>0</v>
      </c>
      <c r="T141">
        <f>SUM('01_INPUTS'!$E$17:$E$31)</f>
        <v>20</v>
      </c>
      <c r="U141" s="61">
        <f t="shared" si="15"/>
        <v>0</v>
      </c>
      <c r="V141">
        <f t="shared" si="16"/>
        <v>0</v>
      </c>
      <c r="W141" t="str">
        <f t="shared" si="17"/>
        <v>VERDE</v>
      </c>
      <c r="AA141" s="51" t="str">
        <f>'Sites Master'!$B$4</f>
        <v>Site 03</v>
      </c>
      <c r="AB141" s="51" t="str">
        <f>'Phase-Resource Allocation'!$B$78</f>
        <v>Functional Review</v>
      </c>
      <c r="AC141" s="51" t="str">
        <f>'Phase-Resource Allocation'!$C$78</f>
        <v>SAP Integrations Lead</v>
      </c>
      <c r="AD141" s="60">
        <f>'Phase-Resource Allocation'!$D$78</f>
        <v>0.5</v>
      </c>
      <c r="AE141" s="51">
        <f>IFERROR(INDEX('02_SCHEDULE'!$K$5:$K$124,MATCH(AA141&amp;"|"&amp;AB141,'02_SCHEDULE'!$M$5:$M$124,0)),0)</f>
        <v>6</v>
      </c>
      <c r="AF141" s="51">
        <f>IFERROR(INDEX('02_SCHEDULE'!$L$5:$L$124,MATCH(AA141&amp;"|"&amp;AB141,'02_SCHEDULE'!$M$5:$M$124,0)),0)</f>
        <v>6</v>
      </c>
      <c r="AG141" s="51">
        <f t="shared" si="18"/>
        <v>0.5</v>
      </c>
    </row>
    <row r="142" spans="2:33" x14ac:dyDescent="0.3">
      <c r="B142">
        <f>119</f>
        <v>119</v>
      </c>
      <c r="C142" s="55">
        <f>'01_INPUTS'!$C$7+(119-1)*7</f>
        <v>47077</v>
      </c>
      <c r="D142" s="61">
        <f>IF(INDEX('01_INPUTS'!$E$17:$E$31,MATCH(D$23,'01_INPUTS'!$B$17:$B$31,0))=0,IF(SUMIFS($AD$3:$AD$870,$AC$3:$AC$870,D$23,$AE$3:$AE$870,"&lt;="&amp;$B142,$AF$3:$AF$870,"&gt;="&amp;$B142)=0,0,9.99),SUMIFS($AD$3:$AD$870,$AC$3:$AC$870,D$23,$AE$3:$AE$870,"&lt;="&amp;$B142,$AF$3:$AF$870,"&gt;="&amp;$B142)/INDEX('01_INPUTS'!$E$17:$E$31,MATCH(D$23,'01_INPUTS'!$B$17:$B$31,0)))</f>
        <v>0</v>
      </c>
      <c r="E142" s="61">
        <f>IF(INDEX('01_INPUTS'!$E$17:$E$31,MATCH(E$23,'01_INPUTS'!$B$17:$B$31,0))=0,IF(SUMIFS($AD$3:$AD$870,$AC$3:$AC$870,E$23,$AE$3:$AE$870,"&lt;="&amp;$B142,$AF$3:$AF$870,"&gt;="&amp;$B142)=0,0,9.99),SUMIFS($AD$3:$AD$870,$AC$3:$AC$870,E$23,$AE$3:$AE$870,"&lt;="&amp;$B142,$AF$3:$AF$870,"&gt;="&amp;$B142)/INDEX('01_INPUTS'!$E$17:$E$31,MATCH(E$23,'01_INPUTS'!$B$17:$B$31,0)))</f>
        <v>0</v>
      </c>
      <c r="F142" s="61">
        <f>IF(INDEX('01_INPUTS'!$E$17:$E$31,MATCH(F$23,'01_INPUTS'!$B$17:$B$31,0))=0,IF(SUMIFS($AD$3:$AD$870,$AC$3:$AC$870,F$23,$AE$3:$AE$870,"&lt;="&amp;$B142,$AF$3:$AF$870,"&gt;="&amp;$B142)=0,0,9.99),SUMIFS($AD$3:$AD$870,$AC$3:$AC$870,F$23,$AE$3:$AE$870,"&lt;="&amp;$B142,$AF$3:$AF$870,"&gt;="&amp;$B142)/INDEX('01_INPUTS'!$E$17:$E$31,MATCH(F$23,'01_INPUTS'!$B$17:$B$31,0)))</f>
        <v>0</v>
      </c>
      <c r="G142" s="61">
        <f>IF(INDEX('01_INPUTS'!$E$17:$E$31,MATCH(G$23,'01_INPUTS'!$B$17:$B$31,0))=0,IF(SUMIFS($AD$3:$AD$870,$AC$3:$AC$870,G$23,$AE$3:$AE$870,"&lt;="&amp;$B142,$AF$3:$AF$870,"&gt;="&amp;$B142)=0,0,9.99),SUMIFS($AD$3:$AD$870,$AC$3:$AC$870,G$23,$AE$3:$AE$870,"&lt;="&amp;$B142,$AF$3:$AF$870,"&gt;="&amp;$B142)/INDEX('01_INPUTS'!$E$17:$E$31,MATCH(G$23,'01_INPUTS'!$B$17:$B$31,0)))</f>
        <v>0</v>
      </c>
      <c r="H142" s="61">
        <f>IF(INDEX('01_INPUTS'!$E$17:$E$31,MATCH(H$23,'01_INPUTS'!$B$17:$B$31,0))=0,IF(SUMIFS($AD$3:$AD$870,$AC$3:$AC$870,H$23,$AE$3:$AE$870,"&lt;="&amp;$B142,$AF$3:$AF$870,"&gt;="&amp;$B142)=0,0,9.99),SUMIFS($AD$3:$AD$870,$AC$3:$AC$870,H$23,$AE$3:$AE$870,"&lt;="&amp;$B142,$AF$3:$AF$870,"&gt;="&amp;$B142)/INDEX('01_INPUTS'!$E$17:$E$31,MATCH(H$23,'01_INPUTS'!$B$17:$B$31,0)))</f>
        <v>0</v>
      </c>
      <c r="I142" s="61">
        <f>IF(INDEX('01_INPUTS'!$E$17:$E$31,MATCH(I$23,'01_INPUTS'!$B$17:$B$31,0))=0,IF(SUMIFS($AD$3:$AD$870,$AC$3:$AC$870,I$23,$AE$3:$AE$870,"&lt;="&amp;$B142,$AF$3:$AF$870,"&gt;="&amp;$B142)=0,0,9.99),SUMIFS($AD$3:$AD$870,$AC$3:$AC$870,I$23,$AE$3:$AE$870,"&lt;="&amp;$B142,$AF$3:$AF$870,"&gt;="&amp;$B142)/INDEX('01_INPUTS'!$E$17:$E$31,MATCH(I$23,'01_INPUTS'!$B$17:$B$31,0)))</f>
        <v>0</v>
      </c>
      <c r="J142" s="61">
        <f>IF(INDEX('01_INPUTS'!$E$17:$E$31,MATCH(J$23,'01_INPUTS'!$B$17:$B$31,0))=0,IF(SUMIFS($AD$3:$AD$870,$AC$3:$AC$870,J$23,$AE$3:$AE$870,"&lt;="&amp;$B142,$AF$3:$AF$870,"&gt;="&amp;$B142)=0,0,9.99),SUMIFS($AD$3:$AD$870,$AC$3:$AC$870,J$23,$AE$3:$AE$870,"&lt;="&amp;$B142,$AF$3:$AF$870,"&gt;="&amp;$B142)/INDEX('01_INPUTS'!$E$17:$E$31,MATCH(J$23,'01_INPUTS'!$B$17:$B$31,0)))</f>
        <v>0</v>
      </c>
      <c r="K142" s="61">
        <f>IF(INDEX('01_INPUTS'!$E$17:$E$31,MATCH(K$23,'01_INPUTS'!$B$17:$B$31,0))=0,IF(SUMIFS($AD$3:$AD$870,$AC$3:$AC$870,K$23,$AE$3:$AE$870,"&lt;="&amp;$B142,$AF$3:$AF$870,"&gt;="&amp;$B142)=0,0,9.99),SUMIFS($AD$3:$AD$870,$AC$3:$AC$870,K$23,$AE$3:$AE$870,"&lt;="&amp;$B142,$AF$3:$AF$870,"&gt;="&amp;$B142)/INDEX('01_INPUTS'!$E$17:$E$31,MATCH(K$23,'01_INPUTS'!$B$17:$B$31,0)))</f>
        <v>0</v>
      </c>
      <c r="L142" s="61">
        <f>IF(INDEX('01_INPUTS'!$E$17:$E$31,MATCH(L$23,'01_INPUTS'!$B$17:$B$31,0))=0,IF(SUMIFS($AD$3:$AD$870,$AC$3:$AC$870,L$23,$AE$3:$AE$870,"&lt;="&amp;$B142,$AF$3:$AF$870,"&gt;="&amp;$B142)=0,0,9.99),SUMIFS($AD$3:$AD$870,$AC$3:$AC$870,L$23,$AE$3:$AE$870,"&lt;="&amp;$B142,$AF$3:$AF$870,"&gt;="&amp;$B142)/INDEX('01_INPUTS'!$E$17:$E$31,MATCH(L$23,'01_INPUTS'!$B$17:$B$31,0)))</f>
        <v>0</v>
      </c>
      <c r="M142" s="61">
        <f>IF(INDEX('01_INPUTS'!$E$17:$E$31,MATCH(M$23,'01_INPUTS'!$B$17:$B$31,0))=0,IF(SUMIFS($AD$3:$AD$870,$AC$3:$AC$870,M$23,$AE$3:$AE$870,"&lt;="&amp;$B142,$AF$3:$AF$870,"&gt;="&amp;$B142)=0,0,9.99),SUMIFS($AD$3:$AD$870,$AC$3:$AC$870,M$23,$AE$3:$AE$870,"&lt;="&amp;$B142,$AF$3:$AF$870,"&gt;="&amp;$B142)/INDEX('01_INPUTS'!$E$17:$E$31,MATCH(M$23,'01_INPUTS'!$B$17:$B$31,0)))</f>
        <v>0</v>
      </c>
      <c r="N142" s="61">
        <f>IF(INDEX('01_INPUTS'!$E$17:$E$31,MATCH(N$23,'01_INPUTS'!$B$17:$B$31,0))=0,IF(SUMIFS($AD$3:$AD$870,$AC$3:$AC$870,N$23,$AE$3:$AE$870,"&lt;="&amp;$B142,$AF$3:$AF$870,"&gt;="&amp;$B142)=0,0,9.99),SUMIFS($AD$3:$AD$870,$AC$3:$AC$870,N$23,$AE$3:$AE$870,"&lt;="&amp;$B142,$AF$3:$AF$870,"&gt;="&amp;$B142)/INDEX('01_INPUTS'!$E$17:$E$31,MATCH(N$23,'01_INPUTS'!$B$17:$B$31,0)))</f>
        <v>0</v>
      </c>
      <c r="O142" s="61">
        <f>IF(INDEX('01_INPUTS'!$E$17:$E$31,MATCH(O$23,'01_INPUTS'!$B$17:$B$31,0))=0,IF(SUMIFS($AD$3:$AD$870,$AC$3:$AC$870,O$23,$AE$3:$AE$870,"&lt;="&amp;$B142,$AF$3:$AF$870,"&gt;="&amp;$B142)=0,0,9.99),SUMIFS($AD$3:$AD$870,$AC$3:$AC$870,O$23,$AE$3:$AE$870,"&lt;="&amp;$B142,$AF$3:$AF$870,"&gt;="&amp;$B142)/INDEX('01_INPUTS'!$E$17:$E$31,MATCH(O$23,'01_INPUTS'!$B$17:$B$31,0)))</f>
        <v>0</v>
      </c>
      <c r="P142" s="61">
        <f>IF(INDEX('01_INPUTS'!$E$17:$E$31,MATCH(P$23,'01_INPUTS'!$B$17:$B$31,0))=0,IF(SUMIFS($AD$3:$AD$870,$AC$3:$AC$870,P$23,$AE$3:$AE$870,"&lt;="&amp;$B142,$AF$3:$AF$870,"&gt;="&amp;$B142)=0,0,9.99),SUMIFS($AD$3:$AD$870,$AC$3:$AC$870,P$23,$AE$3:$AE$870,"&lt;="&amp;$B142,$AF$3:$AF$870,"&gt;="&amp;$B142)/INDEX('01_INPUTS'!$E$17:$E$31,MATCH(P$23,'01_INPUTS'!$B$17:$B$31,0)))</f>
        <v>0</v>
      </c>
      <c r="Q142" s="61">
        <f>IF(INDEX('01_INPUTS'!$E$17:$E$31,MATCH(Q$23,'01_INPUTS'!$B$17:$B$31,0))=0,IF(SUMIFS($AD$3:$AD$870,$AC$3:$AC$870,Q$23,$AE$3:$AE$870,"&lt;="&amp;$B142,$AF$3:$AF$870,"&gt;="&amp;$B142)=0,0,9.99),SUMIFS($AD$3:$AD$870,$AC$3:$AC$870,Q$23,$AE$3:$AE$870,"&lt;="&amp;$B142,$AF$3:$AF$870,"&gt;="&amp;$B142)/INDEX('01_INPUTS'!$E$17:$E$31,MATCH(Q$23,'01_INPUTS'!$B$17:$B$31,0)))</f>
        <v>0</v>
      </c>
      <c r="R142" s="61">
        <f>IF(INDEX('01_INPUTS'!$E$17:$E$31,MATCH(R$23,'01_INPUTS'!$B$17:$B$31,0))=0,IF(SUMIFS($AD$3:$AD$870,$AC$3:$AC$870,R$23,$AE$3:$AE$870,"&lt;="&amp;$B142,$AF$3:$AF$870,"&gt;="&amp;$B142)=0,0,9.99),SUMIFS($AD$3:$AD$870,$AC$3:$AC$870,R$23,$AE$3:$AE$870,"&lt;="&amp;$B142,$AF$3:$AF$870,"&gt;="&amp;$B142)/INDEX('01_INPUTS'!$E$17:$E$31,MATCH(R$23,'01_INPUTS'!$B$17:$B$31,0)))</f>
        <v>0</v>
      </c>
      <c r="S142">
        <f t="shared" si="14"/>
        <v>0</v>
      </c>
      <c r="T142">
        <f>SUM('01_INPUTS'!$E$17:$E$31)</f>
        <v>20</v>
      </c>
      <c r="U142" s="61">
        <f t="shared" si="15"/>
        <v>0</v>
      </c>
      <c r="V142">
        <f t="shared" si="16"/>
        <v>0</v>
      </c>
      <c r="W142" t="str">
        <f t="shared" si="17"/>
        <v>VERDE</v>
      </c>
      <c r="AA142" s="51" t="str">
        <f>'Sites Master'!$B$4</f>
        <v>Site 03</v>
      </c>
      <c r="AB142" s="51" t="str">
        <f>'Phase-Resource Allocation'!$B$79</f>
        <v>Functional Review</v>
      </c>
      <c r="AC142" s="51" t="str">
        <f>'Phase-Resource Allocation'!$C$79</f>
        <v>SAP Integrations Specialist</v>
      </c>
      <c r="AD142" s="60">
        <f>'Phase-Resource Allocation'!$D$79</f>
        <v>0.5</v>
      </c>
      <c r="AE142" s="51">
        <f>IFERROR(INDEX('02_SCHEDULE'!$K$5:$K$124,MATCH(AA142&amp;"|"&amp;AB142,'02_SCHEDULE'!$M$5:$M$124,0)),0)</f>
        <v>6</v>
      </c>
      <c r="AF142" s="51">
        <f>IFERROR(INDEX('02_SCHEDULE'!$L$5:$L$124,MATCH(AA142&amp;"|"&amp;AB142,'02_SCHEDULE'!$M$5:$M$124,0)),0)</f>
        <v>6</v>
      </c>
      <c r="AG142" s="51">
        <f t="shared" si="18"/>
        <v>0.5</v>
      </c>
    </row>
    <row r="143" spans="2:33" x14ac:dyDescent="0.3">
      <c r="B143">
        <f>120</f>
        <v>120</v>
      </c>
      <c r="C143" s="55">
        <f>'01_INPUTS'!$C$7+(120-1)*7</f>
        <v>47084</v>
      </c>
      <c r="D143" s="61">
        <f>IF(INDEX('01_INPUTS'!$E$17:$E$31,MATCH(D$23,'01_INPUTS'!$B$17:$B$31,0))=0,IF(SUMIFS($AD$3:$AD$870,$AC$3:$AC$870,D$23,$AE$3:$AE$870,"&lt;="&amp;$B143,$AF$3:$AF$870,"&gt;="&amp;$B143)=0,0,9.99),SUMIFS($AD$3:$AD$870,$AC$3:$AC$870,D$23,$AE$3:$AE$870,"&lt;="&amp;$B143,$AF$3:$AF$870,"&gt;="&amp;$B143)/INDEX('01_INPUTS'!$E$17:$E$31,MATCH(D$23,'01_INPUTS'!$B$17:$B$31,0)))</f>
        <v>0</v>
      </c>
      <c r="E143" s="61">
        <f>IF(INDEX('01_INPUTS'!$E$17:$E$31,MATCH(E$23,'01_INPUTS'!$B$17:$B$31,0))=0,IF(SUMIFS($AD$3:$AD$870,$AC$3:$AC$870,E$23,$AE$3:$AE$870,"&lt;="&amp;$B143,$AF$3:$AF$870,"&gt;="&amp;$B143)=0,0,9.99),SUMIFS($AD$3:$AD$870,$AC$3:$AC$870,E$23,$AE$3:$AE$870,"&lt;="&amp;$B143,$AF$3:$AF$870,"&gt;="&amp;$B143)/INDEX('01_INPUTS'!$E$17:$E$31,MATCH(E$23,'01_INPUTS'!$B$17:$B$31,0)))</f>
        <v>0</v>
      </c>
      <c r="F143" s="61">
        <f>IF(INDEX('01_INPUTS'!$E$17:$E$31,MATCH(F$23,'01_INPUTS'!$B$17:$B$31,0))=0,IF(SUMIFS($AD$3:$AD$870,$AC$3:$AC$870,F$23,$AE$3:$AE$870,"&lt;="&amp;$B143,$AF$3:$AF$870,"&gt;="&amp;$B143)=0,0,9.99),SUMIFS($AD$3:$AD$870,$AC$3:$AC$870,F$23,$AE$3:$AE$870,"&lt;="&amp;$B143,$AF$3:$AF$870,"&gt;="&amp;$B143)/INDEX('01_INPUTS'!$E$17:$E$31,MATCH(F$23,'01_INPUTS'!$B$17:$B$31,0)))</f>
        <v>0</v>
      </c>
      <c r="G143" s="61">
        <f>IF(INDEX('01_INPUTS'!$E$17:$E$31,MATCH(G$23,'01_INPUTS'!$B$17:$B$31,0))=0,IF(SUMIFS($AD$3:$AD$870,$AC$3:$AC$870,G$23,$AE$3:$AE$870,"&lt;="&amp;$B143,$AF$3:$AF$870,"&gt;="&amp;$B143)=0,0,9.99),SUMIFS($AD$3:$AD$870,$AC$3:$AC$870,G$23,$AE$3:$AE$870,"&lt;="&amp;$B143,$AF$3:$AF$870,"&gt;="&amp;$B143)/INDEX('01_INPUTS'!$E$17:$E$31,MATCH(G$23,'01_INPUTS'!$B$17:$B$31,0)))</f>
        <v>0</v>
      </c>
      <c r="H143" s="61">
        <f>IF(INDEX('01_INPUTS'!$E$17:$E$31,MATCH(H$23,'01_INPUTS'!$B$17:$B$31,0))=0,IF(SUMIFS($AD$3:$AD$870,$AC$3:$AC$870,H$23,$AE$3:$AE$870,"&lt;="&amp;$B143,$AF$3:$AF$870,"&gt;="&amp;$B143)=0,0,9.99),SUMIFS($AD$3:$AD$870,$AC$3:$AC$870,H$23,$AE$3:$AE$870,"&lt;="&amp;$B143,$AF$3:$AF$870,"&gt;="&amp;$B143)/INDEX('01_INPUTS'!$E$17:$E$31,MATCH(H$23,'01_INPUTS'!$B$17:$B$31,0)))</f>
        <v>0</v>
      </c>
      <c r="I143" s="61">
        <f>IF(INDEX('01_INPUTS'!$E$17:$E$31,MATCH(I$23,'01_INPUTS'!$B$17:$B$31,0))=0,IF(SUMIFS($AD$3:$AD$870,$AC$3:$AC$870,I$23,$AE$3:$AE$870,"&lt;="&amp;$B143,$AF$3:$AF$870,"&gt;="&amp;$B143)=0,0,9.99),SUMIFS($AD$3:$AD$870,$AC$3:$AC$870,I$23,$AE$3:$AE$870,"&lt;="&amp;$B143,$AF$3:$AF$870,"&gt;="&amp;$B143)/INDEX('01_INPUTS'!$E$17:$E$31,MATCH(I$23,'01_INPUTS'!$B$17:$B$31,0)))</f>
        <v>0</v>
      </c>
      <c r="J143" s="61">
        <f>IF(INDEX('01_INPUTS'!$E$17:$E$31,MATCH(J$23,'01_INPUTS'!$B$17:$B$31,0))=0,IF(SUMIFS($AD$3:$AD$870,$AC$3:$AC$870,J$23,$AE$3:$AE$870,"&lt;="&amp;$B143,$AF$3:$AF$870,"&gt;="&amp;$B143)=0,0,9.99),SUMIFS($AD$3:$AD$870,$AC$3:$AC$870,J$23,$AE$3:$AE$870,"&lt;="&amp;$B143,$AF$3:$AF$870,"&gt;="&amp;$B143)/INDEX('01_INPUTS'!$E$17:$E$31,MATCH(J$23,'01_INPUTS'!$B$17:$B$31,0)))</f>
        <v>0</v>
      </c>
      <c r="K143" s="61">
        <f>IF(INDEX('01_INPUTS'!$E$17:$E$31,MATCH(K$23,'01_INPUTS'!$B$17:$B$31,0))=0,IF(SUMIFS($AD$3:$AD$870,$AC$3:$AC$870,K$23,$AE$3:$AE$870,"&lt;="&amp;$B143,$AF$3:$AF$870,"&gt;="&amp;$B143)=0,0,9.99),SUMIFS($AD$3:$AD$870,$AC$3:$AC$870,K$23,$AE$3:$AE$870,"&lt;="&amp;$B143,$AF$3:$AF$870,"&gt;="&amp;$B143)/INDEX('01_INPUTS'!$E$17:$E$31,MATCH(K$23,'01_INPUTS'!$B$17:$B$31,0)))</f>
        <v>0</v>
      </c>
      <c r="L143" s="61">
        <f>IF(INDEX('01_INPUTS'!$E$17:$E$31,MATCH(L$23,'01_INPUTS'!$B$17:$B$31,0))=0,IF(SUMIFS($AD$3:$AD$870,$AC$3:$AC$870,L$23,$AE$3:$AE$870,"&lt;="&amp;$B143,$AF$3:$AF$870,"&gt;="&amp;$B143)=0,0,9.99),SUMIFS($AD$3:$AD$870,$AC$3:$AC$870,L$23,$AE$3:$AE$870,"&lt;="&amp;$B143,$AF$3:$AF$870,"&gt;="&amp;$B143)/INDEX('01_INPUTS'!$E$17:$E$31,MATCH(L$23,'01_INPUTS'!$B$17:$B$31,0)))</f>
        <v>0</v>
      </c>
      <c r="M143" s="61">
        <f>IF(INDEX('01_INPUTS'!$E$17:$E$31,MATCH(M$23,'01_INPUTS'!$B$17:$B$31,0))=0,IF(SUMIFS($AD$3:$AD$870,$AC$3:$AC$870,M$23,$AE$3:$AE$870,"&lt;="&amp;$B143,$AF$3:$AF$870,"&gt;="&amp;$B143)=0,0,9.99),SUMIFS($AD$3:$AD$870,$AC$3:$AC$870,M$23,$AE$3:$AE$870,"&lt;="&amp;$B143,$AF$3:$AF$870,"&gt;="&amp;$B143)/INDEX('01_INPUTS'!$E$17:$E$31,MATCH(M$23,'01_INPUTS'!$B$17:$B$31,0)))</f>
        <v>0</v>
      </c>
      <c r="N143" s="61">
        <f>IF(INDEX('01_INPUTS'!$E$17:$E$31,MATCH(N$23,'01_INPUTS'!$B$17:$B$31,0))=0,IF(SUMIFS($AD$3:$AD$870,$AC$3:$AC$870,N$23,$AE$3:$AE$870,"&lt;="&amp;$B143,$AF$3:$AF$870,"&gt;="&amp;$B143)=0,0,9.99),SUMIFS($AD$3:$AD$870,$AC$3:$AC$870,N$23,$AE$3:$AE$870,"&lt;="&amp;$B143,$AF$3:$AF$870,"&gt;="&amp;$B143)/INDEX('01_INPUTS'!$E$17:$E$31,MATCH(N$23,'01_INPUTS'!$B$17:$B$31,0)))</f>
        <v>0</v>
      </c>
      <c r="O143" s="61">
        <f>IF(INDEX('01_INPUTS'!$E$17:$E$31,MATCH(O$23,'01_INPUTS'!$B$17:$B$31,0))=0,IF(SUMIFS($AD$3:$AD$870,$AC$3:$AC$870,O$23,$AE$3:$AE$870,"&lt;="&amp;$B143,$AF$3:$AF$870,"&gt;="&amp;$B143)=0,0,9.99),SUMIFS($AD$3:$AD$870,$AC$3:$AC$870,O$23,$AE$3:$AE$870,"&lt;="&amp;$B143,$AF$3:$AF$870,"&gt;="&amp;$B143)/INDEX('01_INPUTS'!$E$17:$E$31,MATCH(O$23,'01_INPUTS'!$B$17:$B$31,0)))</f>
        <v>0</v>
      </c>
      <c r="P143" s="61">
        <f>IF(INDEX('01_INPUTS'!$E$17:$E$31,MATCH(P$23,'01_INPUTS'!$B$17:$B$31,0))=0,IF(SUMIFS($AD$3:$AD$870,$AC$3:$AC$870,P$23,$AE$3:$AE$870,"&lt;="&amp;$B143,$AF$3:$AF$870,"&gt;="&amp;$B143)=0,0,9.99),SUMIFS($AD$3:$AD$870,$AC$3:$AC$870,P$23,$AE$3:$AE$870,"&lt;="&amp;$B143,$AF$3:$AF$870,"&gt;="&amp;$B143)/INDEX('01_INPUTS'!$E$17:$E$31,MATCH(P$23,'01_INPUTS'!$B$17:$B$31,0)))</f>
        <v>0</v>
      </c>
      <c r="Q143" s="61">
        <f>IF(INDEX('01_INPUTS'!$E$17:$E$31,MATCH(Q$23,'01_INPUTS'!$B$17:$B$31,0))=0,IF(SUMIFS($AD$3:$AD$870,$AC$3:$AC$870,Q$23,$AE$3:$AE$870,"&lt;="&amp;$B143,$AF$3:$AF$870,"&gt;="&amp;$B143)=0,0,9.99),SUMIFS($AD$3:$AD$870,$AC$3:$AC$870,Q$23,$AE$3:$AE$870,"&lt;="&amp;$B143,$AF$3:$AF$870,"&gt;="&amp;$B143)/INDEX('01_INPUTS'!$E$17:$E$31,MATCH(Q$23,'01_INPUTS'!$B$17:$B$31,0)))</f>
        <v>0</v>
      </c>
      <c r="R143" s="61">
        <f>IF(INDEX('01_INPUTS'!$E$17:$E$31,MATCH(R$23,'01_INPUTS'!$B$17:$B$31,0))=0,IF(SUMIFS($AD$3:$AD$870,$AC$3:$AC$870,R$23,$AE$3:$AE$870,"&lt;="&amp;$B143,$AF$3:$AF$870,"&gt;="&amp;$B143)=0,0,9.99),SUMIFS($AD$3:$AD$870,$AC$3:$AC$870,R$23,$AE$3:$AE$870,"&lt;="&amp;$B143,$AF$3:$AF$870,"&gt;="&amp;$B143)/INDEX('01_INPUTS'!$E$17:$E$31,MATCH(R$23,'01_INPUTS'!$B$17:$B$31,0)))</f>
        <v>0</v>
      </c>
      <c r="S143">
        <f t="shared" si="14"/>
        <v>0</v>
      </c>
      <c r="T143">
        <f>SUM('01_INPUTS'!$E$17:$E$31)</f>
        <v>20</v>
      </c>
      <c r="U143" s="61">
        <f t="shared" si="15"/>
        <v>0</v>
      </c>
      <c r="V143">
        <f t="shared" si="16"/>
        <v>0</v>
      </c>
      <c r="W143" t="str">
        <f t="shared" si="17"/>
        <v>VERDE</v>
      </c>
      <c r="AA143" s="51" t="str">
        <f>'Sites Master'!$B$4</f>
        <v>Site 03</v>
      </c>
      <c r="AB143" s="51" t="str">
        <f>'Phase-Resource Allocation'!$B$80</f>
        <v>Functional Review</v>
      </c>
      <c r="AC143" s="51" t="str">
        <f>'Phase-Resource Allocation'!$C$80</f>
        <v>Azure Lead</v>
      </c>
      <c r="AD143" s="60">
        <f>'Phase-Resource Allocation'!$D$80</f>
        <v>0.5</v>
      </c>
      <c r="AE143" s="51">
        <f>IFERROR(INDEX('02_SCHEDULE'!$K$5:$K$124,MATCH(AA143&amp;"|"&amp;AB143,'02_SCHEDULE'!$M$5:$M$124,0)),0)</f>
        <v>6</v>
      </c>
      <c r="AF143" s="51">
        <f>IFERROR(INDEX('02_SCHEDULE'!$L$5:$L$124,MATCH(AA143&amp;"|"&amp;AB143,'02_SCHEDULE'!$M$5:$M$124,0)),0)</f>
        <v>6</v>
      </c>
      <c r="AG143" s="51">
        <f t="shared" si="18"/>
        <v>0.5</v>
      </c>
    </row>
    <row r="144" spans="2:33" x14ac:dyDescent="0.3">
      <c r="B144">
        <f>121</f>
        <v>121</v>
      </c>
      <c r="C144" s="55">
        <f>'01_INPUTS'!$C$7+(121-1)*7</f>
        <v>47091</v>
      </c>
      <c r="D144" s="61">
        <f>IF(INDEX('01_INPUTS'!$E$17:$E$31,MATCH(D$23,'01_INPUTS'!$B$17:$B$31,0))=0,IF(SUMIFS($AD$3:$AD$870,$AC$3:$AC$870,D$23,$AE$3:$AE$870,"&lt;="&amp;$B144,$AF$3:$AF$870,"&gt;="&amp;$B144)=0,0,9.99),SUMIFS($AD$3:$AD$870,$AC$3:$AC$870,D$23,$AE$3:$AE$870,"&lt;="&amp;$B144,$AF$3:$AF$870,"&gt;="&amp;$B144)/INDEX('01_INPUTS'!$E$17:$E$31,MATCH(D$23,'01_INPUTS'!$B$17:$B$31,0)))</f>
        <v>0</v>
      </c>
      <c r="E144" s="61">
        <f>IF(INDEX('01_INPUTS'!$E$17:$E$31,MATCH(E$23,'01_INPUTS'!$B$17:$B$31,0))=0,IF(SUMIFS($AD$3:$AD$870,$AC$3:$AC$870,E$23,$AE$3:$AE$870,"&lt;="&amp;$B144,$AF$3:$AF$870,"&gt;="&amp;$B144)=0,0,9.99),SUMIFS($AD$3:$AD$870,$AC$3:$AC$870,E$23,$AE$3:$AE$870,"&lt;="&amp;$B144,$AF$3:$AF$870,"&gt;="&amp;$B144)/INDEX('01_INPUTS'!$E$17:$E$31,MATCH(E$23,'01_INPUTS'!$B$17:$B$31,0)))</f>
        <v>0</v>
      </c>
      <c r="F144" s="61">
        <f>IF(INDEX('01_INPUTS'!$E$17:$E$31,MATCH(F$23,'01_INPUTS'!$B$17:$B$31,0))=0,IF(SUMIFS($AD$3:$AD$870,$AC$3:$AC$870,F$23,$AE$3:$AE$870,"&lt;="&amp;$B144,$AF$3:$AF$870,"&gt;="&amp;$B144)=0,0,9.99),SUMIFS($AD$3:$AD$870,$AC$3:$AC$870,F$23,$AE$3:$AE$870,"&lt;="&amp;$B144,$AF$3:$AF$870,"&gt;="&amp;$B144)/INDEX('01_INPUTS'!$E$17:$E$31,MATCH(F$23,'01_INPUTS'!$B$17:$B$31,0)))</f>
        <v>0</v>
      </c>
      <c r="G144" s="61">
        <f>IF(INDEX('01_INPUTS'!$E$17:$E$31,MATCH(G$23,'01_INPUTS'!$B$17:$B$31,0))=0,IF(SUMIFS($AD$3:$AD$870,$AC$3:$AC$870,G$23,$AE$3:$AE$870,"&lt;="&amp;$B144,$AF$3:$AF$870,"&gt;="&amp;$B144)=0,0,9.99),SUMIFS($AD$3:$AD$870,$AC$3:$AC$870,G$23,$AE$3:$AE$870,"&lt;="&amp;$B144,$AF$3:$AF$870,"&gt;="&amp;$B144)/INDEX('01_INPUTS'!$E$17:$E$31,MATCH(G$23,'01_INPUTS'!$B$17:$B$31,0)))</f>
        <v>0</v>
      </c>
      <c r="H144" s="61">
        <f>IF(INDEX('01_INPUTS'!$E$17:$E$31,MATCH(H$23,'01_INPUTS'!$B$17:$B$31,0))=0,IF(SUMIFS($AD$3:$AD$870,$AC$3:$AC$870,H$23,$AE$3:$AE$870,"&lt;="&amp;$B144,$AF$3:$AF$870,"&gt;="&amp;$B144)=0,0,9.99),SUMIFS($AD$3:$AD$870,$AC$3:$AC$870,H$23,$AE$3:$AE$870,"&lt;="&amp;$B144,$AF$3:$AF$870,"&gt;="&amp;$B144)/INDEX('01_INPUTS'!$E$17:$E$31,MATCH(H$23,'01_INPUTS'!$B$17:$B$31,0)))</f>
        <v>0</v>
      </c>
      <c r="I144" s="61">
        <f>IF(INDEX('01_INPUTS'!$E$17:$E$31,MATCH(I$23,'01_INPUTS'!$B$17:$B$31,0))=0,IF(SUMIFS($AD$3:$AD$870,$AC$3:$AC$870,I$23,$AE$3:$AE$870,"&lt;="&amp;$B144,$AF$3:$AF$870,"&gt;="&amp;$B144)=0,0,9.99),SUMIFS($AD$3:$AD$870,$AC$3:$AC$870,I$23,$AE$3:$AE$870,"&lt;="&amp;$B144,$AF$3:$AF$870,"&gt;="&amp;$B144)/INDEX('01_INPUTS'!$E$17:$E$31,MATCH(I$23,'01_INPUTS'!$B$17:$B$31,0)))</f>
        <v>0</v>
      </c>
      <c r="J144" s="61">
        <f>IF(INDEX('01_INPUTS'!$E$17:$E$31,MATCH(J$23,'01_INPUTS'!$B$17:$B$31,0))=0,IF(SUMIFS($AD$3:$AD$870,$AC$3:$AC$870,J$23,$AE$3:$AE$870,"&lt;="&amp;$B144,$AF$3:$AF$870,"&gt;="&amp;$B144)=0,0,9.99),SUMIFS($AD$3:$AD$870,$AC$3:$AC$870,J$23,$AE$3:$AE$870,"&lt;="&amp;$B144,$AF$3:$AF$870,"&gt;="&amp;$B144)/INDEX('01_INPUTS'!$E$17:$E$31,MATCH(J$23,'01_INPUTS'!$B$17:$B$31,0)))</f>
        <v>0</v>
      </c>
      <c r="K144" s="61">
        <f>IF(INDEX('01_INPUTS'!$E$17:$E$31,MATCH(K$23,'01_INPUTS'!$B$17:$B$31,0))=0,IF(SUMIFS($AD$3:$AD$870,$AC$3:$AC$870,K$23,$AE$3:$AE$870,"&lt;="&amp;$B144,$AF$3:$AF$870,"&gt;="&amp;$B144)=0,0,9.99),SUMIFS($AD$3:$AD$870,$AC$3:$AC$870,K$23,$AE$3:$AE$870,"&lt;="&amp;$B144,$AF$3:$AF$870,"&gt;="&amp;$B144)/INDEX('01_INPUTS'!$E$17:$E$31,MATCH(K$23,'01_INPUTS'!$B$17:$B$31,0)))</f>
        <v>0</v>
      </c>
      <c r="L144" s="61">
        <f>IF(INDEX('01_INPUTS'!$E$17:$E$31,MATCH(L$23,'01_INPUTS'!$B$17:$B$31,0))=0,IF(SUMIFS($AD$3:$AD$870,$AC$3:$AC$870,L$23,$AE$3:$AE$870,"&lt;="&amp;$B144,$AF$3:$AF$870,"&gt;="&amp;$B144)=0,0,9.99),SUMIFS($AD$3:$AD$870,$AC$3:$AC$870,L$23,$AE$3:$AE$870,"&lt;="&amp;$B144,$AF$3:$AF$870,"&gt;="&amp;$B144)/INDEX('01_INPUTS'!$E$17:$E$31,MATCH(L$23,'01_INPUTS'!$B$17:$B$31,0)))</f>
        <v>0</v>
      </c>
      <c r="M144" s="61">
        <f>IF(INDEX('01_INPUTS'!$E$17:$E$31,MATCH(M$23,'01_INPUTS'!$B$17:$B$31,0))=0,IF(SUMIFS($AD$3:$AD$870,$AC$3:$AC$870,M$23,$AE$3:$AE$870,"&lt;="&amp;$B144,$AF$3:$AF$870,"&gt;="&amp;$B144)=0,0,9.99),SUMIFS($AD$3:$AD$870,$AC$3:$AC$870,M$23,$AE$3:$AE$870,"&lt;="&amp;$B144,$AF$3:$AF$870,"&gt;="&amp;$B144)/INDEX('01_INPUTS'!$E$17:$E$31,MATCH(M$23,'01_INPUTS'!$B$17:$B$31,0)))</f>
        <v>0</v>
      </c>
      <c r="N144" s="61">
        <f>IF(INDEX('01_INPUTS'!$E$17:$E$31,MATCH(N$23,'01_INPUTS'!$B$17:$B$31,0))=0,IF(SUMIFS($AD$3:$AD$870,$AC$3:$AC$870,N$23,$AE$3:$AE$870,"&lt;="&amp;$B144,$AF$3:$AF$870,"&gt;="&amp;$B144)=0,0,9.99),SUMIFS($AD$3:$AD$870,$AC$3:$AC$870,N$23,$AE$3:$AE$870,"&lt;="&amp;$B144,$AF$3:$AF$870,"&gt;="&amp;$B144)/INDEX('01_INPUTS'!$E$17:$E$31,MATCH(N$23,'01_INPUTS'!$B$17:$B$31,0)))</f>
        <v>0</v>
      </c>
      <c r="O144" s="61">
        <f>IF(INDEX('01_INPUTS'!$E$17:$E$31,MATCH(O$23,'01_INPUTS'!$B$17:$B$31,0))=0,IF(SUMIFS($AD$3:$AD$870,$AC$3:$AC$870,O$23,$AE$3:$AE$870,"&lt;="&amp;$B144,$AF$3:$AF$870,"&gt;="&amp;$B144)=0,0,9.99),SUMIFS($AD$3:$AD$870,$AC$3:$AC$870,O$23,$AE$3:$AE$870,"&lt;="&amp;$B144,$AF$3:$AF$870,"&gt;="&amp;$B144)/INDEX('01_INPUTS'!$E$17:$E$31,MATCH(O$23,'01_INPUTS'!$B$17:$B$31,0)))</f>
        <v>0</v>
      </c>
      <c r="P144" s="61">
        <f>IF(INDEX('01_INPUTS'!$E$17:$E$31,MATCH(P$23,'01_INPUTS'!$B$17:$B$31,0))=0,IF(SUMIFS($AD$3:$AD$870,$AC$3:$AC$870,P$23,$AE$3:$AE$870,"&lt;="&amp;$B144,$AF$3:$AF$870,"&gt;="&amp;$B144)=0,0,9.99),SUMIFS($AD$3:$AD$870,$AC$3:$AC$870,P$23,$AE$3:$AE$870,"&lt;="&amp;$B144,$AF$3:$AF$870,"&gt;="&amp;$B144)/INDEX('01_INPUTS'!$E$17:$E$31,MATCH(P$23,'01_INPUTS'!$B$17:$B$31,0)))</f>
        <v>0</v>
      </c>
      <c r="Q144" s="61">
        <f>IF(INDEX('01_INPUTS'!$E$17:$E$31,MATCH(Q$23,'01_INPUTS'!$B$17:$B$31,0))=0,IF(SUMIFS($AD$3:$AD$870,$AC$3:$AC$870,Q$23,$AE$3:$AE$870,"&lt;="&amp;$B144,$AF$3:$AF$870,"&gt;="&amp;$B144)=0,0,9.99),SUMIFS($AD$3:$AD$870,$AC$3:$AC$870,Q$23,$AE$3:$AE$870,"&lt;="&amp;$B144,$AF$3:$AF$870,"&gt;="&amp;$B144)/INDEX('01_INPUTS'!$E$17:$E$31,MATCH(Q$23,'01_INPUTS'!$B$17:$B$31,0)))</f>
        <v>0</v>
      </c>
      <c r="R144" s="61">
        <f>IF(INDEX('01_INPUTS'!$E$17:$E$31,MATCH(R$23,'01_INPUTS'!$B$17:$B$31,0))=0,IF(SUMIFS($AD$3:$AD$870,$AC$3:$AC$870,R$23,$AE$3:$AE$870,"&lt;="&amp;$B144,$AF$3:$AF$870,"&gt;="&amp;$B144)=0,0,9.99),SUMIFS($AD$3:$AD$870,$AC$3:$AC$870,R$23,$AE$3:$AE$870,"&lt;="&amp;$B144,$AF$3:$AF$870,"&gt;="&amp;$B144)/INDEX('01_INPUTS'!$E$17:$E$31,MATCH(R$23,'01_INPUTS'!$B$17:$B$31,0)))</f>
        <v>0</v>
      </c>
      <c r="S144">
        <f t="shared" si="14"/>
        <v>0</v>
      </c>
      <c r="T144">
        <f>SUM('01_INPUTS'!$E$17:$E$31)</f>
        <v>20</v>
      </c>
      <c r="U144" s="61">
        <f t="shared" si="15"/>
        <v>0</v>
      </c>
      <c r="V144">
        <f t="shared" si="16"/>
        <v>0</v>
      </c>
      <c r="W144" t="str">
        <f t="shared" si="17"/>
        <v>VERDE</v>
      </c>
      <c r="AA144" s="51" t="str">
        <f>'Sites Master'!$B$4</f>
        <v>Site 03</v>
      </c>
      <c r="AB144" s="51" t="str">
        <f>'Phase-Resource Allocation'!$B$81</f>
        <v>Functional Review</v>
      </c>
      <c r="AC144" s="51" t="str">
        <f>'Phase-Resource Allocation'!$C$81</f>
        <v>Azure Specialist</v>
      </c>
      <c r="AD144" s="60">
        <f>'Phase-Resource Allocation'!$D$81</f>
        <v>0.5</v>
      </c>
      <c r="AE144" s="51">
        <f>IFERROR(INDEX('02_SCHEDULE'!$K$5:$K$124,MATCH(AA144&amp;"|"&amp;AB144,'02_SCHEDULE'!$M$5:$M$124,0)),0)</f>
        <v>6</v>
      </c>
      <c r="AF144" s="51">
        <f>IFERROR(INDEX('02_SCHEDULE'!$L$5:$L$124,MATCH(AA144&amp;"|"&amp;AB144,'02_SCHEDULE'!$M$5:$M$124,0)),0)</f>
        <v>6</v>
      </c>
      <c r="AG144" s="51">
        <f t="shared" si="18"/>
        <v>0.5</v>
      </c>
    </row>
    <row r="145" spans="2:33" x14ac:dyDescent="0.3">
      <c r="B145">
        <f>122</f>
        <v>122</v>
      </c>
      <c r="C145" s="55">
        <f>'01_INPUTS'!$C$7+(122-1)*7</f>
        <v>47098</v>
      </c>
      <c r="D145" s="61">
        <f>IF(INDEX('01_INPUTS'!$E$17:$E$31,MATCH(D$23,'01_INPUTS'!$B$17:$B$31,0))=0,IF(SUMIFS($AD$3:$AD$870,$AC$3:$AC$870,D$23,$AE$3:$AE$870,"&lt;="&amp;$B145,$AF$3:$AF$870,"&gt;="&amp;$B145)=0,0,9.99),SUMIFS($AD$3:$AD$870,$AC$3:$AC$870,D$23,$AE$3:$AE$870,"&lt;="&amp;$B145,$AF$3:$AF$870,"&gt;="&amp;$B145)/INDEX('01_INPUTS'!$E$17:$E$31,MATCH(D$23,'01_INPUTS'!$B$17:$B$31,0)))</f>
        <v>0</v>
      </c>
      <c r="E145" s="61">
        <f>IF(INDEX('01_INPUTS'!$E$17:$E$31,MATCH(E$23,'01_INPUTS'!$B$17:$B$31,0))=0,IF(SUMIFS($AD$3:$AD$870,$AC$3:$AC$870,E$23,$AE$3:$AE$870,"&lt;="&amp;$B145,$AF$3:$AF$870,"&gt;="&amp;$B145)=0,0,9.99),SUMIFS($AD$3:$AD$870,$AC$3:$AC$870,E$23,$AE$3:$AE$870,"&lt;="&amp;$B145,$AF$3:$AF$870,"&gt;="&amp;$B145)/INDEX('01_INPUTS'!$E$17:$E$31,MATCH(E$23,'01_INPUTS'!$B$17:$B$31,0)))</f>
        <v>0</v>
      </c>
      <c r="F145" s="61">
        <f>IF(INDEX('01_INPUTS'!$E$17:$E$31,MATCH(F$23,'01_INPUTS'!$B$17:$B$31,0))=0,IF(SUMIFS($AD$3:$AD$870,$AC$3:$AC$870,F$23,$AE$3:$AE$870,"&lt;="&amp;$B145,$AF$3:$AF$870,"&gt;="&amp;$B145)=0,0,9.99),SUMIFS($AD$3:$AD$870,$AC$3:$AC$870,F$23,$AE$3:$AE$870,"&lt;="&amp;$B145,$AF$3:$AF$870,"&gt;="&amp;$B145)/INDEX('01_INPUTS'!$E$17:$E$31,MATCH(F$23,'01_INPUTS'!$B$17:$B$31,0)))</f>
        <v>0</v>
      </c>
      <c r="G145" s="61">
        <f>IF(INDEX('01_INPUTS'!$E$17:$E$31,MATCH(G$23,'01_INPUTS'!$B$17:$B$31,0))=0,IF(SUMIFS($AD$3:$AD$870,$AC$3:$AC$870,G$23,$AE$3:$AE$870,"&lt;="&amp;$B145,$AF$3:$AF$870,"&gt;="&amp;$B145)=0,0,9.99),SUMIFS($AD$3:$AD$870,$AC$3:$AC$870,G$23,$AE$3:$AE$870,"&lt;="&amp;$B145,$AF$3:$AF$870,"&gt;="&amp;$B145)/INDEX('01_INPUTS'!$E$17:$E$31,MATCH(G$23,'01_INPUTS'!$B$17:$B$31,0)))</f>
        <v>0</v>
      </c>
      <c r="H145" s="61">
        <f>IF(INDEX('01_INPUTS'!$E$17:$E$31,MATCH(H$23,'01_INPUTS'!$B$17:$B$31,0))=0,IF(SUMIFS($AD$3:$AD$870,$AC$3:$AC$870,H$23,$AE$3:$AE$870,"&lt;="&amp;$B145,$AF$3:$AF$870,"&gt;="&amp;$B145)=0,0,9.99),SUMIFS($AD$3:$AD$870,$AC$3:$AC$870,H$23,$AE$3:$AE$870,"&lt;="&amp;$B145,$AF$3:$AF$870,"&gt;="&amp;$B145)/INDEX('01_INPUTS'!$E$17:$E$31,MATCH(H$23,'01_INPUTS'!$B$17:$B$31,0)))</f>
        <v>0</v>
      </c>
      <c r="I145" s="61">
        <f>IF(INDEX('01_INPUTS'!$E$17:$E$31,MATCH(I$23,'01_INPUTS'!$B$17:$B$31,0))=0,IF(SUMIFS($AD$3:$AD$870,$AC$3:$AC$870,I$23,$AE$3:$AE$870,"&lt;="&amp;$B145,$AF$3:$AF$870,"&gt;="&amp;$B145)=0,0,9.99),SUMIFS($AD$3:$AD$870,$AC$3:$AC$870,I$23,$AE$3:$AE$870,"&lt;="&amp;$B145,$AF$3:$AF$870,"&gt;="&amp;$B145)/INDEX('01_INPUTS'!$E$17:$E$31,MATCH(I$23,'01_INPUTS'!$B$17:$B$31,0)))</f>
        <v>0</v>
      </c>
      <c r="J145" s="61">
        <f>IF(INDEX('01_INPUTS'!$E$17:$E$31,MATCH(J$23,'01_INPUTS'!$B$17:$B$31,0))=0,IF(SUMIFS($AD$3:$AD$870,$AC$3:$AC$870,J$23,$AE$3:$AE$870,"&lt;="&amp;$B145,$AF$3:$AF$870,"&gt;="&amp;$B145)=0,0,9.99),SUMIFS($AD$3:$AD$870,$AC$3:$AC$870,J$23,$AE$3:$AE$870,"&lt;="&amp;$B145,$AF$3:$AF$870,"&gt;="&amp;$B145)/INDEX('01_INPUTS'!$E$17:$E$31,MATCH(J$23,'01_INPUTS'!$B$17:$B$31,0)))</f>
        <v>0</v>
      </c>
      <c r="K145" s="61">
        <f>IF(INDEX('01_INPUTS'!$E$17:$E$31,MATCH(K$23,'01_INPUTS'!$B$17:$B$31,0))=0,IF(SUMIFS($AD$3:$AD$870,$AC$3:$AC$870,K$23,$AE$3:$AE$870,"&lt;="&amp;$B145,$AF$3:$AF$870,"&gt;="&amp;$B145)=0,0,9.99),SUMIFS($AD$3:$AD$870,$AC$3:$AC$870,K$23,$AE$3:$AE$870,"&lt;="&amp;$B145,$AF$3:$AF$870,"&gt;="&amp;$B145)/INDEX('01_INPUTS'!$E$17:$E$31,MATCH(K$23,'01_INPUTS'!$B$17:$B$31,0)))</f>
        <v>0</v>
      </c>
      <c r="L145" s="61">
        <f>IF(INDEX('01_INPUTS'!$E$17:$E$31,MATCH(L$23,'01_INPUTS'!$B$17:$B$31,0))=0,IF(SUMIFS($AD$3:$AD$870,$AC$3:$AC$870,L$23,$AE$3:$AE$870,"&lt;="&amp;$B145,$AF$3:$AF$870,"&gt;="&amp;$B145)=0,0,9.99),SUMIFS($AD$3:$AD$870,$AC$3:$AC$870,L$23,$AE$3:$AE$870,"&lt;="&amp;$B145,$AF$3:$AF$870,"&gt;="&amp;$B145)/INDEX('01_INPUTS'!$E$17:$E$31,MATCH(L$23,'01_INPUTS'!$B$17:$B$31,0)))</f>
        <v>0</v>
      </c>
      <c r="M145" s="61">
        <f>IF(INDEX('01_INPUTS'!$E$17:$E$31,MATCH(M$23,'01_INPUTS'!$B$17:$B$31,0))=0,IF(SUMIFS($AD$3:$AD$870,$AC$3:$AC$870,M$23,$AE$3:$AE$870,"&lt;="&amp;$B145,$AF$3:$AF$870,"&gt;="&amp;$B145)=0,0,9.99),SUMIFS($AD$3:$AD$870,$AC$3:$AC$870,M$23,$AE$3:$AE$870,"&lt;="&amp;$B145,$AF$3:$AF$870,"&gt;="&amp;$B145)/INDEX('01_INPUTS'!$E$17:$E$31,MATCH(M$23,'01_INPUTS'!$B$17:$B$31,0)))</f>
        <v>0</v>
      </c>
      <c r="N145" s="61">
        <f>IF(INDEX('01_INPUTS'!$E$17:$E$31,MATCH(N$23,'01_INPUTS'!$B$17:$B$31,0))=0,IF(SUMIFS($AD$3:$AD$870,$AC$3:$AC$870,N$23,$AE$3:$AE$870,"&lt;="&amp;$B145,$AF$3:$AF$870,"&gt;="&amp;$B145)=0,0,9.99),SUMIFS($AD$3:$AD$870,$AC$3:$AC$870,N$23,$AE$3:$AE$870,"&lt;="&amp;$B145,$AF$3:$AF$870,"&gt;="&amp;$B145)/INDEX('01_INPUTS'!$E$17:$E$31,MATCH(N$23,'01_INPUTS'!$B$17:$B$31,0)))</f>
        <v>0</v>
      </c>
      <c r="O145" s="61">
        <f>IF(INDEX('01_INPUTS'!$E$17:$E$31,MATCH(O$23,'01_INPUTS'!$B$17:$B$31,0))=0,IF(SUMIFS($AD$3:$AD$870,$AC$3:$AC$870,O$23,$AE$3:$AE$870,"&lt;="&amp;$B145,$AF$3:$AF$870,"&gt;="&amp;$B145)=0,0,9.99),SUMIFS($AD$3:$AD$870,$AC$3:$AC$870,O$23,$AE$3:$AE$870,"&lt;="&amp;$B145,$AF$3:$AF$870,"&gt;="&amp;$B145)/INDEX('01_INPUTS'!$E$17:$E$31,MATCH(O$23,'01_INPUTS'!$B$17:$B$31,0)))</f>
        <v>0</v>
      </c>
      <c r="P145" s="61">
        <f>IF(INDEX('01_INPUTS'!$E$17:$E$31,MATCH(P$23,'01_INPUTS'!$B$17:$B$31,0))=0,IF(SUMIFS($AD$3:$AD$870,$AC$3:$AC$870,P$23,$AE$3:$AE$870,"&lt;="&amp;$B145,$AF$3:$AF$870,"&gt;="&amp;$B145)=0,0,9.99),SUMIFS($AD$3:$AD$870,$AC$3:$AC$870,P$23,$AE$3:$AE$870,"&lt;="&amp;$B145,$AF$3:$AF$870,"&gt;="&amp;$B145)/INDEX('01_INPUTS'!$E$17:$E$31,MATCH(P$23,'01_INPUTS'!$B$17:$B$31,0)))</f>
        <v>0</v>
      </c>
      <c r="Q145" s="61">
        <f>IF(INDEX('01_INPUTS'!$E$17:$E$31,MATCH(Q$23,'01_INPUTS'!$B$17:$B$31,0))=0,IF(SUMIFS($AD$3:$AD$870,$AC$3:$AC$870,Q$23,$AE$3:$AE$870,"&lt;="&amp;$B145,$AF$3:$AF$870,"&gt;="&amp;$B145)=0,0,9.99),SUMIFS($AD$3:$AD$870,$AC$3:$AC$870,Q$23,$AE$3:$AE$870,"&lt;="&amp;$B145,$AF$3:$AF$870,"&gt;="&amp;$B145)/INDEX('01_INPUTS'!$E$17:$E$31,MATCH(Q$23,'01_INPUTS'!$B$17:$B$31,0)))</f>
        <v>0</v>
      </c>
      <c r="R145" s="61">
        <f>IF(INDEX('01_INPUTS'!$E$17:$E$31,MATCH(R$23,'01_INPUTS'!$B$17:$B$31,0))=0,IF(SUMIFS($AD$3:$AD$870,$AC$3:$AC$870,R$23,$AE$3:$AE$870,"&lt;="&amp;$B145,$AF$3:$AF$870,"&gt;="&amp;$B145)=0,0,9.99),SUMIFS($AD$3:$AD$870,$AC$3:$AC$870,R$23,$AE$3:$AE$870,"&lt;="&amp;$B145,$AF$3:$AF$870,"&gt;="&amp;$B145)/INDEX('01_INPUTS'!$E$17:$E$31,MATCH(R$23,'01_INPUTS'!$B$17:$B$31,0)))</f>
        <v>0</v>
      </c>
      <c r="S145">
        <f t="shared" si="14"/>
        <v>0</v>
      </c>
      <c r="T145">
        <f>SUM('01_INPUTS'!$E$17:$E$31)</f>
        <v>20</v>
      </c>
      <c r="U145" s="61">
        <f t="shared" si="15"/>
        <v>0</v>
      </c>
      <c r="V145">
        <f t="shared" si="16"/>
        <v>0</v>
      </c>
      <c r="W145" t="str">
        <f t="shared" si="17"/>
        <v>VERDE</v>
      </c>
      <c r="AA145" s="51" t="str">
        <f>'Sites Master'!$B$4</f>
        <v>Site 03</v>
      </c>
      <c r="AB145" s="51" t="str">
        <f>'Phase-Resource Allocation'!$B$82</f>
        <v>Functional Review</v>
      </c>
      <c r="AC145" s="51" t="str">
        <f>'Phase-Resource Allocation'!$C$82</f>
        <v>Testing Lead</v>
      </c>
      <c r="AD145" s="60">
        <f>'Phase-Resource Allocation'!$D$82</f>
        <v>0.5</v>
      </c>
      <c r="AE145" s="51">
        <f>IFERROR(INDEX('02_SCHEDULE'!$K$5:$K$124,MATCH(AA145&amp;"|"&amp;AB145,'02_SCHEDULE'!$M$5:$M$124,0)),0)</f>
        <v>6</v>
      </c>
      <c r="AF145" s="51">
        <f>IFERROR(INDEX('02_SCHEDULE'!$L$5:$L$124,MATCH(AA145&amp;"|"&amp;AB145,'02_SCHEDULE'!$M$5:$M$124,0)),0)</f>
        <v>6</v>
      </c>
      <c r="AG145" s="51">
        <f t="shared" si="18"/>
        <v>0.5</v>
      </c>
    </row>
    <row r="146" spans="2:33" x14ac:dyDescent="0.3">
      <c r="B146">
        <f>123</f>
        <v>123</v>
      </c>
      <c r="C146" s="55">
        <f>'01_INPUTS'!$C$7+(123-1)*7</f>
        <v>47105</v>
      </c>
      <c r="D146" s="61">
        <f>IF(INDEX('01_INPUTS'!$E$17:$E$31,MATCH(D$23,'01_INPUTS'!$B$17:$B$31,0))=0,IF(SUMIFS($AD$3:$AD$870,$AC$3:$AC$870,D$23,$AE$3:$AE$870,"&lt;="&amp;$B146,$AF$3:$AF$870,"&gt;="&amp;$B146)=0,0,9.99),SUMIFS($AD$3:$AD$870,$AC$3:$AC$870,D$23,$AE$3:$AE$870,"&lt;="&amp;$B146,$AF$3:$AF$870,"&gt;="&amp;$B146)/INDEX('01_INPUTS'!$E$17:$E$31,MATCH(D$23,'01_INPUTS'!$B$17:$B$31,0)))</f>
        <v>0</v>
      </c>
      <c r="E146" s="61">
        <f>IF(INDEX('01_INPUTS'!$E$17:$E$31,MATCH(E$23,'01_INPUTS'!$B$17:$B$31,0))=0,IF(SUMIFS($AD$3:$AD$870,$AC$3:$AC$870,E$23,$AE$3:$AE$870,"&lt;="&amp;$B146,$AF$3:$AF$870,"&gt;="&amp;$B146)=0,0,9.99),SUMIFS($AD$3:$AD$870,$AC$3:$AC$870,E$23,$AE$3:$AE$870,"&lt;="&amp;$B146,$AF$3:$AF$870,"&gt;="&amp;$B146)/INDEX('01_INPUTS'!$E$17:$E$31,MATCH(E$23,'01_INPUTS'!$B$17:$B$31,0)))</f>
        <v>0</v>
      </c>
      <c r="F146" s="61">
        <f>IF(INDEX('01_INPUTS'!$E$17:$E$31,MATCH(F$23,'01_INPUTS'!$B$17:$B$31,0))=0,IF(SUMIFS($AD$3:$AD$870,$AC$3:$AC$870,F$23,$AE$3:$AE$870,"&lt;="&amp;$B146,$AF$3:$AF$870,"&gt;="&amp;$B146)=0,0,9.99),SUMIFS($AD$3:$AD$870,$AC$3:$AC$870,F$23,$AE$3:$AE$870,"&lt;="&amp;$B146,$AF$3:$AF$870,"&gt;="&amp;$B146)/INDEX('01_INPUTS'!$E$17:$E$31,MATCH(F$23,'01_INPUTS'!$B$17:$B$31,0)))</f>
        <v>0</v>
      </c>
      <c r="G146" s="61">
        <f>IF(INDEX('01_INPUTS'!$E$17:$E$31,MATCH(G$23,'01_INPUTS'!$B$17:$B$31,0))=0,IF(SUMIFS($AD$3:$AD$870,$AC$3:$AC$870,G$23,$AE$3:$AE$870,"&lt;="&amp;$B146,$AF$3:$AF$870,"&gt;="&amp;$B146)=0,0,9.99),SUMIFS($AD$3:$AD$870,$AC$3:$AC$870,G$23,$AE$3:$AE$870,"&lt;="&amp;$B146,$AF$3:$AF$870,"&gt;="&amp;$B146)/INDEX('01_INPUTS'!$E$17:$E$31,MATCH(G$23,'01_INPUTS'!$B$17:$B$31,0)))</f>
        <v>0</v>
      </c>
      <c r="H146" s="61">
        <f>IF(INDEX('01_INPUTS'!$E$17:$E$31,MATCH(H$23,'01_INPUTS'!$B$17:$B$31,0))=0,IF(SUMIFS($AD$3:$AD$870,$AC$3:$AC$870,H$23,$AE$3:$AE$870,"&lt;="&amp;$B146,$AF$3:$AF$870,"&gt;="&amp;$B146)=0,0,9.99),SUMIFS($AD$3:$AD$870,$AC$3:$AC$870,H$23,$AE$3:$AE$870,"&lt;="&amp;$B146,$AF$3:$AF$870,"&gt;="&amp;$B146)/INDEX('01_INPUTS'!$E$17:$E$31,MATCH(H$23,'01_INPUTS'!$B$17:$B$31,0)))</f>
        <v>0</v>
      </c>
      <c r="I146" s="61">
        <f>IF(INDEX('01_INPUTS'!$E$17:$E$31,MATCH(I$23,'01_INPUTS'!$B$17:$B$31,0))=0,IF(SUMIFS($AD$3:$AD$870,$AC$3:$AC$870,I$23,$AE$3:$AE$870,"&lt;="&amp;$B146,$AF$3:$AF$870,"&gt;="&amp;$B146)=0,0,9.99),SUMIFS($AD$3:$AD$870,$AC$3:$AC$870,I$23,$AE$3:$AE$870,"&lt;="&amp;$B146,$AF$3:$AF$870,"&gt;="&amp;$B146)/INDEX('01_INPUTS'!$E$17:$E$31,MATCH(I$23,'01_INPUTS'!$B$17:$B$31,0)))</f>
        <v>0</v>
      </c>
      <c r="J146" s="61">
        <f>IF(INDEX('01_INPUTS'!$E$17:$E$31,MATCH(J$23,'01_INPUTS'!$B$17:$B$31,0))=0,IF(SUMIFS($AD$3:$AD$870,$AC$3:$AC$870,J$23,$AE$3:$AE$870,"&lt;="&amp;$B146,$AF$3:$AF$870,"&gt;="&amp;$B146)=0,0,9.99),SUMIFS($AD$3:$AD$870,$AC$3:$AC$870,J$23,$AE$3:$AE$870,"&lt;="&amp;$B146,$AF$3:$AF$870,"&gt;="&amp;$B146)/INDEX('01_INPUTS'!$E$17:$E$31,MATCH(J$23,'01_INPUTS'!$B$17:$B$31,0)))</f>
        <v>0</v>
      </c>
      <c r="K146" s="61">
        <f>IF(INDEX('01_INPUTS'!$E$17:$E$31,MATCH(K$23,'01_INPUTS'!$B$17:$B$31,0))=0,IF(SUMIFS($AD$3:$AD$870,$AC$3:$AC$870,K$23,$AE$3:$AE$870,"&lt;="&amp;$B146,$AF$3:$AF$870,"&gt;="&amp;$B146)=0,0,9.99),SUMIFS($AD$3:$AD$870,$AC$3:$AC$870,K$23,$AE$3:$AE$870,"&lt;="&amp;$B146,$AF$3:$AF$870,"&gt;="&amp;$B146)/INDEX('01_INPUTS'!$E$17:$E$31,MATCH(K$23,'01_INPUTS'!$B$17:$B$31,0)))</f>
        <v>0</v>
      </c>
      <c r="L146" s="61">
        <f>IF(INDEX('01_INPUTS'!$E$17:$E$31,MATCH(L$23,'01_INPUTS'!$B$17:$B$31,0))=0,IF(SUMIFS($AD$3:$AD$870,$AC$3:$AC$870,L$23,$AE$3:$AE$870,"&lt;="&amp;$B146,$AF$3:$AF$870,"&gt;="&amp;$B146)=0,0,9.99),SUMIFS($AD$3:$AD$870,$AC$3:$AC$870,L$23,$AE$3:$AE$870,"&lt;="&amp;$B146,$AF$3:$AF$870,"&gt;="&amp;$B146)/INDEX('01_INPUTS'!$E$17:$E$31,MATCH(L$23,'01_INPUTS'!$B$17:$B$31,0)))</f>
        <v>0</v>
      </c>
      <c r="M146" s="61">
        <f>IF(INDEX('01_INPUTS'!$E$17:$E$31,MATCH(M$23,'01_INPUTS'!$B$17:$B$31,0))=0,IF(SUMIFS($AD$3:$AD$870,$AC$3:$AC$870,M$23,$AE$3:$AE$870,"&lt;="&amp;$B146,$AF$3:$AF$870,"&gt;="&amp;$B146)=0,0,9.99),SUMIFS($AD$3:$AD$870,$AC$3:$AC$870,M$23,$AE$3:$AE$870,"&lt;="&amp;$B146,$AF$3:$AF$870,"&gt;="&amp;$B146)/INDEX('01_INPUTS'!$E$17:$E$31,MATCH(M$23,'01_INPUTS'!$B$17:$B$31,0)))</f>
        <v>0</v>
      </c>
      <c r="N146" s="61">
        <f>IF(INDEX('01_INPUTS'!$E$17:$E$31,MATCH(N$23,'01_INPUTS'!$B$17:$B$31,0))=0,IF(SUMIFS($AD$3:$AD$870,$AC$3:$AC$870,N$23,$AE$3:$AE$870,"&lt;="&amp;$B146,$AF$3:$AF$870,"&gt;="&amp;$B146)=0,0,9.99),SUMIFS($AD$3:$AD$870,$AC$3:$AC$870,N$23,$AE$3:$AE$870,"&lt;="&amp;$B146,$AF$3:$AF$870,"&gt;="&amp;$B146)/INDEX('01_INPUTS'!$E$17:$E$31,MATCH(N$23,'01_INPUTS'!$B$17:$B$31,0)))</f>
        <v>0</v>
      </c>
      <c r="O146" s="61">
        <f>IF(INDEX('01_INPUTS'!$E$17:$E$31,MATCH(O$23,'01_INPUTS'!$B$17:$B$31,0))=0,IF(SUMIFS($AD$3:$AD$870,$AC$3:$AC$870,O$23,$AE$3:$AE$870,"&lt;="&amp;$B146,$AF$3:$AF$870,"&gt;="&amp;$B146)=0,0,9.99),SUMIFS($AD$3:$AD$870,$AC$3:$AC$870,O$23,$AE$3:$AE$870,"&lt;="&amp;$B146,$AF$3:$AF$870,"&gt;="&amp;$B146)/INDEX('01_INPUTS'!$E$17:$E$31,MATCH(O$23,'01_INPUTS'!$B$17:$B$31,0)))</f>
        <v>0</v>
      </c>
      <c r="P146" s="61">
        <f>IF(INDEX('01_INPUTS'!$E$17:$E$31,MATCH(P$23,'01_INPUTS'!$B$17:$B$31,0))=0,IF(SUMIFS($AD$3:$AD$870,$AC$3:$AC$870,P$23,$AE$3:$AE$870,"&lt;="&amp;$B146,$AF$3:$AF$870,"&gt;="&amp;$B146)=0,0,9.99),SUMIFS($AD$3:$AD$870,$AC$3:$AC$870,P$23,$AE$3:$AE$870,"&lt;="&amp;$B146,$AF$3:$AF$870,"&gt;="&amp;$B146)/INDEX('01_INPUTS'!$E$17:$E$31,MATCH(P$23,'01_INPUTS'!$B$17:$B$31,0)))</f>
        <v>0</v>
      </c>
      <c r="Q146" s="61">
        <f>IF(INDEX('01_INPUTS'!$E$17:$E$31,MATCH(Q$23,'01_INPUTS'!$B$17:$B$31,0))=0,IF(SUMIFS($AD$3:$AD$870,$AC$3:$AC$870,Q$23,$AE$3:$AE$870,"&lt;="&amp;$B146,$AF$3:$AF$870,"&gt;="&amp;$B146)=0,0,9.99),SUMIFS($AD$3:$AD$870,$AC$3:$AC$870,Q$23,$AE$3:$AE$870,"&lt;="&amp;$B146,$AF$3:$AF$870,"&gt;="&amp;$B146)/INDEX('01_INPUTS'!$E$17:$E$31,MATCH(Q$23,'01_INPUTS'!$B$17:$B$31,0)))</f>
        <v>0</v>
      </c>
      <c r="R146" s="61">
        <f>IF(INDEX('01_INPUTS'!$E$17:$E$31,MATCH(R$23,'01_INPUTS'!$B$17:$B$31,0))=0,IF(SUMIFS($AD$3:$AD$870,$AC$3:$AC$870,R$23,$AE$3:$AE$870,"&lt;="&amp;$B146,$AF$3:$AF$870,"&gt;="&amp;$B146)=0,0,9.99),SUMIFS($AD$3:$AD$870,$AC$3:$AC$870,R$23,$AE$3:$AE$870,"&lt;="&amp;$B146,$AF$3:$AF$870,"&gt;="&amp;$B146)/INDEX('01_INPUTS'!$E$17:$E$31,MATCH(R$23,'01_INPUTS'!$B$17:$B$31,0)))</f>
        <v>0</v>
      </c>
      <c r="S146">
        <f t="shared" si="14"/>
        <v>0</v>
      </c>
      <c r="T146">
        <f>SUM('01_INPUTS'!$E$17:$E$31)</f>
        <v>20</v>
      </c>
      <c r="U146" s="61">
        <f t="shared" si="15"/>
        <v>0</v>
      </c>
      <c r="V146">
        <f t="shared" si="16"/>
        <v>0</v>
      </c>
      <c r="W146" t="str">
        <f t="shared" si="17"/>
        <v>VERDE</v>
      </c>
      <c r="AA146" s="51" t="str">
        <f>'Sites Master'!$B$4</f>
        <v>Site 03</v>
      </c>
      <c r="AB146" s="51" t="str">
        <f>'Phase-Resource Allocation'!$B$83</f>
        <v>Functional Review</v>
      </c>
      <c r="AC146" s="51" t="str">
        <f>'Phase-Resource Allocation'!$C$83</f>
        <v>Functional Lead</v>
      </c>
      <c r="AD146" s="60">
        <f>'Phase-Resource Allocation'!$D$83</f>
        <v>1</v>
      </c>
      <c r="AE146" s="51">
        <f>IFERROR(INDEX('02_SCHEDULE'!$K$5:$K$124,MATCH(AA146&amp;"|"&amp;AB146,'02_SCHEDULE'!$M$5:$M$124,0)),0)</f>
        <v>6</v>
      </c>
      <c r="AF146" s="51">
        <f>IFERROR(INDEX('02_SCHEDULE'!$L$5:$L$124,MATCH(AA146&amp;"|"&amp;AB146,'02_SCHEDULE'!$M$5:$M$124,0)),0)</f>
        <v>6</v>
      </c>
      <c r="AG146" s="51">
        <f t="shared" si="18"/>
        <v>1</v>
      </c>
    </row>
    <row r="147" spans="2:33" x14ac:dyDescent="0.3">
      <c r="B147">
        <f>124</f>
        <v>124</v>
      </c>
      <c r="C147" s="55">
        <f>'01_INPUTS'!$C$7+(124-1)*7</f>
        <v>47112</v>
      </c>
      <c r="D147" s="61">
        <f>IF(INDEX('01_INPUTS'!$E$17:$E$31,MATCH(D$23,'01_INPUTS'!$B$17:$B$31,0))=0,IF(SUMIFS($AD$3:$AD$870,$AC$3:$AC$870,D$23,$AE$3:$AE$870,"&lt;="&amp;$B147,$AF$3:$AF$870,"&gt;="&amp;$B147)=0,0,9.99),SUMIFS($AD$3:$AD$870,$AC$3:$AC$870,D$23,$AE$3:$AE$870,"&lt;="&amp;$B147,$AF$3:$AF$870,"&gt;="&amp;$B147)/INDEX('01_INPUTS'!$E$17:$E$31,MATCH(D$23,'01_INPUTS'!$B$17:$B$31,0)))</f>
        <v>0</v>
      </c>
      <c r="E147" s="61">
        <f>IF(INDEX('01_INPUTS'!$E$17:$E$31,MATCH(E$23,'01_INPUTS'!$B$17:$B$31,0))=0,IF(SUMIFS($AD$3:$AD$870,$AC$3:$AC$870,E$23,$AE$3:$AE$870,"&lt;="&amp;$B147,$AF$3:$AF$870,"&gt;="&amp;$B147)=0,0,9.99),SUMIFS($AD$3:$AD$870,$AC$3:$AC$870,E$23,$AE$3:$AE$870,"&lt;="&amp;$B147,$AF$3:$AF$870,"&gt;="&amp;$B147)/INDEX('01_INPUTS'!$E$17:$E$31,MATCH(E$23,'01_INPUTS'!$B$17:$B$31,0)))</f>
        <v>0</v>
      </c>
      <c r="F147" s="61">
        <f>IF(INDEX('01_INPUTS'!$E$17:$E$31,MATCH(F$23,'01_INPUTS'!$B$17:$B$31,0))=0,IF(SUMIFS($AD$3:$AD$870,$AC$3:$AC$870,F$23,$AE$3:$AE$870,"&lt;="&amp;$B147,$AF$3:$AF$870,"&gt;="&amp;$B147)=0,0,9.99),SUMIFS($AD$3:$AD$870,$AC$3:$AC$870,F$23,$AE$3:$AE$870,"&lt;="&amp;$B147,$AF$3:$AF$870,"&gt;="&amp;$B147)/INDEX('01_INPUTS'!$E$17:$E$31,MATCH(F$23,'01_INPUTS'!$B$17:$B$31,0)))</f>
        <v>0</v>
      </c>
      <c r="G147" s="61">
        <f>IF(INDEX('01_INPUTS'!$E$17:$E$31,MATCH(G$23,'01_INPUTS'!$B$17:$B$31,0))=0,IF(SUMIFS($AD$3:$AD$870,$AC$3:$AC$870,G$23,$AE$3:$AE$870,"&lt;="&amp;$B147,$AF$3:$AF$870,"&gt;="&amp;$B147)=0,0,9.99),SUMIFS($AD$3:$AD$870,$AC$3:$AC$870,G$23,$AE$3:$AE$870,"&lt;="&amp;$B147,$AF$3:$AF$870,"&gt;="&amp;$B147)/INDEX('01_INPUTS'!$E$17:$E$31,MATCH(G$23,'01_INPUTS'!$B$17:$B$31,0)))</f>
        <v>0</v>
      </c>
      <c r="H147" s="61">
        <f>IF(INDEX('01_INPUTS'!$E$17:$E$31,MATCH(H$23,'01_INPUTS'!$B$17:$B$31,0))=0,IF(SUMIFS($AD$3:$AD$870,$AC$3:$AC$870,H$23,$AE$3:$AE$870,"&lt;="&amp;$B147,$AF$3:$AF$870,"&gt;="&amp;$B147)=0,0,9.99),SUMIFS($AD$3:$AD$870,$AC$3:$AC$870,H$23,$AE$3:$AE$870,"&lt;="&amp;$B147,$AF$3:$AF$870,"&gt;="&amp;$B147)/INDEX('01_INPUTS'!$E$17:$E$31,MATCH(H$23,'01_INPUTS'!$B$17:$B$31,0)))</f>
        <v>0</v>
      </c>
      <c r="I147" s="61">
        <f>IF(INDEX('01_INPUTS'!$E$17:$E$31,MATCH(I$23,'01_INPUTS'!$B$17:$B$31,0))=0,IF(SUMIFS($AD$3:$AD$870,$AC$3:$AC$870,I$23,$AE$3:$AE$870,"&lt;="&amp;$B147,$AF$3:$AF$870,"&gt;="&amp;$B147)=0,0,9.99),SUMIFS($AD$3:$AD$870,$AC$3:$AC$870,I$23,$AE$3:$AE$870,"&lt;="&amp;$B147,$AF$3:$AF$870,"&gt;="&amp;$B147)/INDEX('01_INPUTS'!$E$17:$E$31,MATCH(I$23,'01_INPUTS'!$B$17:$B$31,0)))</f>
        <v>0</v>
      </c>
      <c r="J147" s="61">
        <f>IF(INDEX('01_INPUTS'!$E$17:$E$31,MATCH(J$23,'01_INPUTS'!$B$17:$B$31,0))=0,IF(SUMIFS($AD$3:$AD$870,$AC$3:$AC$870,J$23,$AE$3:$AE$870,"&lt;="&amp;$B147,$AF$3:$AF$870,"&gt;="&amp;$B147)=0,0,9.99),SUMIFS($AD$3:$AD$870,$AC$3:$AC$870,J$23,$AE$3:$AE$870,"&lt;="&amp;$B147,$AF$3:$AF$870,"&gt;="&amp;$B147)/INDEX('01_INPUTS'!$E$17:$E$31,MATCH(J$23,'01_INPUTS'!$B$17:$B$31,0)))</f>
        <v>0</v>
      </c>
      <c r="K147" s="61">
        <f>IF(INDEX('01_INPUTS'!$E$17:$E$31,MATCH(K$23,'01_INPUTS'!$B$17:$B$31,0))=0,IF(SUMIFS($AD$3:$AD$870,$AC$3:$AC$870,K$23,$AE$3:$AE$870,"&lt;="&amp;$B147,$AF$3:$AF$870,"&gt;="&amp;$B147)=0,0,9.99),SUMIFS($AD$3:$AD$870,$AC$3:$AC$870,K$23,$AE$3:$AE$870,"&lt;="&amp;$B147,$AF$3:$AF$870,"&gt;="&amp;$B147)/INDEX('01_INPUTS'!$E$17:$E$31,MATCH(K$23,'01_INPUTS'!$B$17:$B$31,0)))</f>
        <v>0</v>
      </c>
      <c r="L147" s="61">
        <f>IF(INDEX('01_INPUTS'!$E$17:$E$31,MATCH(L$23,'01_INPUTS'!$B$17:$B$31,0))=0,IF(SUMIFS($AD$3:$AD$870,$AC$3:$AC$870,L$23,$AE$3:$AE$870,"&lt;="&amp;$B147,$AF$3:$AF$870,"&gt;="&amp;$B147)=0,0,9.99),SUMIFS($AD$3:$AD$870,$AC$3:$AC$870,L$23,$AE$3:$AE$870,"&lt;="&amp;$B147,$AF$3:$AF$870,"&gt;="&amp;$B147)/INDEX('01_INPUTS'!$E$17:$E$31,MATCH(L$23,'01_INPUTS'!$B$17:$B$31,0)))</f>
        <v>0</v>
      </c>
      <c r="M147" s="61">
        <f>IF(INDEX('01_INPUTS'!$E$17:$E$31,MATCH(M$23,'01_INPUTS'!$B$17:$B$31,0))=0,IF(SUMIFS($AD$3:$AD$870,$AC$3:$AC$870,M$23,$AE$3:$AE$870,"&lt;="&amp;$B147,$AF$3:$AF$870,"&gt;="&amp;$B147)=0,0,9.99),SUMIFS($AD$3:$AD$870,$AC$3:$AC$870,M$23,$AE$3:$AE$870,"&lt;="&amp;$B147,$AF$3:$AF$870,"&gt;="&amp;$B147)/INDEX('01_INPUTS'!$E$17:$E$31,MATCH(M$23,'01_INPUTS'!$B$17:$B$31,0)))</f>
        <v>0</v>
      </c>
      <c r="N147" s="61">
        <f>IF(INDEX('01_INPUTS'!$E$17:$E$31,MATCH(N$23,'01_INPUTS'!$B$17:$B$31,0))=0,IF(SUMIFS($AD$3:$AD$870,$AC$3:$AC$870,N$23,$AE$3:$AE$870,"&lt;="&amp;$B147,$AF$3:$AF$870,"&gt;="&amp;$B147)=0,0,9.99),SUMIFS($AD$3:$AD$870,$AC$3:$AC$870,N$23,$AE$3:$AE$870,"&lt;="&amp;$B147,$AF$3:$AF$870,"&gt;="&amp;$B147)/INDEX('01_INPUTS'!$E$17:$E$31,MATCH(N$23,'01_INPUTS'!$B$17:$B$31,0)))</f>
        <v>0</v>
      </c>
      <c r="O147" s="61">
        <f>IF(INDEX('01_INPUTS'!$E$17:$E$31,MATCH(O$23,'01_INPUTS'!$B$17:$B$31,0))=0,IF(SUMIFS($AD$3:$AD$870,$AC$3:$AC$870,O$23,$AE$3:$AE$870,"&lt;="&amp;$B147,$AF$3:$AF$870,"&gt;="&amp;$B147)=0,0,9.99),SUMIFS($AD$3:$AD$870,$AC$3:$AC$870,O$23,$AE$3:$AE$870,"&lt;="&amp;$B147,$AF$3:$AF$870,"&gt;="&amp;$B147)/INDEX('01_INPUTS'!$E$17:$E$31,MATCH(O$23,'01_INPUTS'!$B$17:$B$31,0)))</f>
        <v>0</v>
      </c>
      <c r="P147" s="61">
        <f>IF(INDEX('01_INPUTS'!$E$17:$E$31,MATCH(P$23,'01_INPUTS'!$B$17:$B$31,0))=0,IF(SUMIFS($AD$3:$AD$870,$AC$3:$AC$870,P$23,$AE$3:$AE$870,"&lt;="&amp;$B147,$AF$3:$AF$870,"&gt;="&amp;$B147)=0,0,9.99),SUMIFS($AD$3:$AD$870,$AC$3:$AC$870,P$23,$AE$3:$AE$870,"&lt;="&amp;$B147,$AF$3:$AF$870,"&gt;="&amp;$B147)/INDEX('01_INPUTS'!$E$17:$E$31,MATCH(P$23,'01_INPUTS'!$B$17:$B$31,0)))</f>
        <v>0</v>
      </c>
      <c r="Q147" s="61">
        <f>IF(INDEX('01_INPUTS'!$E$17:$E$31,MATCH(Q$23,'01_INPUTS'!$B$17:$B$31,0))=0,IF(SUMIFS($AD$3:$AD$870,$AC$3:$AC$870,Q$23,$AE$3:$AE$870,"&lt;="&amp;$B147,$AF$3:$AF$870,"&gt;="&amp;$B147)=0,0,9.99),SUMIFS($AD$3:$AD$870,$AC$3:$AC$870,Q$23,$AE$3:$AE$870,"&lt;="&amp;$B147,$AF$3:$AF$870,"&gt;="&amp;$B147)/INDEX('01_INPUTS'!$E$17:$E$31,MATCH(Q$23,'01_INPUTS'!$B$17:$B$31,0)))</f>
        <v>0</v>
      </c>
      <c r="R147" s="61">
        <f>IF(INDEX('01_INPUTS'!$E$17:$E$31,MATCH(R$23,'01_INPUTS'!$B$17:$B$31,0))=0,IF(SUMIFS($AD$3:$AD$870,$AC$3:$AC$870,R$23,$AE$3:$AE$870,"&lt;="&amp;$B147,$AF$3:$AF$870,"&gt;="&amp;$B147)=0,0,9.99),SUMIFS($AD$3:$AD$870,$AC$3:$AC$870,R$23,$AE$3:$AE$870,"&lt;="&amp;$B147,$AF$3:$AF$870,"&gt;="&amp;$B147)/INDEX('01_INPUTS'!$E$17:$E$31,MATCH(R$23,'01_INPUTS'!$B$17:$B$31,0)))</f>
        <v>0</v>
      </c>
      <c r="S147">
        <f t="shared" si="14"/>
        <v>0</v>
      </c>
      <c r="T147">
        <f>SUM('01_INPUTS'!$E$17:$E$31)</f>
        <v>20</v>
      </c>
      <c r="U147" s="61">
        <f t="shared" si="15"/>
        <v>0</v>
      </c>
      <c r="V147">
        <f t="shared" si="16"/>
        <v>0</v>
      </c>
      <c r="W147" t="str">
        <f t="shared" si="17"/>
        <v>VERDE</v>
      </c>
      <c r="AA147" s="51" t="str">
        <f>'Sites Master'!$B$4</f>
        <v>Site 03</v>
      </c>
      <c r="AB147" s="51" t="str">
        <f>'Phase-Resource Allocation'!$B$84</f>
        <v>Functional Review</v>
      </c>
      <c r="AC147" s="51" t="str">
        <f>'Phase-Resource Allocation'!$C$84</f>
        <v>Trainers</v>
      </c>
      <c r="AD147" s="60">
        <f>'Phase-Resource Allocation'!$D$84</f>
        <v>1</v>
      </c>
      <c r="AE147" s="51">
        <f>IFERROR(INDEX('02_SCHEDULE'!$K$5:$K$124,MATCH(AA147&amp;"|"&amp;AB147,'02_SCHEDULE'!$M$5:$M$124,0)),0)</f>
        <v>6</v>
      </c>
      <c r="AF147" s="51">
        <f>IFERROR(INDEX('02_SCHEDULE'!$L$5:$L$124,MATCH(AA147&amp;"|"&amp;AB147,'02_SCHEDULE'!$M$5:$M$124,0)),0)</f>
        <v>6</v>
      </c>
      <c r="AG147" s="51">
        <f t="shared" si="18"/>
        <v>1</v>
      </c>
    </row>
    <row r="148" spans="2:33" x14ac:dyDescent="0.3">
      <c r="B148">
        <f>125</f>
        <v>125</v>
      </c>
      <c r="C148" s="55">
        <f>'01_INPUTS'!$C$7+(125-1)*7</f>
        <v>47119</v>
      </c>
      <c r="D148" s="61">
        <f>IF(INDEX('01_INPUTS'!$E$17:$E$31,MATCH(D$23,'01_INPUTS'!$B$17:$B$31,0))=0,IF(SUMIFS($AD$3:$AD$870,$AC$3:$AC$870,D$23,$AE$3:$AE$870,"&lt;="&amp;$B148,$AF$3:$AF$870,"&gt;="&amp;$B148)=0,0,9.99),SUMIFS($AD$3:$AD$870,$AC$3:$AC$870,D$23,$AE$3:$AE$870,"&lt;="&amp;$B148,$AF$3:$AF$870,"&gt;="&amp;$B148)/INDEX('01_INPUTS'!$E$17:$E$31,MATCH(D$23,'01_INPUTS'!$B$17:$B$31,0)))</f>
        <v>0</v>
      </c>
      <c r="E148" s="61">
        <f>IF(INDEX('01_INPUTS'!$E$17:$E$31,MATCH(E$23,'01_INPUTS'!$B$17:$B$31,0))=0,IF(SUMIFS($AD$3:$AD$870,$AC$3:$AC$870,E$23,$AE$3:$AE$870,"&lt;="&amp;$B148,$AF$3:$AF$870,"&gt;="&amp;$B148)=0,0,9.99),SUMIFS($AD$3:$AD$870,$AC$3:$AC$870,E$23,$AE$3:$AE$870,"&lt;="&amp;$B148,$AF$3:$AF$870,"&gt;="&amp;$B148)/INDEX('01_INPUTS'!$E$17:$E$31,MATCH(E$23,'01_INPUTS'!$B$17:$B$31,0)))</f>
        <v>0</v>
      </c>
      <c r="F148" s="61">
        <f>IF(INDEX('01_INPUTS'!$E$17:$E$31,MATCH(F$23,'01_INPUTS'!$B$17:$B$31,0))=0,IF(SUMIFS($AD$3:$AD$870,$AC$3:$AC$870,F$23,$AE$3:$AE$870,"&lt;="&amp;$B148,$AF$3:$AF$870,"&gt;="&amp;$B148)=0,0,9.99),SUMIFS($AD$3:$AD$870,$AC$3:$AC$870,F$23,$AE$3:$AE$870,"&lt;="&amp;$B148,$AF$3:$AF$870,"&gt;="&amp;$B148)/INDEX('01_INPUTS'!$E$17:$E$31,MATCH(F$23,'01_INPUTS'!$B$17:$B$31,0)))</f>
        <v>0</v>
      </c>
      <c r="G148" s="61">
        <f>IF(INDEX('01_INPUTS'!$E$17:$E$31,MATCH(G$23,'01_INPUTS'!$B$17:$B$31,0))=0,IF(SUMIFS($AD$3:$AD$870,$AC$3:$AC$870,G$23,$AE$3:$AE$870,"&lt;="&amp;$B148,$AF$3:$AF$870,"&gt;="&amp;$B148)=0,0,9.99),SUMIFS($AD$3:$AD$870,$AC$3:$AC$870,G$23,$AE$3:$AE$870,"&lt;="&amp;$B148,$AF$3:$AF$870,"&gt;="&amp;$B148)/INDEX('01_INPUTS'!$E$17:$E$31,MATCH(G$23,'01_INPUTS'!$B$17:$B$31,0)))</f>
        <v>0</v>
      </c>
      <c r="H148" s="61">
        <f>IF(INDEX('01_INPUTS'!$E$17:$E$31,MATCH(H$23,'01_INPUTS'!$B$17:$B$31,0))=0,IF(SUMIFS($AD$3:$AD$870,$AC$3:$AC$870,H$23,$AE$3:$AE$870,"&lt;="&amp;$B148,$AF$3:$AF$870,"&gt;="&amp;$B148)=0,0,9.99),SUMIFS($AD$3:$AD$870,$AC$3:$AC$870,H$23,$AE$3:$AE$870,"&lt;="&amp;$B148,$AF$3:$AF$870,"&gt;="&amp;$B148)/INDEX('01_INPUTS'!$E$17:$E$31,MATCH(H$23,'01_INPUTS'!$B$17:$B$31,0)))</f>
        <v>0</v>
      </c>
      <c r="I148" s="61">
        <f>IF(INDEX('01_INPUTS'!$E$17:$E$31,MATCH(I$23,'01_INPUTS'!$B$17:$B$31,0))=0,IF(SUMIFS($AD$3:$AD$870,$AC$3:$AC$870,I$23,$AE$3:$AE$870,"&lt;="&amp;$B148,$AF$3:$AF$870,"&gt;="&amp;$B148)=0,0,9.99),SUMIFS($AD$3:$AD$870,$AC$3:$AC$870,I$23,$AE$3:$AE$870,"&lt;="&amp;$B148,$AF$3:$AF$870,"&gt;="&amp;$B148)/INDEX('01_INPUTS'!$E$17:$E$31,MATCH(I$23,'01_INPUTS'!$B$17:$B$31,0)))</f>
        <v>0</v>
      </c>
      <c r="J148" s="61">
        <f>IF(INDEX('01_INPUTS'!$E$17:$E$31,MATCH(J$23,'01_INPUTS'!$B$17:$B$31,0))=0,IF(SUMIFS($AD$3:$AD$870,$AC$3:$AC$870,J$23,$AE$3:$AE$870,"&lt;="&amp;$B148,$AF$3:$AF$870,"&gt;="&amp;$B148)=0,0,9.99),SUMIFS($AD$3:$AD$870,$AC$3:$AC$870,J$23,$AE$3:$AE$870,"&lt;="&amp;$B148,$AF$3:$AF$870,"&gt;="&amp;$B148)/INDEX('01_INPUTS'!$E$17:$E$31,MATCH(J$23,'01_INPUTS'!$B$17:$B$31,0)))</f>
        <v>0</v>
      </c>
      <c r="K148" s="61">
        <f>IF(INDEX('01_INPUTS'!$E$17:$E$31,MATCH(K$23,'01_INPUTS'!$B$17:$B$31,0))=0,IF(SUMIFS($AD$3:$AD$870,$AC$3:$AC$870,K$23,$AE$3:$AE$870,"&lt;="&amp;$B148,$AF$3:$AF$870,"&gt;="&amp;$B148)=0,0,9.99),SUMIFS($AD$3:$AD$870,$AC$3:$AC$870,K$23,$AE$3:$AE$870,"&lt;="&amp;$B148,$AF$3:$AF$870,"&gt;="&amp;$B148)/INDEX('01_INPUTS'!$E$17:$E$31,MATCH(K$23,'01_INPUTS'!$B$17:$B$31,0)))</f>
        <v>0</v>
      </c>
      <c r="L148" s="61">
        <f>IF(INDEX('01_INPUTS'!$E$17:$E$31,MATCH(L$23,'01_INPUTS'!$B$17:$B$31,0))=0,IF(SUMIFS($AD$3:$AD$870,$AC$3:$AC$870,L$23,$AE$3:$AE$870,"&lt;="&amp;$B148,$AF$3:$AF$870,"&gt;="&amp;$B148)=0,0,9.99),SUMIFS($AD$3:$AD$870,$AC$3:$AC$870,L$23,$AE$3:$AE$870,"&lt;="&amp;$B148,$AF$3:$AF$870,"&gt;="&amp;$B148)/INDEX('01_INPUTS'!$E$17:$E$31,MATCH(L$23,'01_INPUTS'!$B$17:$B$31,0)))</f>
        <v>0</v>
      </c>
      <c r="M148" s="61">
        <f>IF(INDEX('01_INPUTS'!$E$17:$E$31,MATCH(M$23,'01_INPUTS'!$B$17:$B$31,0))=0,IF(SUMIFS($AD$3:$AD$870,$AC$3:$AC$870,M$23,$AE$3:$AE$870,"&lt;="&amp;$B148,$AF$3:$AF$870,"&gt;="&amp;$B148)=0,0,9.99),SUMIFS($AD$3:$AD$870,$AC$3:$AC$870,M$23,$AE$3:$AE$870,"&lt;="&amp;$B148,$AF$3:$AF$870,"&gt;="&amp;$B148)/INDEX('01_INPUTS'!$E$17:$E$31,MATCH(M$23,'01_INPUTS'!$B$17:$B$31,0)))</f>
        <v>0</v>
      </c>
      <c r="N148" s="61">
        <f>IF(INDEX('01_INPUTS'!$E$17:$E$31,MATCH(N$23,'01_INPUTS'!$B$17:$B$31,0))=0,IF(SUMIFS($AD$3:$AD$870,$AC$3:$AC$870,N$23,$AE$3:$AE$870,"&lt;="&amp;$B148,$AF$3:$AF$870,"&gt;="&amp;$B148)=0,0,9.99),SUMIFS($AD$3:$AD$870,$AC$3:$AC$870,N$23,$AE$3:$AE$870,"&lt;="&amp;$B148,$AF$3:$AF$870,"&gt;="&amp;$B148)/INDEX('01_INPUTS'!$E$17:$E$31,MATCH(N$23,'01_INPUTS'!$B$17:$B$31,0)))</f>
        <v>0</v>
      </c>
      <c r="O148" s="61">
        <f>IF(INDEX('01_INPUTS'!$E$17:$E$31,MATCH(O$23,'01_INPUTS'!$B$17:$B$31,0))=0,IF(SUMIFS($AD$3:$AD$870,$AC$3:$AC$870,O$23,$AE$3:$AE$870,"&lt;="&amp;$B148,$AF$3:$AF$870,"&gt;="&amp;$B148)=0,0,9.99),SUMIFS($AD$3:$AD$870,$AC$3:$AC$870,O$23,$AE$3:$AE$870,"&lt;="&amp;$B148,$AF$3:$AF$870,"&gt;="&amp;$B148)/INDEX('01_INPUTS'!$E$17:$E$31,MATCH(O$23,'01_INPUTS'!$B$17:$B$31,0)))</f>
        <v>0</v>
      </c>
      <c r="P148" s="61">
        <f>IF(INDEX('01_INPUTS'!$E$17:$E$31,MATCH(P$23,'01_INPUTS'!$B$17:$B$31,0))=0,IF(SUMIFS($AD$3:$AD$870,$AC$3:$AC$870,P$23,$AE$3:$AE$870,"&lt;="&amp;$B148,$AF$3:$AF$870,"&gt;="&amp;$B148)=0,0,9.99),SUMIFS($AD$3:$AD$870,$AC$3:$AC$870,P$23,$AE$3:$AE$870,"&lt;="&amp;$B148,$AF$3:$AF$870,"&gt;="&amp;$B148)/INDEX('01_INPUTS'!$E$17:$E$31,MATCH(P$23,'01_INPUTS'!$B$17:$B$31,0)))</f>
        <v>0</v>
      </c>
      <c r="Q148" s="61">
        <f>IF(INDEX('01_INPUTS'!$E$17:$E$31,MATCH(Q$23,'01_INPUTS'!$B$17:$B$31,0))=0,IF(SUMIFS($AD$3:$AD$870,$AC$3:$AC$870,Q$23,$AE$3:$AE$870,"&lt;="&amp;$B148,$AF$3:$AF$870,"&gt;="&amp;$B148)=0,0,9.99),SUMIFS($AD$3:$AD$870,$AC$3:$AC$870,Q$23,$AE$3:$AE$870,"&lt;="&amp;$B148,$AF$3:$AF$870,"&gt;="&amp;$B148)/INDEX('01_INPUTS'!$E$17:$E$31,MATCH(Q$23,'01_INPUTS'!$B$17:$B$31,0)))</f>
        <v>0</v>
      </c>
      <c r="R148" s="61">
        <f>IF(INDEX('01_INPUTS'!$E$17:$E$31,MATCH(R$23,'01_INPUTS'!$B$17:$B$31,0))=0,IF(SUMIFS($AD$3:$AD$870,$AC$3:$AC$870,R$23,$AE$3:$AE$870,"&lt;="&amp;$B148,$AF$3:$AF$870,"&gt;="&amp;$B148)=0,0,9.99),SUMIFS($AD$3:$AD$870,$AC$3:$AC$870,R$23,$AE$3:$AE$870,"&lt;="&amp;$B148,$AF$3:$AF$870,"&gt;="&amp;$B148)/INDEX('01_INPUTS'!$E$17:$E$31,MATCH(R$23,'01_INPUTS'!$B$17:$B$31,0)))</f>
        <v>0</v>
      </c>
      <c r="S148">
        <f t="shared" si="14"/>
        <v>0</v>
      </c>
      <c r="T148">
        <f>SUM('01_INPUTS'!$E$17:$E$31)</f>
        <v>20</v>
      </c>
      <c r="U148" s="61">
        <f t="shared" si="15"/>
        <v>0</v>
      </c>
      <c r="V148">
        <f t="shared" si="16"/>
        <v>0</v>
      </c>
      <c r="W148" t="str">
        <f t="shared" si="17"/>
        <v>VERDE</v>
      </c>
      <c r="AA148" s="51" t="str">
        <f>'Sites Master'!$B$4</f>
        <v>Site 03</v>
      </c>
      <c r="AB148" s="51" t="str">
        <f>'Phase-Resource Allocation'!$B$85</f>
        <v>UAT</v>
      </c>
      <c r="AC148" s="51" t="str">
        <f>'Phase-Resource Allocation'!$C$85</f>
        <v>Solution Architect</v>
      </c>
      <c r="AD148" s="60">
        <f>'Phase-Resource Allocation'!$D$85</f>
        <v>0.5</v>
      </c>
      <c r="AE148" s="51">
        <f>IFERROR(INDEX('02_SCHEDULE'!$K$5:$K$124,MATCH(AA148&amp;"|"&amp;AB148,'02_SCHEDULE'!$M$5:$M$124,0)),0)</f>
        <v>7</v>
      </c>
      <c r="AF148" s="51">
        <f>IFERROR(INDEX('02_SCHEDULE'!$L$5:$L$124,MATCH(AA148&amp;"|"&amp;AB148,'02_SCHEDULE'!$M$5:$M$124,0)),0)</f>
        <v>8</v>
      </c>
      <c r="AG148" s="51">
        <f t="shared" si="18"/>
        <v>1</v>
      </c>
    </row>
    <row r="149" spans="2:33" x14ac:dyDescent="0.3">
      <c r="B149">
        <f>126</f>
        <v>126</v>
      </c>
      <c r="C149" s="55">
        <f>'01_INPUTS'!$C$7+(126-1)*7</f>
        <v>47126</v>
      </c>
      <c r="D149" s="61">
        <f>IF(INDEX('01_INPUTS'!$E$17:$E$31,MATCH(D$23,'01_INPUTS'!$B$17:$B$31,0))=0,IF(SUMIFS($AD$3:$AD$870,$AC$3:$AC$870,D$23,$AE$3:$AE$870,"&lt;="&amp;$B149,$AF$3:$AF$870,"&gt;="&amp;$B149)=0,0,9.99),SUMIFS($AD$3:$AD$870,$AC$3:$AC$870,D$23,$AE$3:$AE$870,"&lt;="&amp;$B149,$AF$3:$AF$870,"&gt;="&amp;$B149)/INDEX('01_INPUTS'!$E$17:$E$31,MATCH(D$23,'01_INPUTS'!$B$17:$B$31,0)))</f>
        <v>0</v>
      </c>
      <c r="E149" s="61">
        <f>IF(INDEX('01_INPUTS'!$E$17:$E$31,MATCH(E$23,'01_INPUTS'!$B$17:$B$31,0))=0,IF(SUMIFS($AD$3:$AD$870,$AC$3:$AC$870,E$23,$AE$3:$AE$870,"&lt;="&amp;$B149,$AF$3:$AF$870,"&gt;="&amp;$B149)=0,0,9.99),SUMIFS($AD$3:$AD$870,$AC$3:$AC$870,E$23,$AE$3:$AE$870,"&lt;="&amp;$B149,$AF$3:$AF$870,"&gt;="&amp;$B149)/INDEX('01_INPUTS'!$E$17:$E$31,MATCH(E$23,'01_INPUTS'!$B$17:$B$31,0)))</f>
        <v>0</v>
      </c>
      <c r="F149" s="61">
        <f>IF(INDEX('01_INPUTS'!$E$17:$E$31,MATCH(F$23,'01_INPUTS'!$B$17:$B$31,0))=0,IF(SUMIFS($AD$3:$AD$870,$AC$3:$AC$870,F$23,$AE$3:$AE$870,"&lt;="&amp;$B149,$AF$3:$AF$870,"&gt;="&amp;$B149)=0,0,9.99),SUMIFS($AD$3:$AD$870,$AC$3:$AC$870,F$23,$AE$3:$AE$870,"&lt;="&amp;$B149,$AF$3:$AF$870,"&gt;="&amp;$B149)/INDEX('01_INPUTS'!$E$17:$E$31,MATCH(F$23,'01_INPUTS'!$B$17:$B$31,0)))</f>
        <v>0</v>
      </c>
      <c r="G149" s="61">
        <f>IF(INDEX('01_INPUTS'!$E$17:$E$31,MATCH(G$23,'01_INPUTS'!$B$17:$B$31,0))=0,IF(SUMIFS($AD$3:$AD$870,$AC$3:$AC$870,G$23,$AE$3:$AE$870,"&lt;="&amp;$B149,$AF$3:$AF$870,"&gt;="&amp;$B149)=0,0,9.99),SUMIFS($AD$3:$AD$870,$AC$3:$AC$870,G$23,$AE$3:$AE$870,"&lt;="&amp;$B149,$AF$3:$AF$870,"&gt;="&amp;$B149)/INDEX('01_INPUTS'!$E$17:$E$31,MATCH(G$23,'01_INPUTS'!$B$17:$B$31,0)))</f>
        <v>0</v>
      </c>
      <c r="H149" s="61">
        <f>IF(INDEX('01_INPUTS'!$E$17:$E$31,MATCH(H$23,'01_INPUTS'!$B$17:$B$31,0))=0,IF(SUMIFS($AD$3:$AD$870,$AC$3:$AC$870,H$23,$AE$3:$AE$870,"&lt;="&amp;$B149,$AF$3:$AF$870,"&gt;="&amp;$B149)=0,0,9.99),SUMIFS($AD$3:$AD$870,$AC$3:$AC$870,H$23,$AE$3:$AE$870,"&lt;="&amp;$B149,$AF$3:$AF$870,"&gt;="&amp;$B149)/INDEX('01_INPUTS'!$E$17:$E$31,MATCH(H$23,'01_INPUTS'!$B$17:$B$31,0)))</f>
        <v>0</v>
      </c>
      <c r="I149" s="61">
        <f>IF(INDEX('01_INPUTS'!$E$17:$E$31,MATCH(I$23,'01_INPUTS'!$B$17:$B$31,0))=0,IF(SUMIFS($AD$3:$AD$870,$AC$3:$AC$870,I$23,$AE$3:$AE$870,"&lt;="&amp;$B149,$AF$3:$AF$870,"&gt;="&amp;$B149)=0,0,9.99),SUMIFS($AD$3:$AD$870,$AC$3:$AC$870,I$23,$AE$3:$AE$870,"&lt;="&amp;$B149,$AF$3:$AF$870,"&gt;="&amp;$B149)/INDEX('01_INPUTS'!$E$17:$E$31,MATCH(I$23,'01_INPUTS'!$B$17:$B$31,0)))</f>
        <v>0</v>
      </c>
      <c r="J149" s="61">
        <f>IF(INDEX('01_INPUTS'!$E$17:$E$31,MATCH(J$23,'01_INPUTS'!$B$17:$B$31,0))=0,IF(SUMIFS($AD$3:$AD$870,$AC$3:$AC$870,J$23,$AE$3:$AE$870,"&lt;="&amp;$B149,$AF$3:$AF$870,"&gt;="&amp;$B149)=0,0,9.99),SUMIFS($AD$3:$AD$870,$AC$3:$AC$870,J$23,$AE$3:$AE$870,"&lt;="&amp;$B149,$AF$3:$AF$870,"&gt;="&amp;$B149)/INDEX('01_INPUTS'!$E$17:$E$31,MATCH(J$23,'01_INPUTS'!$B$17:$B$31,0)))</f>
        <v>0</v>
      </c>
      <c r="K149" s="61">
        <f>IF(INDEX('01_INPUTS'!$E$17:$E$31,MATCH(K$23,'01_INPUTS'!$B$17:$B$31,0))=0,IF(SUMIFS($AD$3:$AD$870,$AC$3:$AC$870,K$23,$AE$3:$AE$870,"&lt;="&amp;$B149,$AF$3:$AF$870,"&gt;="&amp;$B149)=0,0,9.99),SUMIFS($AD$3:$AD$870,$AC$3:$AC$870,K$23,$AE$3:$AE$870,"&lt;="&amp;$B149,$AF$3:$AF$870,"&gt;="&amp;$B149)/INDEX('01_INPUTS'!$E$17:$E$31,MATCH(K$23,'01_INPUTS'!$B$17:$B$31,0)))</f>
        <v>0</v>
      </c>
      <c r="L149" s="61">
        <f>IF(INDEX('01_INPUTS'!$E$17:$E$31,MATCH(L$23,'01_INPUTS'!$B$17:$B$31,0))=0,IF(SUMIFS($AD$3:$AD$870,$AC$3:$AC$870,L$23,$AE$3:$AE$870,"&lt;="&amp;$B149,$AF$3:$AF$870,"&gt;="&amp;$B149)=0,0,9.99),SUMIFS($AD$3:$AD$870,$AC$3:$AC$870,L$23,$AE$3:$AE$870,"&lt;="&amp;$B149,$AF$3:$AF$870,"&gt;="&amp;$B149)/INDEX('01_INPUTS'!$E$17:$E$31,MATCH(L$23,'01_INPUTS'!$B$17:$B$31,0)))</f>
        <v>0</v>
      </c>
      <c r="M149" s="61">
        <f>IF(INDEX('01_INPUTS'!$E$17:$E$31,MATCH(M$23,'01_INPUTS'!$B$17:$B$31,0))=0,IF(SUMIFS($AD$3:$AD$870,$AC$3:$AC$870,M$23,$AE$3:$AE$870,"&lt;="&amp;$B149,$AF$3:$AF$870,"&gt;="&amp;$B149)=0,0,9.99),SUMIFS($AD$3:$AD$870,$AC$3:$AC$870,M$23,$AE$3:$AE$870,"&lt;="&amp;$B149,$AF$3:$AF$870,"&gt;="&amp;$B149)/INDEX('01_INPUTS'!$E$17:$E$31,MATCH(M$23,'01_INPUTS'!$B$17:$B$31,0)))</f>
        <v>0</v>
      </c>
      <c r="N149" s="61">
        <f>IF(INDEX('01_INPUTS'!$E$17:$E$31,MATCH(N$23,'01_INPUTS'!$B$17:$B$31,0))=0,IF(SUMIFS($AD$3:$AD$870,$AC$3:$AC$870,N$23,$AE$3:$AE$870,"&lt;="&amp;$B149,$AF$3:$AF$870,"&gt;="&amp;$B149)=0,0,9.99),SUMIFS($AD$3:$AD$870,$AC$3:$AC$870,N$23,$AE$3:$AE$870,"&lt;="&amp;$B149,$AF$3:$AF$870,"&gt;="&amp;$B149)/INDEX('01_INPUTS'!$E$17:$E$31,MATCH(N$23,'01_INPUTS'!$B$17:$B$31,0)))</f>
        <v>0</v>
      </c>
      <c r="O149" s="61">
        <f>IF(INDEX('01_INPUTS'!$E$17:$E$31,MATCH(O$23,'01_INPUTS'!$B$17:$B$31,0))=0,IF(SUMIFS($AD$3:$AD$870,$AC$3:$AC$870,O$23,$AE$3:$AE$870,"&lt;="&amp;$B149,$AF$3:$AF$870,"&gt;="&amp;$B149)=0,0,9.99),SUMIFS($AD$3:$AD$870,$AC$3:$AC$870,O$23,$AE$3:$AE$870,"&lt;="&amp;$B149,$AF$3:$AF$870,"&gt;="&amp;$B149)/INDEX('01_INPUTS'!$E$17:$E$31,MATCH(O$23,'01_INPUTS'!$B$17:$B$31,0)))</f>
        <v>0</v>
      </c>
      <c r="P149" s="61">
        <f>IF(INDEX('01_INPUTS'!$E$17:$E$31,MATCH(P$23,'01_INPUTS'!$B$17:$B$31,0))=0,IF(SUMIFS($AD$3:$AD$870,$AC$3:$AC$870,P$23,$AE$3:$AE$870,"&lt;="&amp;$B149,$AF$3:$AF$870,"&gt;="&amp;$B149)=0,0,9.99),SUMIFS($AD$3:$AD$870,$AC$3:$AC$870,P$23,$AE$3:$AE$870,"&lt;="&amp;$B149,$AF$3:$AF$870,"&gt;="&amp;$B149)/INDEX('01_INPUTS'!$E$17:$E$31,MATCH(P$23,'01_INPUTS'!$B$17:$B$31,0)))</f>
        <v>0</v>
      </c>
      <c r="Q149" s="61">
        <f>IF(INDEX('01_INPUTS'!$E$17:$E$31,MATCH(Q$23,'01_INPUTS'!$B$17:$B$31,0))=0,IF(SUMIFS($AD$3:$AD$870,$AC$3:$AC$870,Q$23,$AE$3:$AE$870,"&lt;="&amp;$B149,$AF$3:$AF$870,"&gt;="&amp;$B149)=0,0,9.99),SUMIFS($AD$3:$AD$870,$AC$3:$AC$870,Q$23,$AE$3:$AE$870,"&lt;="&amp;$B149,$AF$3:$AF$870,"&gt;="&amp;$B149)/INDEX('01_INPUTS'!$E$17:$E$31,MATCH(Q$23,'01_INPUTS'!$B$17:$B$31,0)))</f>
        <v>0</v>
      </c>
      <c r="R149" s="61">
        <f>IF(INDEX('01_INPUTS'!$E$17:$E$31,MATCH(R$23,'01_INPUTS'!$B$17:$B$31,0))=0,IF(SUMIFS($AD$3:$AD$870,$AC$3:$AC$870,R$23,$AE$3:$AE$870,"&lt;="&amp;$B149,$AF$3:$AF$870,"&gt;="&amp;$B149)=0,0,9.99),SUMIFS($AD$3:$AD$870,$AC$3:$AC$870,R$23,$AE$3:$AE$870,"&lt;="&amp;$B149,$AF$3:$AF$870,"&gt;="&amp;$B149)/INDEX('01_INPUTS'!$E$17:$E$31,MATCH(R$23,'01_INPUTS'!$B$17:$B$31,0)))</f>
        <v>0</v>
      </c>
      <c r="S149">
        <f t="shared" si="14"/>
        <v>0</v>
      </c>
      <c r="T149">
        <f>SUM('01_INPUTS'!$E$17:$E$31)</f>
        <v>20</v>
      </c>
      <c r="U149" s="61">
        <f t="shared" si="15"/>
        <v>0</v>
      </c>
      <c r="V149">
        <f t="shared" si="16"/>
        <v>0</v>
      </c>
      <c r="W149" t="str">
        <f t="shared" si="17"/>
        <v>VERDE</v>
      </c>
      <c r="AA149" s="51" t="str">
        <f>'Sites Master'!$B$4</f>
        <v>Site 03</v>
      </c>
      <c r="AB149" s="51" t="str">
        <f>'Phase-Resource Allocation'!$B$86</f>
        <v>UAT</v>
      </c>
      <c r="AC149" s="51" t="str">
        <f>'Phase-Resource Allocation'!$C$86</f>
        <v>Change Management Lead</v>
      </c>
      <c r="AD149" s="60">
        <f>'Phase-Resource Allocation'!$D$86</f>
        <v>1</v>
      </c>
      <c r="AE149" s="51">
        <f>IFERROR(INDEX('02_SCHEDULE'!$K$5:$K$124,MATCH(AA149&amp;"|"&amp;AB149,'02_SCHEDULE'!$M$5:$M$124,0)),0)</f>
        <v>7</v>
      </c>
      <c r="AF149" s="51">
        <f>IFERROR(INDEX('02_SCHEDULE'!$L$5:$L$124,MATCH(AA149&amp;"|"&amp;AB149,'02_SCHEDULE'!$M$5:$M$124,0)),0)</f>
        <v>8</v>
      </c>
      <c r="AG149" s="51">
        <f t="shared" si="18"/>
        <v>2</v>
      </c>
    </row>
    <row r="150" spans="2:33" x14ac:dyDescent="0.3">
      <c r="B150">
        <f>127</f>
        <v>127</v>
      </c>
      <c r="C150" s="55">
        <f>'01_INPUTS'!$C$7+(127-1)*7</f>
        <v>47133</v>
      </c>
      <c r="D150" s="61">
        <f>IF(INDEX('01_INPUTS'!$E$17:$E$31,MATCH(D$23,'01_INPUTS'!$B$17:$B$31,0))=0,IF(SUMIFS($AD$3:$AD$870,$AC$3:$AC$870,D$23,$AE$3:$AE$870,"&lt;="&amp;$B150,$AF$3:$AF$870,"&gt;="&amp;$B150)=0,0,9.99),SUMIFS($AD$3:$AD$870,$AC$3:$AC$870,D$23,$AE$3:$AE$870,"&lt;="&amp;$B150,$AF$3:$AF$870,"&gt;="&amp;$B150)/INDEX('01_INPUTS'!$E$17:$E$31,MATCH(D$23,'01_INPUTS'!$B$17:$B$31,0)))</f>
        <v>0</v>
      </c>
      <c r="E150" s="61">
        <f>IF(INDEX('01_INPUTS'!$E$17:$E$31,MATCH(E$23,'01_INPUTS'!$B$17:$B$31,0))=0,IF(SUMIFS($AD$3:$AD$870,$AC$3:$AC$870,E$23,$AE$3:$AE$870,"&lt;="&amp;$B150,$AF$3:$AF$870,"&gt;="&amp;$B150)=0,0,9.99),SUMIFS($AD$3:$AD$870,$AC$3:$AC$870,E$23,$AE$3:$AE$870,"&lt;="&amp;$B150,$AF$3:$AF$870,"&gt;="&amp;$B150)/INDEX('01_INPUTS'!$E$17:$E$31,MATCH(E$23,'01_INPUTS'!$B$17:$B$31,0)))</f>
        <v>0</v>
      </c>
      <c r="F150" s="61">
        <f>IF(INDEX('01_INPUTS'!$E$17:$E$31,MATCH(F$23,'01_INPUTS'!$B$17:$B$31,0))=0,IF(SUMIFS($AD$3:$AD$870,$AC$3:$AC$870,F$23,$AE$3:$AE$870,"&lt;="&amp;$B150,$AF$3:$AF$870,"&gt;="&amp;$B150)=0,0,9.99),SUMIFS($AD$3:$AD$870,$AC$3:$AC$870,F$23,$AE$3:$AE$870,"&lt;="&amp;$B150,$AF$3:$AF$870,"&gt;="&amp;$B150)/INDEX('01_INPUTS'!$E$17:$E$31,MATCH(F$23,'01_INPUTS'!$B$17:$B$31,0)))</f>
        <v>0</v>
      </c>
      <c r="G150" s="61">
        <f>IF(INDEX('01_INPUTS'!$E$17:$E$31,MATCH(G$23,'01_INPUTS'!$B$17:$B$31,0))=0,IF(SUMIFS($AD$3:$AD$870,$AC$3:$AC$870,G$23,$AE$3:$AE$870,"&lt;="&amp;$B150,$AF$3:$AF$870,"&gt;="&amp;$B150)=0,0,9.99),SUMIFS($AD$3:$AD$870,$AC$3:$AC$870,G$23,$AE$3:$AE$870,"&lt;="&amp;$B150,$AF$3:$AF$870,"&gt;="&amp;$B150)/INDEX('01_INPUTS'!$E$17:$E$31,MATCH(G$23,'01_INPUTS'!$B$17:$B$31,0)))</f>
        <v>0</v>
      </c>
      <c r="H150" s="61">
        <f>IF(INDEX('01_INPUTS'!$E$17:$E$31,MATCH(H$23,'01_INPUTS'!$B$17:$B$31,0))=0,IF(SUMIFS($AD$3:$AD$870,$AC$3:$AC$870,H$23,$AE$3:$AE$870,"&lt;="&amp;$B150,$AF$3:$AF$870,"&gt;="&amp;$B150)=0,0,9.99),SUMIFS($AD$3:$AD$870,$AC$3:$AC$870,H$23,$AE$3:$AE$870,"&lt;="&amp;$B150,$AF$3:$AF$870,"&gt;="&amp;$B150)/INDEX('01_INPUTS'!$E$17:$E$31,MATCH(H$23,'01_INPUTS'!$B$17:$B$31,0)))</f>
        <v>0</v>
      </c>
      <c r="I150" s="61">
        <f>IF(INDEX('01_INPUTS'!$E$17:$E$31,MATCH(I$23,'01_INPUTS'!$B$17:$B$31,0))=0,IF(SUMIFS($AD$3:$AD$870,$AC$3:$AC$870,I$23,$AE$3:$AE$870,"&lt;="&amp;$B150,$AF$3:$AF$870,"&gt;="&amp;$B150)=0,0,9.99),SUMIFS($AD$3:$AD$870,$AC$3:$AC$870,I$23,$AE$3:$AE$870,"&lt;="&amp;$B150,$AF$3:$AF$870,"&gt;="&amp;$B150)/INDEX('01_INPUTS'!$E$17:$E$31,MATCH(I$23,'01_INPUTS'!$B$17:$B$31,0)))</f>
        <v>0</v>
      </c>
      <c r="J150" s="61">
        <f>IF(INDEX('01_INPUTS'!$E$17:$E$31,MATCH(J$23,'01_INPUTS'!$B$17:$B$31,0))=0,IF(SUMIFS($AD$3:$AD$870,$AC$3:$AC$870,J$23,$AE$3:$AE$870,"&lt;="&amp;$B150,$AF$3:$AF$870,"&gt;="&amp;$B150)=0,0,9.99),SUMIFS($AD$3:$AD$870,$AC$3:$AC$870,J$23,$AE$3:$AE$870,"&lt;="&amp;$B150,$AF$3:$AF$870,"&gt;="&amp;$B150)/INDEX('01_INPUTS'!$E$17:$E$31,MATCH(J$23,'01_INPUTS'!$B$17:$B$31,0)))</f>
        <v>0</v>
      </c>
      <c r="K150" s="61">
        <f>IF(INDEX('01_INPUTS'!$E$17:$E$31,MATCH(K$23,'01_INPUTS'!$B$17:$B$31,0))=0,IF(SUMIFS($AD$3:$AD$870,$AC$3:$AC$870,K$23,$AE$3:$AE$870,"&lt;="&amp;$B150,$AF$3:$AF$870,"&gt;="&amp;$B150)=0,0,9.99),SUMIFS($AD$3:$AD$870,$AC$3:$AC$870,K$23,$AE$3:$AE$870,"&lt;="&amp;$B150,$AF$3:$AF$870,"&gt;="&amp;$B150)/INDEX('01_INPUTS'!$E$17:$E$31,MATCH(K$23,'01_INPUTS'!$B$17:$B$31,0)))</f>
        <v>0</v>
      </c>
      <c r="L150" s="61">
        <f>IF(INDEX('01_INPUTS'!$E$17:$E$31,MATCH(L$23,'01_INPUTS'!$B$17:$B$31,0))=0,IF(SUMIFS($AD$3:$AD$870,$AC$3:$AC$870,L$23,$AE$3:$AE$870,"&lt;="&amp;$B150,$AF$3:$AF$870,"&gt;="&amp;$B150)=0,0,9.99),SUMIFS($AD$3:$AD$870,$AC$3:$AC$870,L$23,$AE$3:$AE$870,"&lt;="&amp;$B150,$AF$3:$AF$870,"&gt;="&amp;$B150)/INDEX('01_INPUTS'!$E$17:$E$31,MATCH(L$23,'01_INPUTS'!$B$17:$B$31,0)))</f>
        <v>0</v>
      </c>
      <c r="M150" s="61">
        <f>IF(INDEX('01_INPUTS'!$E$17:$E$31,MATCH(M$23,'01_INPUTS'!$B$17:$B$31,0))=0,IF(SUMIFS($AD$3:$AD$870,$AC$3:$AC$870,M$23,$AE$3:$AE$870,"&lt;="&amp;$B150,$AF$3:$AF$870,"&gt;="&amp;$B150)=0,0,9.99),SUMIFS($AD$3:$AD$870,$AC$3:$AC$870,M$23,$AE$3:$AE$870,"&lt;="&amp;$B150,$AF$3:$AF$870,"&gt;="&amp;$B150)/INDEX('01_INPUTS'!$E$17:$E$31,MATCH(M$23,'01_INPUTS'!$B$17:$B$31,0)))</f>
        <v>0</v>
      </c>
      <c r="N150" s="61">
        <f>IF(INDEX('01_INPUTS'!$E$17:$E$31,MATCH(N$23,'01_INPUTS'!$B$17:$B$31,0))=0,IF(SUMIFS($AD$3:$AD$870,$AC$3:$AC$870,N$23,$AE$3:$AE$870,"&lt;="&amp;$B150,$AF$3:$AF$870,"&gt;="&amp;$B150)=0,0,9.99),SUMIFS($AD$3:$AD$870,$AC$3:$AC$870,N$23,$AE$3:$AE$870,"&lt;="&amp;$B150,$AF$3:$AF$870,"&gt;="&amp;$B150)/INDEX('01_INPUTS'!$E$17:$E$31,MATCH(N$23,'01_INPUTS'!$B$17:$B$31,0)))</f>
        <v>0</v>
      </c>
      <c r="O150" s="61">
        <f>IF(INDEX('01_INPUTS'!$E$17:$E$31,MATCH(O$23,'01_INPUTS'!$B$17:$B$31,0))=0,IF(SUMIFS($AD$3:$AD$870,$AC$3:$AC$870,O$23,$AE$3:$AE$870,"&lt;="&amp;$B150,$AF$3:$AF$870,"&gt;="&amp;$B150)=0,0,9.99),SUMIFS($AD$3:$AD$870,$AC$3:$AC$870,O$23,$AE$3:$AE$870,"&lt;="&amp;$B150,$AF$3:$AF$870,"&gt;="&amp;$B150)/INDEX('01_INPUTS'!$E$17:$E$31,MATCH(O$23,'01_INPUTS'!$B$17:$B$31,0)))</f>
        <v>0</v>
      </c>
      <c r="P150" s="61">
        <f>IF(INDEX('01_INPUTS'!$E$17:$E$31,MATCH(P$23,'01_INPUTS'!$B$17:$B$31,0))=0,IF(SUMIFS($AD$3:$AD$870,$AC$3:$AC$870,P$23,$AE$3:$AE$870,"&lt;="&amp;$B150,$AF$3:$AF$870,"&gt;="&amp;$B150)=0,0,9.99),SUMIFS($AD$3:$AD$870,$AC$3:$AC$870,P$23,$AE$3:$AE$870,"&lt;="&amp;$B150,$AF$3:$AF$870,"&gt;="&amp;$B150)/INDEX('01_INPUTS'!$E$17:$E$31,MATCH(P$23,'01_INPUTS'!$B$17:$B$31,0)))</f>
        <v>0</v>
      </c>
      <c r="Q150" s="61">
        <f>IF(INDEX('01_INPUTS'!$E$17:$E$31,MATCH(Q$23,'01_INPUTS'!$B$17:$B$31,0))=0,IF(SUMIFS($AD$3:$AD$870,$AC$3:$AC$870,Q$23,$AE$3:$AE$870,"&lt;="&amp;$B150,$AF$3:$AF$870,"&gt;="&amp;$B150)=0,0,9.99),SUMIFS($AD$3:$AD$870,$AC$3:$AC$870,Q$23,$AE$3:$AE$870,"&lt;="&amp;$B150,$AF$3:$AF$870,"&gt;="&amp;$B150)/INDEX('01_INPUTS'!$E$17:$E$31,MATCH(Q$23,'01_INPUTS'!$B$17:$B$31,0)))</f>
        <v>0</v>
      </c>
      <c r="R150" s="61">
        <f>IF(INDEX('01_INPUTS'!$E$17:$E$31,MATCH(R$23,'01_INPUTS'!$B$17:$B$31,0))=0,IF(SUMIFS($AD$3:$AD$870,$AC$3:$AC$870,R$23,$AE$3:$AE$870,"&lt;="&amp;$B150,$AF$3:$AF$870,"&gt;="&amp;$B150)=0,0,9.99),SUMIFS($AD$3:$AD$870,$AC$3:$AC$870,R$23,$AE$3:$AE$870,"&lt;="&amp;$B150,$AF$3:$AF$870,"&gt;="&amp;$B150)/INDEX('01_INPUTS'!$E$17:$E$31,MATCH(R$23,'01_INPUTS'!$B$17:$B$31,0)))</f>
        <v>0</v>
      </c>
      <c r="S150">
        <f t="shared" si="14"/>
        <v>0</v>
      </c>
      <c r="T150">
        <f>SUM('01_INPUTS'!$E$17:$E$31)</f>
        <v>20</v>
      </c>
      <c r="U150" s="61">
        <f t="shared" si="15"/>
        <v>0</v>
      </c>
      <c r="V150">
        <f t="shared" si="16"/>
        <v>0</v>
      </c>
      <c r="W150" t="str">
        <f t="shared" si="17"/>
        <v>VERDE</v>
      </c>
      <c r="AA150" s="51" t="str">
        <f>'Sites Master'!$B$4</f>
        <v>Site 03</v>
      </c>
      <c r="AB150" s="51" t="str">
        <f>'Phase-Resource Allocation'!$B$87</f>
        <v>UAT</v>
      </c>
      <c r="AC150" s="51" t="str">
        <f>'Phase-Resource Allocation'!$C$87</f>
        <v>SAP Integrations Lead</v>
      </c>
      <c r="AD150" s="60">
        <f>'Phase-Resource Allocation'!$D$87</f>
        <v>0.5</v>
      </c>
      <c r="AE150" s="51">
        <f>IFERROR(INDEX('02_SCHEDULE'!$K$5:$K$124,MATCH(AA150&amp;"|"&amp;AB150,'02_SCHEDULE'!$M$5:$M$124,0)),0)</f>
        <v>7</v>
      </c>
      <c r="AF150" s="51">
        <f>IFERROR(INDEX('02_SCHEDULE'!$L$5:$L$124,MATCH(AA150&amp;"|"&amp;AB150,'02_SCHEDULE'!$M$5:$M$124,0)),0)</f>
        <v>8</v>
      </c>
      <c r="AG150" s="51">
        <f t="shared" si="18"/>
        <v>1</v>
      </c>
    </row>
    <row r="151" spans="2:33" x14ac:dyDescent="0.3">
      <c r="B151">
        <f>128</f>
        <v>128</v>
      </c>
      <c r="C151" s="55">
        <f>'01_INPUTS'!$C$7+(128-1)*7</f>
        <v>47140</v>
      </c>
      <c r="D151" s="61">
        <f>IF(INDEX('01_INPUTS'!$E$17:$E$31,MATCH(D$23,'01_INPUTS'!$B$17:$B$31,0))=0,IF(SUMIFS($AD$3:$AD$870,$AC$3:$AC$870,D$23,$AE$3:$AE$870,"&lt;="&amp;$B151,$AF$3:$AF$870,"&gt;="&amp;$B151)=0,0,9.99),SUMIFS($AD$3:$AD$870,$AC$3:$AC$870,D$23,$AE$3:$AE$870,"&lt;="&amp;$B151,$AF$3:$AF$870,"&gt;="&amp;$B151)/INDEX('01_INPUTS'!$E$17:$E$31,MATCH(D$23,'01_INPUTS'!$B$17:$B$31,0)))</f>
        <v>0</v>
      </c>
      <c r="E151" s="61">
        <f>IF(INDEX('01_INPUTS'!$E$17:$E$31,MATCH(E$23,'01_INPUTS'!$B$17:$B$31,0))=0,IF(SUMIFS($AD$3:$AD$870,$AC$3:$AC$870,E$23,$AE$3:$AE$870,"&lt;="&amp;$B151,$AF$3:$AF$870,"&gt;="&amp;$B151)=0,0,9.99),SUMIFS($AD$3:$AD$870,$AC$3:$AC$870,E$23,$AE$3:$AE$870,"&lt;="&amp;$B151,$AF$3:$AF$870,"&gt;="&amp;$B151)/INDEX('01_INPUTS'!$E$17:$E$31,MATCH(E$23,'01_INPUTS'!$B$17:$B$31,0)))</f>
        <v>0</v>
      </c>
      <c r="F151" s="61">
        <f>IF(INDEX('01_INPUTS'!$E$17:$E$31,MATCH(F$23,'01_INPUTS'!$B$17:$B$31,0))=0,IF(SUMIFS($AD$3:$AD$870,$AC$3:$AC$870,F$23,$AE$3:$AE$870,"&lt;="&amp;$B151,$AF$3:$AF$870,"&gt;="&amp;$B151)=0,0,9.99),SUMIFS($AD$3:$AD$870,$AC$3:$AC$870,F$23,$AE$3:$AE$870,"&lt;="&amp;$B151,$AF$3:$AF$870,"&gt;="&amp;$B151)/INDEX('01_INPUTS'!$E$17:$E$31,MATCH(F$23,'01_INPUTS'!$B$17:$B$31,0)))</f>
        <v>0</v>
      </c>
      <c r="G151" s="61">
        <f>IF(INDEX('01_INPUTS'!$E$17:$E$31,MATCH(G$23,'01_INPUTS'!$B$17:$B$31,0))=0,IF(SUMIFS($AD$3:$AD$870,$AC$3:$AC$870,G$23,$AE$3:$AE$870,"&lt;="&amp;$B151,$AF$3:$AF$870,"&gt;="&amp;$B151)=0,0,9.99),SUMIFS($AD$3:$AD$870,$AC$3:$AC$870,G$23,$AE$3:$AE$870,"&lt;="&amp;$B151,$AF$3:$AF$870,"&gt;="&amp;$B151)/INDEX('01_INPUTS'!$E$17:$E$31,MATCH(G$23,'01_INPUTS'!$B$17:$B$31,0)))</f>
        <v>0</v>
      </c>
      <c r="H151" s="61">
        <f>IF(INDEX('01_INPUTS'!$E$17:$E$31,MATCH(H$23,'01_INPUTS'!$B$17:$B$31,0))=0,IF(SUMIFS($AD$3:$AD$870,$AC$3:$AC$870,H$23,$AE$3:$AE$870,"&lt;="&amp;$B151,$AF$3:$AF$870,"&gt;="&amp;$B151)=0,0,9.99),SUMIFS($AD$3:$AD$870,$AC$3:$AC$870,H$23,$AE$3:$AE$870,"&lt;="&amp;$B151,$AF$3:$AF$870,"&gt;="&amp;$B151)/INDEX('01_INPUTS'!$E$17:$E$31,MATCH(H$23,'01_INPUTS'!$B$17:$B$31,0)))</f>
        <v>0</v>
      </c>
      <c r="I151" s="61">
        <f>IF(INDEX('01_INPUTS'!$E$17:$E$31,MATCH(I$23,'01_INPUTS'!$B$17:$B$31,0))=0,IF(SUMIFS($AD$3:$AD$870,$AC$3:$AC$870,I$23,$AE$3:$AE$870,"&lt;="&amp;$B151,$AF$3:$AF$870,"&gt;="&amp;$B151)=0,0,9.99),SUMIFS($AD$3:$AD$870,$AC$3:$AC$870,I$23,$AE$3:$AE$870,"&lt;="&amp;$B151,$AF$3:$AF$870,"&gt;="&amp;$B151)/INDEX('01_INPUTS'!$E$17:$E$31,MATCH(I$23,'01_INPUTS'!$B$17:$B$31,0)))</f>
        <v>0</v>
      </c>
      <c r="J151" s="61">
        <f>IF(INDEX('01_INPUTS'!$E$17:$E$31,MATCH(J$23,'01_INPUTS'!$B$17:$B$31,0))=0,IF(SUMIFS($AD$3:$AD$870,$AC$3:$AC$870,J$23,$AE$3:$AE$870,"&lt;="&amp;$B151,$AF$3:$AF$870,"&gt;="&amp;$B151)=0,0,9.99),SUMIFS($AD$3:$AD$870,$AC$3:$AC$870,J$23,$AE$3:$AE$870,"&lt;="&amp;$B151,$AF$3:$AF$870,"&gt;="&amp;$B151)/INDEX('01_INPUTS'!$E$17:$E$31,MATCH(J$23,'01_INPUTS'!$B$17:$B$31,0)))</f>
        <v>0</v>
      </c>
      <c r="K151" s="61">
        <f>IF(INDEX('01_INPUTS'!$E$17:$E$31,MATCH(K$23,'01_INPUTS'!$B$17:$B$31,0))=0,IF(SUMIFS($AD$3:$AD$870,$AC$3:$AC$870,K$23,$AE$3:$AE$870,"&lt;="&amp;$B151,$AF$3:$AF$870,"&gt;="&amp;$B151)=0,0,9.99),SUMIFS($AD$3:$AD$870,$AC$3:$AC$870,K$23,$AE$3:$AE$870,"&lt;="&amp;$B151,$AF$3:$AF$870,"&gt;="&amp;$B151)/INDEX('01_INPUTS'!$E$17:$E$31,MATCH(K$23,'01_INPUTS'!$B$17:$B$31,0)))</f>
        <v>0</v>
      </c>
      <c r="L151" s="61">
        <f>IF(INDEX('01_INPUTS'!$E$17:$E$31,MATCH(L$23,'01_INPUTS'!$B$17:$B$31,0))=0,IF(SUMIFS($AD$3:$AD$870,$AC$3:$AC$870,L$23,$AE$3:$AE$870,"&lt;="&amp;$B151,$AF$3:$AF$870,"&gt;="&amp;$B151)=0,0,9.99),SUMIFS($AD$3:$AD$870,$AC$3:$AC$870,L$23,$AE$3:$AE$870,"&lt;="&amp;$B151,$AF$3:$AF$870,"&gt;="&amp;$B151)/INDEX('01_INPUTS'!$E$17:$E$31,MATCH(L$23,'01_INPUTS'!$B$17:$B$31,0)))</f>
        <v>0</v>
      </c>
      <c r="M151" s="61">
        <f>IF(INDEX('01_INPUTS'!$E$17:$E$31,MATCH(M$23,'01_INPUTS'!$B$17:$B$31,0))=0,IF(SUMIFS($AD$3:$AD$870,$AC$3:$AC$870,M$23,$AE$3:$AE$870,"&lt;="&amp;$B151,$AF$3:$AF$870,"&gt;="&amp;$B151)=0,0,9.99),SUMIFS($AD$3:$AD$870,$AC$3:$AC$870,M$23,$AE$3:$AE$870,"&lt;="&amp;$B151,$AF$3:$AF$870,"&gt;="&amp;$B151)/INDEX('01_INPUTS'!$E$17:$E$31,MATCH(M$23,'01_INPUTS'!$B$17:$B$31,0)))</f>
        <v>0</v>
      </c>
      <c r="N151" s="61">
        <f>IF(INDEX('01_INPUTS'!$E$17:$E$31,MATCH(N$23,'01_INPUTS'!$B$17:$B$31,0))=0,IF(SUMIFS($AD$3:$AD$870,$AC$3:$AC$870,N$23,$AE$3:$AE$870,"&lt;="&amp;$B151,$AF$3:$AF$870,"&gt;="&amp;$B151)=0,0,9.99),SUMIFS($AD$3:$AD$870,$AC$3:$AC$870,N$23,$AE$3:$AE$870,"&lt;="&amp;$B151,$AF$3:$AF$870,"&gt;="&amp;$B151)/INDEX('01_INPUTS'!$E$17:$E$31,MATCH(N$23,'01_INPUTS'!$B$17:$B$31,0)))</f>
        <v>0</v>
      </c>
      <c r="O151" s="61">
        <f>IF(INDEX('01_INPUTS'!$E$17:$E$31,MATCH(O$23,'01_INPUTS'!$B$17:$B$31,0))=0,IF(SUMIFS($AD$3:$AD$870,$AC$3:$AC$870,O$23,$AE$3:$AE$870,"&lt;="&amp;$B151,$AF$3:$AF$870,"&gt;="&amp;$B151)=0,0,9.99),SUMIFS($AD$3:$AD$870,$AC$3:$AC$870,O$23,$AE$3:$AE$870,"&lt;="&amp;$B151,$AF$3:$AF$870,"&gt;="&amp;$B151)/INDEX('01_INPUTS'!$E$17:$E$31,MATCH(O$23,'01_INPUTS'!$B$17:$B$31,0)))</f>
        <v>0</v>
      </c>
      <c r="P151" s="61">
        <f>IF(INDEX('01_INPUTS'!$E$17:$E$31,MATCH(P$23,'01_INPUTS'!$B$17:$B$31,0))=0,IF(SUMIFS($AD$3:$AD$870,$AC$3:$AC$870,P$23,$AE$3:$AE$870,"&lt;="&amp;$B151,$AF$3:$AF$870,"&gt;="&amp;$B151)=0,0,9.99),SUMIFS($AD$3:$AD$870,$AC$3:$AC$870,P$23,$AE$3:$AE$870,"&lt;="&amp;$B151,$AF$3:$AF$870,"&gt;="&amp;$B151)/INDEX('01_INPUTS'!$E$17:$E$31,MATCH(P$23,'01_INPUTS'!$B$17:$B$31,0)))</f>
        <v>0</v>
      </c>
      <c r="Q151" s="61">
        <f>IF(INDEX('01_INPUTS'!$E$17:$E$31,MATCH(Q$23,'01_INPUTS'!$B$17:$B$31,0))=0,IF(SUMIFS($AD$3:$AD$870,$AC$3:$AC$870,Q$23,$AE$3:$AE$870,"&lt;="&amp;$B151,$AF$3:$AF$870,"&gt;="&amp;$B151)=0,0,9.99),SUMIFS($AD$3:$AD$870,$AC$3:$AC$870,Q$23,$AE$3:$AE$870,"&lt;="&amp;$B151,$AF$3:$AF$870,"&gt;="&amp;$B151)/INDEX('01_INPUTS'!$E$17:$E$31,MATCH(Q$23,'01_INPUTS'!$B$17:$B$31,0)))</f>
        <v>0</v>
      </c>
      <c r="R151" s="61">
        <f>IF(INDEX('01_INPUTS'!$E$17:$E$31,MATCH(R$23,'01_INPUTS'!$B$17:$B$31,0))=0,IF(SUMIFS($AD$3:$AD$870,$AC$3:$AC$870,R$23,$AE$3:$AE$870,"&lt;="&amp;$B151,$AF$3:$AF$870,"&gt;="&amp;$B151)=0,0,9.99),SUMIFS($AD$3:$AD$870,$AC$3:$AC$870,R$23,$AE$3:$AE$870,"&lt;="&amp;$B151,$AF$3:$AF$870,"&gt;="&amp;$B151)/INDEX('01_INPUTS'!$E$17:$E$31,MATCH(R$23,'01_INPUTS'!$B$17:$B$31,0)))</f>
        <v>0</v>
      </c>
      <c r="S151">
        <f t="shared" si="14"/>
        <v>0</v>
      </c>
      <c r="T151">
        <f>SUM('01_INPUTS'!$E$17:$E$31)</f>
        <v>20</v>
      </c>
      <c r="U151" s="61">
        <f t="shared" si="15"/>
        <v>0</v>
      </c>
      <c r="V151">
        <f t="shared" si="16"/>
        <v>0</v>
      </c>
      <c r="W151" t="str">
        <f t="shared" si="17"/>
        <v>VERDE</v>
      </c>
      <c r="AA151" s="51" t="str">
        <f>'Sites Master'!$B$4</f>
        <v>Site 03</v>
      </c>
      <c r="AB151" s="51" t="str">
        <f>'Phase-Resource Allocation'!$B$88</f>
        <v>UAT</v>
      </c>
      <c r="AC151" s="51" t="str">
        <f>'Phase-Resource Allocation'!$C$88</f>
        <v>SAP Integrations Specialist</v>
      </c>
      <c r="AD151" s="60">
        <f>'Phase-Resource Allocation'!$D$88</f>
        <v>0.5</v>
      </c>
      <c r="AE151" s="51">
        <f>IFERROR(INDEX('02_SCHEDULE'!$K$5:$K$124,MATCH(AA151&amp;"|"&amp;AB151,'02_SCHEDULE'!$M$5:$M$124,0)),0)</f>
        <v>7</v>
      </c>
      <c r="AF151" s="51">
        <f>IFERROR(INDEX('02_SCHEDULE'!$L$5:$L$124,MATCH(AA151&amp;"|"&amp;AB151,'02_SCHEDULE'!$M$5:$M$124,0)),0)</f>
        <v>8</v>
      </c>
      <c r="AG151" s="51">
        <f t="shared" si="18"/>
        <v>1</v>
      </c>
    </row>
    <row r="152" spans="2:33" x14ac:dyDescent="0.3">
      <c r="B152">
        <f>129</f>
        <v>129</v>
      </c>
      <c r="C152" s="55">
        <f>'01_INPUTS'!$C$7+(129-1)*7</f>
        <v>47147</v>
      </c>
      <c r="D152" s="61">
        <f>IF(INDEX('01_INPUTS'!$E$17:$E$31,MATCH(D$23,'01_INPUTS'!$B$17:$B$31,0))=0,IF(SUMIFS($AD$3:$AD$870,$AC$3:$AC$870,D$23,$AE$3:$AE$870,"&lt;="&amp;$B152,$AF$3:$AF$870,"&gt;="&amp;$B152)=0,0,9.99),SUMIFS($AD$3:$AD$870,$AC$3:$AC$870,D$23,$AE$3:$AE$870,"&lt;="&amp;$B152,$AF$3:$AF$870,"&gt;="&amp;$B152)/INDEX('01_INPUTS'!$E$17:$E$31,MATCH(D$23,'01_INPUTS'!$B$17:$B$31,0)))</f>
        <v>0</v>
      </c>
      <c r="E152" s="61">
        <f>IF(INDEX('01_INPUTS'!$E$17:$E$31,MATCH(E$23,'01_INPUTS'!$B$17:$B$31,0))=0,IF(SUMIFS($AD$3:$AD$870,$AC$3:$AC$870,E$23,$AE$3:$AE$870,"&lt;="&amp;$B152,$AF$3:$AF$870,"&gt;="&amp;$B152)=0,0,9.99),SUMIFS($AD$3:$AD$870,$AC$3:$AC$870,E$23,$AE$3:$AE$870,"&lt;="&amp;$B152,$AF$3:$AF$870,"&gt;="&amp;$B152)/INDEX('01_INPUTS'!$E$17:$E$31,MATCH(E$23,'01_INPUTS'!$B$17:$B$31,0)))</f>
        <v>0</v>
      </c>
      <c r="F152" s="61">
        <f>IF(INDEX('01_INPUTS'!$E$17:$E$31,MATCH(F$23,'01_INPUTS'!$B$17:$B$31,0))=0,IF(SUMIFS($AD$3:$AD$870,$AC$3:$AC$870,F$23,$AE$3:$AE$870,"&lt;="&amp;$B152,$AF$3:$AF$870,"&gt;="&amp;$B152)=0,0,9.99),SUMIFS($AD$3:$AD$870,$AC$3:$AC$870,F$23,$AE$3:$AE$870,"&lt;="&amp;$B152,$AF$3:$AF$870,"&gt;="&amp;$B152)/INDEX('01_INPUTS'!$E$17:$E$31,MATCH(F$23,'01_INPUTS'!$B$17:$B$31,0)))</f>
        <v>0</v>
      </c>
      <c r="G152" s="61">
        <f>IF(INDEX('01_INPUTS'!$E$17:$E$31,MATCH(G$23,'01_INPUTS'!$B$17:$B$31,0))=0,IF(SUMIFS($AD$3:$AD$870,$AC$3:$AC$870,G$23,$AE$3:$AE$870,"&lt;="&amp;$B152,$AF$3:$AF$870,"&gt;="&amp;$B152)=0,0,9.99),SUMIFS($AD$3:$AD$870,$AC$3:$AC$870,G$23,$AE$3:$AE$870,"&lt;="&amp;$B152,$AF$3:$AF$870,"&gt;="&amp;$B152)/INDEX('01_INPUTS'!$E$17:$E$31,MATCH(G$23,'01_INPUTS'!$B$17:$B$31,0)))</f>
        <v>0</v>
      </c>
      <c r="H152" s="61">
        <f>IF(INDEX('01_INPUTS'!$E$17:$E$31,MATCH(H$23,'01_INPUTS'!$B$17:$B$31,0))=0,IF(SUMIFS($AD$3:$AD$870,$AC$3:$AC$870,H$23,$AE$3:$AE$870,"&lt;="&amp;$B152,$AF$3:$AF$870,"&gt;="&amp;$B152)=0,0,9.99),SUMIFS($AD$3:$AD$870,$AC$3:$AC$870,H$23,$AE$3:$AE$870,"&lt;="&amp;$B152,$AF$3:$AF$870,"&gt;="&amp;$B152)/INDEX('01_INPUTS'!$E$17:$E$31,MATCH(H$23,'01_INPUTS'!$B$17:$B$31,0)))</f>
        <v>0</v>
      </c>
      <c r="I152" s="61">
        <f>IF(INDEX('01_INPUTS'!$E$17:$E$31,MATCH(I$23,'01_INPUTS'!$B$17:$B$31,0))=0,IF(SUMIFS($AD$3:$AD$870,$AC$3:$AC$870,I$23,$AE$3:$AE$870,"&lt;="&amp;$B152,$AF$3:$AF$870,"&gt;="&amp;$B152)=0,0,9.99),SUMIFS($AD$3:$AD$870,$AC$3:$AC$870,I$23,$AE$3:$AE$870,"&lt;="&amp;$B152,$AF$3:$AF$870,"&gt;="&amp;$B152)/INDEX('01_INPUTS'!$E$17:$E$31,MATCH(I$23,'01_INPUTS'!$B$17:$B$31,0)))</f>
        <v>0</v>
      </c>
      <c r="J152" s="61">
        <f>IF(INDEX('01_INPUTS'!$E$17:$E$31,MATCH(J$23,'01_INPUTS'!$B$17:$B$31,0))=0,IF(SUMIFS($AD$3:$AD$870,$AC$3:$AC$870,J$23,$AE$3:$AE$870,"&lt;="&amp;$B152,$AF$3:$AF$870,"&gt;="&amp;$B152)=0,0,9.99),SUMIFS($AD$3:$AD$870,$AC$3:$AC$870,J$23,$AE$3:$AE$870,"&lt;="&amp;$B152,$AF$3:$AF$870,"&gt;="&amp;$B152)/INDEX('01_INPUTS'!$E$17:$E$31,MATCH(J$23,'01_INPUTS'!$B$17:$B$31,0)))</f>
        <v>0</v>
      </c>
      <c r="K152" s="61">
        <f>IF(INDEX('01_INPUTS'!$E$17:$E$31,MATCH(K$23,'01_INPUTS'!$B$17:$B$31,0))=0,IF(SUMIFS($AD$3:$AD$870,$AC$3:$AC$870,K$23,$AE$3:$AE$870,"&lt;="&amp;$B152,$AF$3:$AF$870,"&gt;="&amp;$B152)=0,0,9.99),SUMIFS($AD$3:$AD$870,$AC$3:$AC$870,K$23,$AE$3:$AE$870,"&lt;="&amp;$B152,$AF$3:$AF$870,"&gt;="&amp;$B152)/INDEX('01_INPUTS'!$E$17:$E$31,MATCH(K$23,'01_INPUTS'!$B$17:$B$31,0)))</f>
        <v>0</v>
      </c>
      <c r="L152" s="61">
        <f>IF(INDEX('01_INPUTS'!$E$17:$E$31,MATCH(L$23,'01_INPUTS'!$B$17:$B$31,0))=0,IF(SUMIFS($AD$3:$AD$870,$AC$3:$AC$870,L$23,$AE$3:$AE$870,"&lt;="&amp;$B152,$AF$3:$AF$870,"&gt;="&amp;$B152)=0,0,9.99),SUMIFS($AD$3:$AD$870,$AC$3:$AC$870,L$23,$AE$3:$AE$870,"&lt;="&amp;$B152,$AF$3:$AF$870,"&gt;="&amp;$B152)/INDEX('01_INPUTS'!$E$17:$E$31,MATCH(L$23,'01_INPUTS'!$B$17:$B$31,0)))</f>
        <v>0</v>
      </c>
      <c r="M152" s="61">
        <f>IF(INDEX('01_INPUTS'!$E$17:$E$31,MATCH(M$23,'01_INPUTS'!$B$17:$B$31,0))=0,IF(SUMIFS($AD$3:$AD$870,$AC$3:$AC$870,M$23,$AE$3:$AE$870,"&lt;="&amp;$B152,$AF$3:$AF$870,"&gt;="&amp;$B152)=0,0,9.99),SUMIFS($AD$3:$AD$870,$AC$3:$AC$870,M$23,$AE$3:$AE$870,"&lt;="&amp;$B152,$AF$3:$AF$870,"&gt;="&amp;$B152)/INDEX('01_INPUTS'!$E$17:$E$31,MATCH(M$23,'01_INPUTS'!$B$17:$B$31,0)))</f>
        <v>0</v>
      </c>
      <c r="N152" s="61">
        <f>IF(INDEX('01_INPUTS'!$E$17:$E$31,MATCH(N$23,'01_INPUTS'!$B$17:$B$31,0))=0,IF(SUMIFS($AD$3:$AD$870,$AC$3:$AC$870,N$23,$AE$3:$AE$870,"&lt;="&amp;$B152,$AF$3:$AF$870,"&gt;="&amp;$B152)=0,0,9.99),SUMIFS($AD$3:$AD$870,$AC$3:$AC$870,N$23,$AE$3:$AE$870,"&lt;="&amp;$B152,$AF$3:$AF$870,"&gt;="&amp;$B152)/INDEX('01_INPUTS'!$E$17:$E$31,MATCH(N$23,'01_INPUTS'!$B$17:$B$31,0)))</f>
        <v>0</v>
      </c>
      <c r="O152" s="61">
        <f>IF(INDEX('01_INPUTS'!$E$17:$E$31,MATCH(O$23,'01_INPUTS'!$B$17:$B$31,0))=0,IF(SUMIFS($AD$3:$AD$870,$AC$3:$AC$870,O$23,$AE$3:$AE$870,"&lt;="&amp;$B152,$AF$3:$AF$870,"&gt;="&amp;$B152)=0,0,9.99),SUMIFS($AD$3:$AD$870,$AC$3:$AC$870,O$23,$AE$3:$AE$870,"&lt;="&amp;$B152,$AF$3:$AF$870,"&gt;="&amp;$B152)/INDEX('01_INPUTS'!$E$17:$E$31,MATCH(O$23,'01_INPUTS'!$B$17:$B$31,0)))</f>
        <v>0</v>
      </c>
      <c r="P152" s="61">
        <f>IF(INDEX('01_INPUTS'!$E$17:$E$31,MATCH(P$23,'01_INPUTS'!$B$17:$B$31,0))=0,IF(SUMIFS($AD$3:$AD$870,$AC$3:$AC$870,P$23,$AE$3:$AE$870,"&lt;="&amp;$B152,$AF$3:$AF$870,"&gt;="&amp;$B152)=0,0,9.99),SUMIFS($AD$3:$AD$870,$AC$3:$AC$870,P$23,$AE$3:$AE$870,"&lt;="&amp;$B152,$AF$3:$AF$870,"&gt;="&amp;$B152)/INDEX('01_INPUTS'!$E$17:$E$31,MATCH(P$23,'01_INPUTS'!$B$17:$B$31,0)))</f>
        <v>0</v>
      </c>
      <c r="Q152" s="61">
        <f>IF(INDEX('01_INPUTS'!$E$17:$E$31,MATCH(Q$23,'01_INPUTS'!$B$17:$B$31,0))=0,IF(SUMIFS($AD$3:$AD$870,$AC$3:$AC$870,Q$23,$AE$3:$AE$870,"&lt;="&amp;$B152,$AF$3:$AF$870,"&gt;="&amp;$B152)=0,0,9.99),SUMIFS($AD$3:$AD$870,$AC$3:$AC$870,Q$23,$AE$3:$AE$870,"&lt;="&amp;$B152,$AF$3:$AF$870,"&gt;="&amp;$B152)/INDEX('01_INPUTS'!$E$17:$E$31,MATCH(Q$23,'01_INPUTS'!$B$17:$B$31,0)))</f>
        <v>0</v>
      </c>
      <c r="R152" s="61">
        <f>IF(INDEX('01_INPUTS'!$E$17:$E$31,MATCH(R$23,'01_INPUTS'!$B$17:$B$31,0))=0,IF(SUMIFS($AD$3:$AD$870,$AC$3:$AC$870,R$23,$AE$3:$AE$870,"&lt;="&amp;$B152,$AF$3:$AF$870,"&gt;="&amp;$B152)=0,0,9.99),SUMIFS($AD$3:$AD$870,$AC$3:$AC$870,R$23,$AE$3:$AE$870,"&lt;="&amp;$B152,$AF$3:$AF$870,"&gt;="&amp;$B152)/INDEX('01_INPUTS'!$E$17:$E$31,MATCH(R$23,'01_INPUTS'!$B$17:$B$31,0)))</f>
        <v>0</v>
      </c>
      <c r="S152">
        <f t="shared" ref="S152:S173" si="19">SUMIFS($AD$3:$AD$870,$AE$3:$AE$870,"&lt;="&amp;B152,$AF$3:$AF$870,"&gt;="&amp;B152)</f>
        <v>0</v>
      </c>
      <c r="T152">
        <f>SUM('01_INPUTS'!$E$17:$E$31)</f>
        <v>20</v>
      </c>
      <c r="U152" s="61">
        <f t="shared" ref="U152:U173" si="20">IFERROR(S152/T152,0)</f>
        <v>0</v>
      </c>
      <c r="V152">
        <f t="shared" ref="V152:V173" si="21">COUNTIF(D152:R152,"&gt;1")</f>
        <v>0</v>
      </c>
      <c r="W152" t="str">
        <f t="shared" ref="W152:W173" si="22">IF(MAX(D152:R152)&gt;1,"ROJO",IF(MAX(D152:R152)&gt;0.8,"AMARILLO","VERDE"))</f>
        <v>VERDE</v>
      </c>
      <c r="AA152" s="51" t="str">
        <f>'Sites Master'!$B$4</f>
        <v>Site 03</v>
      </c>
      <c r="AB152" s="51" t="str">
        <f>'Phase-Resource Allocation'!$B$89</f>
        <v>UAT</v>
      </c>
      <c r="AC152" s="51" t="str">
        <f>'Phase-Resource Allocation'!$C$89</f>
        <v>Azure Lead</v>
      </c>
      <c r="AD152" s="60">
        <f>'Phase-Resource Allocation'!$D$89</f>
        <v>0.5</v>
      </c>
      <c r="AE152" s="51">
        <f>IFERROR(INDEX('02_SCHEDULE'!$K$5:$K$124,MATCH(AA152&amp;"|"&amp;AB152,'02_SCHEDULE'!$M$5:$M$124,0)),0)</f>
        <v>7</v>
      </c>
      <c r="AF152" s="51">
        <f>IFERROR(INDEX('02_SCHEDULE'!$L$5:$L$124,MATCH(AA152&amp;"|"&amp;AB152,'02_SCHEDULE'!$M$5:$M$124,0)),0)</f>
        <v>8</v>
      </c>
      <c r="AG152" s="51">
        <f t="shared" si="18"/>
        <v>1</v>
      </c>
    </row>
    <row r="153" spans="2:33" x14ac:dyDescent="0.3">
      <c r="B153">
        <f>130</f>
        <v>130</v>
      </c>
      <c r="C153" s="55">
        <f>'01_INPUTS'!$C$7+(130-1)*7</f>
        <v>47154</v>
      </c>
      <c r="D153" s="61">
        <f>IF(INDEX('01_INPUTS'!$E$17:$E$31,MATCH(D$23,'01_INPUTS'!$B$17:$B$31,0))=0,IF(SUMIFS($AD$3:$AD$870,$AC$3:$AC$870,D$23,$AE$3:$AE$870,"&lt;="&amp;$B153,$AF$3:$AF$870,"&gt;="&amp;$B153)=0,0,9.99),SUMIFS($AD$3:$AD$870,$AC$3:$AC$870,D$23,$AE$3:$AE$870,"&lt;="&amp;$B153,$AF$3:$AF$870,"&gt;="&amp;$B153)/INDEX('01_INPUTS'!$E$17:$E$31,MATCH(D$23,'01_INPUTS'!$B$17:$B$31,0)))</f>
        <v>0</v>
      </c>
      <c r="E153" s="61">
        <f>IF(INDEX('01_INPUTS'!$E$17:$E$31,MATCH(E$23,'01_INPUTS'!$B$17:$B$31,0))=0,IF(SUMIFS($AD$3:$AD$870,$AC$3:$AC$870,E$23,$AE$3:$AE$870,"&lt;="&amp;$B153,$AF$3:$AF$870,"&gt;="&amp;$B153)=0,0,9.99),SUMIFS($AD$3:$AD$870,$AC$3:$AC$870,E$23,$AE$3:$AE$870,"&lt;="&amp;$B153,$AF$3:$AF$870,"&gt;="&amp;$B153)/INDEX('01_INPUTS'!$E$17:$E$31,MATCH(E$23,'01_INPUTS'!$B$17:$B$31,0)))</f>
        <v>0</v>
      </c>
      <c r="F153" s="61">
        <f>IF(INDEX('01_INPUTS'!$E$17:$E$31,MATCH(F$23,'01_INPUTS'!$B$17:$B$31,0))=0,IF(SUMIFS($AD$3:$AD$870,$AC$3:$AC$870,F$23,$AE$3:$AE$870,"&lt;="&amp;$B153,$AF$3:$AF$870,"&gt;="&amp;$B153)=0,0,9.99),SUMIFS($AD$3:$AD$870,$AC$3:$AC$870,F$23,$AE$3:$AE$870,"&lt;="&amp;$B153,$AF$3:$AF$870,"&gt;="&amp;$B153)/INDEX('01_INPUTS'!$E$17:$E$31,MATCH(F$23,'01_INPUTS'!$B$17:$B$31,0)))</f>
        <v>0</v>
      </c>
      <c r="G153" s="61">
        <f>IF(INDEX('01_INPUTS'!$E$17:$E$31,MATCH(G$23,'01_INPUTS'!$B$17:$B$31,0))=0,IF(SUMIFS($AD$3:$AD$870,$AC$3:$AC$870,G$23,$AE$3:$AE$870,"&lt;="&amp;$B153,$AF$3:$AF$870,"&gt;="&amp;$B153)=0,0,9.99),SUMIFS($AD$3:$AD$870,$AC$3:$AC$870,G$23,$AE$3:$AE$870,"&lt;="&amp;$B153,$AF$3:$AF$870,"&gt;="&amp;$B153)/INDEX('01_INPUTS'!$E$17:$E$31,MATCH(G$23,'01_INPUTS'!$B$17:$B$31,0)))</f>
        <v>0</v>
      </c>
      <c r="H153" s="61">
        <f>IF(INDEX('01_INPUTS'!$E$17:$E$31,MATCH(H$23,'01_INPUTS'!$B$17:$B$31,0))=0,IF(SUMIFS($AD$3:$AD$870,$AC$3:$AC$870,H$23,$AE$3:$AE$870,"&lt;="&amp;$B153,$AF$3:$AF$870,"&gt;="&amp;$B153)=0,0,9.99),SUMIFS($AD$3:$AD$870,$AC$3:$AC$870,H$23,$AE$3:$AE$870,"&lt;="&amp;$B153,$AF$3:$AF$870,"&gt;="&amp;$B153)/INDEX('01_INPUTS'!$E$17:$E$31,MATCH(H$23,'01_INPUTS'!$B$17:$B$31,0)))</f>
        <v>0</v>
      </c>
      <c r="I153" s="61">
        <f>IF(INDEX('01_INPUTS'!$E$17:$E$31,MATCH(I$23,'01_INPUTS'!$B$17:$B$31,0))=0,IF(SUMIFS($AD$3:$AD$870,$AC$3:$AC$870,I$23,$AE$3:$AE$870,"&lt;="&amp;$B153,$AF$3:$AF$870,"&gt;="&amp;$B153)=0,0,9.99),SUMIFS($AD$3:$AD$870,$AC$3:$AC$870,I$23,$AE$3:$AE$870,"&lt;="&amp;$B153,$AF$3:$AF$870,"&gt;="&amp;$B153)/INDEX('01_INPUTS'!$E$17:$E$31,MATCH(I$23,'01_INPUTS'!$B$17:$B$31,0)))</f>
        <v>0</v>
      </c>
      <c r="J153" s="61">
        <f>IF(INDEX('01_INPUTS'!$E$17:$E$31,MATCH(J$23,'01_INPUTS'!$B$17:$B$31,0))=0,IF(SUMIFS($AD$3:$AD$870,$AC$3:$AC$870,J$23,$AE$3:$AE$870,"&lt;="&amp;$B153,$AF$3:$AF$870,"&gt;="&amp;$B153)=0,0,9.99),SUMIFS($AD$3:$AD$870,$AC$3:$AC$870,J$23,$AE$3:$AE$870,"&lt;="&amp;$B153,$AF$3:$AF$870,"&gt;="&amp;$B153)/INDEX('01_INPUTS'!$E$17:$E$31,MATCH(J$23,'01_INPUTS'!$B$17:$B$31,0)))</f>
        <v>0</v>
      </c>
      <c r="K153" s="61">
        <f>IF(INDEX('01_INPUTS'!$E$17:$E$31,MATCH(K$23,'01_INPUTS'!$B$17:$B$31,0))=0,IF(SUMIFS($AD$3:$AD$870,$AC$3:$AC$870,K$23,$AE$3:$AE$870,"&lt;="&amp;$B153,$AF$3:$AF$870,"&gt;="&amp;$B153)=0,0,9.99),SUMIFS($AD$3:$AD$870,$AC$3:$AC$870,K$23,$AE$3:$AE$870,"&lt;="&amp;$B153,$AF$3:$AF$870,"&gt;="&amp;$B153)/INDEX('01_INPUTS'!$E$17:$E$31,MATCH(K$23,'01_INPUTS'!$B$17:$B$31,0)))</f>
        <v>0</v>
      </c>
      <c r="L153" s="61">
        <f>IF(INDEX('01_INPUTS'!$E$17:$E$31,MATCH(L$23,'01_INPUTS'!$B$17:$B$31,0))=0,IF(SUMIFS($AD$3:$AD$870,$AC$3:$AC$870,L$23,$AE$3:$AE$870,"&lt;="&amp;$B153,$AF$3:$AF$870,"&gt;="&amp;$B153)=0,0,9.99),SUMIFS($AD$3:$AD$870,$AC$3:$AC$870,L$23,$AE$3:$AE$870,"&lt;="&amp;$B153,$AF$3:$AF$870,"&gt;="&amp;$B153)/INDEX('01_INPUTS'!$E$17:$E$31,MATCH(L$23,'01_INPUTS'!$B$17:$B$31,0)))</f>
        <v>0</v>
      </c>
      <c r="M153" s="61">
        <f>IF(INDEX('01_INPUTS'!$E$17:$E$31,MATCH(M$23,'01_INPUTS'!$B$17:$B$31,0))=0,IF(SUMIFS($AD$3:$AD$870,$AC$3:$AC$870,M$23,$AE$3:$AE$870,"&lt;="&amp;$B153,$AF$3:$AF$870,"&gt;="&amp;$B153)=0,0,9.99),SUMIFS($AD$3:$AD$870,$AC$3:$AC$870,M$23,$AE$3:$AE$870,"&lt;="&amp;$B153,$AF$3:$AF$870,"&gt;="&amp;$B153)/INDEX('01_INPUTS'!$E$17:$E$31,MATCH(M$23,'01_INPUTS'!$B$17:$B$31,0)))</f>
        <v>0</v>
      </c>
      <c r="N153" s="61">
        <f>IF(INDEX('01_INPUTS'!$E$17:$E$31,MATCH(N$23,'01_INPUTS'!$B$17:$B$31,0))=0,IF(SUMIFS($AD$3:$AD$870,$AC$3:$AC$870,N$23,$AE$3:$AE$870,"&lt;="&amp;$B153,$AF$3:$AF$870,"&gt;="&amp;$B153)=0,0,9.99),SUMIFS($AD$3:$AD$870,$AC$3:$AC$870,N$23,$AE$3:$AE$870,"&lt;="&amp;$B153,$AF$3:$AF$870,"&gt;="&amp;$B153)/INDEX('01_INPUTS'!$E$17:$E$31,MATCH(N$23,'01_INPUTS'!$B$17:$B$31,0)))</f>
        <v>0</v>
      </c>
      <c r="O153" s="61">
        <f>IF(INDEX('01_INPUTS'!$E$17:$E$31,MATCH(O$23,'01_INPUTS'!$B$17:$B$31,0))=0,IF(SUMIFS($AD$3:$AD$870,$AC$3:$AC$870,O$23,$AE$3:$AE$870,"&lt;="&amp;$B153,$AF$3:$AF$870,"&gt;="&amp;$B153)=0,0,9.99),SUMIFS($AD$3:$AD$870,$AC$3:$AC$870,O$23,$AE$3:$AE$870,"&lt;="&amp;$B153,$AF$3:$AF$870,"&gt;="&amp;$B153)/INDEX('01_INPUTS'!$E$17:$E$31,MATCH(O$23,'01_INPUTS'!$B$17:$B$31,0)))</f>
        <v>0</v>
      </c>
      <c r="P153" s="61">
        <f>IF(INDEX('01_INPUTS'!$E$17:$E$31,MATCH(P$23,'01_INPUTS'!$B$17:$B$31,0))=0,IF(SUMIFS($AD$3:$AD$870,$AC$3:$AC$870,P$23,$AE$3:$AE$870,"&lt;="&amp;$B153,$AF$3:$AF$870,"&gt;="&amp;$B153)=0,0,9.99),SUMIFS($AD$3:$AD$870,$AC$3:$AC$870,P$23,$AE$3:$AE$870,"&lt;="&amp;$B153,$AF$3:$AF$870,"&gt;="&amp;$B153)/INDEX('01_INPUTS'!$E$17:$E$31,MATCH(P$23,'01_INPUTS'!$B$17:$B$31,0)))</f>
        <v>0</v>
      </c>
      <c r="Q153" s="61">
        <f>IF(INDEX('01_INPUTS'!$E$17:$E$31,MATCH(Q$23,'01_INPUTS'!$B$17:$B$31,0))=0,IF(SUMIFS($AD$3:$AD$870,$AC$3:$AC$870,Q$23,$AE$3:$AE$870,"&lt;="&amp;$B153,$AF$3:$AF$870,"&gt;="&amp;$B153)=0,0,9.99),SUMIFS($AD$3:$AD$870,$AC$3:$AC$870,Q$23,$AE$3:$AE$870,"&lt;="&amp;$B153,$AF$3:$AF$870,"&gt;="&amp;$B153)/INDEX('01_INPUTS'!$E$17:$E$31,MATCH(Q$23,'01_INPUTS'!$B$17:$B$31,0)))</f>
        <v>0</v>
      </c>
      <c r="R153" s="61">
        <f>IF(INDEX('01_INPUTS'!$E$17:$E$31,MATCH(R$23,'01_INPUTS'!$B$17:$B$31,0))=0,IF(SUMIFS($AD$3:$AD$870,$AC$3:$AC$870,R$23,$AE$3:$AE$870,"&lt;="&amp;$B153,$AF$3:$AF$870,"&gt;="&amp;$B153)=0,0,9.99),SUMIFS($AD$3:$AD$870,$AC$3:$AC$870,R$23,$AE$3:$AE$870,"&lt;="&amp;$B153,$AF$3:$AF$870,"&gt;="&amp;$B153)/INDEX('01_INPUTS'!$E$17:$E$31,MATCH(R$23,'01_INPUTS'!$B$17:$B$31,0)))</f>
        <v>0</v>
      </c>
      <c r="S153">
        <f t="shared" si="19"/>
        <v>0</v>
      </c>
      <c r="T153">
        <f>SUM('01_INPUTS'!$E$17:$E$31)</f>
        <v>20</v>
      </c>
      <c r="U153" s="61">
        <f t="shared" si="20"/>
        <v>0</v>
      </c>
      <c r="V153">
        <f t="shared" si="21"/>
        <v>0</v>
      </c>
      <c r="W153" t="str">
        <f t="shared" si="22"/>
        <v>VERDE</v>
      </c>
      <c r="AA153" s="51" t="str">
        <f>'Sites Master'!$B$4</f>
        <v>Site 03</v>
      </c>
      <c r="AB153" s="51" t="str">
        <f>'Phase-Resource Allocation'!$B$90</f>
        <v>UAT</v>
      </c>
      <c r="AC153" s="51" t="str">
        <f>'Phase-Resource Allocation'!$C$90</f>
        <v>Azure Specialist</v>
      </c>
      <c r="AD153" s="60">
        <f>'Phase-Resource Allocation'!$D$90</f>
        <v>0.5</v>
      </c>
      <c r="AE153" s="51">
        <f>IFERROR(INDEX('02_SCHEDULE'!$K$5:$K$124,MATCH(AA153&amp;"|"&amp;AB153,'02_SCHEDULE'!$M$5:$M$124,0)),0)</f>
        <v>7</v>
      </c>
      <c r="AF153" s="51">
        <f>IFERROR(INDEX('02_SCHEDULE'!$L$5:$L$124,MATCH(AA153&amp;"|"&amp;AB153,'02_SCHEDULE'!$M$5:$M$124,0)),0)</f>
        <v>8</v>
      </c>
      <c r="AG153" s="51">
        <f t="shared" si="18"/>
        <v>1</v>
      </c>
    </row>
    <row r="154" spans="2:33" x14ac:dyDescent="0.3">
      <c r="B154">
        <f>131</f>
        <v>131</v>
      </c>
      <c r="C154" s="55">
        <f>'01_INPUTS'!$C$7+(131-1)*7</f>
        <v>47161</v>
      </c>
      <c r="D154" s="61">
        <f>IF(INDEX('01_INPUTS'!$E$17:$E$31,MATCH(D$23,'01_INPUTS'!$B$17:$B$31,0))=0,IF(SUMIFS($AD$3:$AD$870,$AC$3:$AC$870,D$23,$AE$3:$AE$870,"&lt;="&amp;$B154,$AF$3:$AF$870,"&gt;="&amp;$B154)=0,0,9.99),SUMIFS($AD$3:$AD$870,$AC$3:$AC$870,D$23,$AE$3:$AE$870,"&lt;="&amp;$B154,$AF$3:$AF$870,"&gt;="&amp;$B154)/INDEX('01_INPUTS'!$E$17:$E$31,MATCH(D$23,'01_INPUTS'!$B$17:$B$31,0)))</f>
        <v>0</v>
      </c>
      <c r="E154" s="61">
        <f>IF(INDEX('01_INPUTS'!$E$17:$E$31,MATCH(E$23,'01_INPUTS'!$B$17:$B$31,0))=0,IF(SUMIFS($AD$3:$AD$870,$AC$3:$AC$870,E$23,$AE$3:$AE$870,"&lt;="&amp;$B154,$AF$3:$AF$870,"&gt;="&amp;$B154)=0,0,9.99),SUMIFS($AD$3:$AD$870,$AC$3:$AC$870,E$23,$AE$3:$AE$870,"&lt;="&amp;$B154,$AF$3:$AF$870,"&gt;="&amp;$B154)/INDEX('01_INPUTS'!$E$17:$E$31,MATCH(E$23,'01_INPUTS'!$B$17:$B$31,0)))</f>
        <v>0</v>
      </c>
      <c r="F154" s="61">
        <f>IF(INDEX('01_INPUTS'!$E$17:$E$31,MATCH(F$23,'01_INPUTS'!$B$17:$B$31,0))=0,IF(SUMIFS($AD$3:$AD$870,$AC$3:$AC$870,F$23,$AE$3:$AE$870,"&lt;="&amp;$B154,$AF$3:$AF$870,"&gt;="&amp;$B154)=0,0,9.99),SUMIFS($AD$3:$AD$870,$AC$3:$AC$870,F$23,$AE$3:$AE$870,"&lt;="&amp;$B154,$AF$3:$AF$870,"&gt;="&amp;$B154)/INDEX('01_INPUTS'!$E$17:$E$31,MATCH(F$23,'01_INPUTS'!$B$17:$B$31,0)))</f>
        <v>0</v>
      </c>
      <c r="G154" s="61">
        <f>IF(INDEX('01_INPUTS'!$E$17:$E$31,MATCH(G$23,'01_INPUTS'!$B$17:$B$31,0))=0,IF(SUMIFS($AD$3:$AD$870,$AC$3:$AC$870,G$23,$AE$3:$AE$870,"&lt;="&amp;$B154,$AF$3:$AF$870,"&gt;="&amp;$B154)=0,0,9.99),SUMIFS($AD$3:$AD$870,$AC$3:$AC$870,G$23,$AE$3:$AE$870,"&lt;="&amp;$B154,$AF$3:$AF$870,"&gt;="&amp;$B154)/INDEX('01_INPUTS'!$E$17:$E$31,MATCH(G$23,'01_INPUTS'!$B$17:$B$31,0)))</f>
        <v>0</v>
      </c>
      <c r="H154" s="61">
        <f>IF(INDEX('01_INPUTS'!$E$17:$E$31,MATCH(H$23,'01_INPUTS'!$B$17:$B$31,0))=0,IF(SUMIFS($AD$3:$AD$870,$AC$3:$AC$870,H$23,$AE$3:$AE$870,"&lt;="&amp;$B154,$AF$3:$AF$870,"&gt;="&amp;$B154)=0,0,9.99),SUMIFS($AD$3:$AD$870,$AC$3:$AC$870,H$23,$AE$3:$AE$870,"&lt;="&amp;$B154,$AF$3:$AF$870,"&gt;="&amp;$B154)/INDEX('01_INPUTS'!$E$17:$E$31,MATCH(H$23,'01_INPUTS'!$B$17:$B$31,0)))</f>
        <v>0</v>
      </c>
      <c r="I154" s="61">
        <f>IF(INDEX('01_INPUTS'!$E$17:$E$31,MATCH(I$23,'01_INPUTS'!$B$17:$B$31,0))=0,IF(SUMIFS($AD$3:$AD$870,$AC$3:$AC$870,I$23,$AE$3:$AE$870,"&lt;="&amp;$B154,$AF$3:$AF$870,"&gt;="&amp;$B154)=0,0,9.99),SUMIFS($AD$3:$AD$870,$AC$3:$AC$870,I$23,$AE$3:$AE$870,"&lt;="&amp;$B154,$AF$3:$AF$870,"&gt;="&amp;$B154)/INDEX('01_INPUTS'!$E$17:$E$31,MATCH(I$23,'01_INPUTS'!$B$17:$B$31,0)))</f>
        <v>0</v>
      </c>
      <c r="J154" s="61">
        <f>IF(INDEX('01_INPUTS'!$E$17:$E$31,MATCH(J$23,'01_INPUTS'!$B$17:$B$31,0))=0,IF(SUMIFS($AD$3:$AD$870,$AC$3:$AC$870,J$23,$AE$3:$AE$870,"&lt;="&amp;$B154,$AF$3:$AF$870,"&gt;="&amp;$B154)=0,0,9.99),SUMIFS($AD$3:$AD$870,$AC$3:$AC$870,J$23,$AE$3:$AE$870,"&lt;="&amp;$B154,$AF$3:$AF$870,"&gt;="&amp;$B154)/INDEX('01_INPUTS'!$E$17:$E$31,MATCH(J$23,'01_INPUTS'!$B$17:$B$31,0)))</f>
        <v>0</v>
      </c>
      <c r="K154" s="61">
        <f>IF(INDEX('01_INPUTS'!$E$17:$E$31,MATCH(K$23,'01_INPUTS'!$B$17:$B$31,0))=0,IF(SUMIFS($AD$3:$AD$870,$AC$3:$AC$870,K$23,$AE$3:$AE$870,"&lt;="&amp;$B154,$AF$3:$AF$870,"&gt;="&amp;$B154)=0,0,9.99),SUMIFS($AD$3:$AD$870,$AC$3:$AC$870,K$23,$AE$3:$AE$870,"&lt;="&amp;$B154,$AF$3:$AF$870,"&gt;="&amp;$B154)/INDEX('01_INPUTS'!$E$17:$E$31,MATCH(K$23,'01_INPUTS'!$B$17:$B$31,0)))</f>
        <v>0</v>
      </c>
      <c r="L154" s="61">
        <f>IF(INDEX('01_INPUTS'!$E$17:$E$31,MATCH(L$23,'01_INPUTS'!$B$17:$B$31,0))=0,IF(SUMIFS($AD$3:$AD$870,$AC$3:$AC$870,L$23,$AE$3:$AE$870,"&lt;="&amp;$B154,$AF$3:$AF$870,"&gt;="&amp;$B154)=0,0,9.99),SUMIFS($AD$3:$AD$870,$AC$3:$AC$870,L$23,$AE$3:$AE$870,"&lt;="&amp;$B154,$AF$3:$AF$870,"&gt;="&amp;$B154)/INDEX('01_INPUTS'!$E$17:$E$31,MATCH(L$23,'01_INPUTS'!$B$17:$B$31,0)))</f>
        <v>0</v>
      </c>
      <c r="M154" s="61">
        <f>IF(INDEX('01_INPUTS'!$E$17:$E$31,MATCH(M$23,'01_INPUTS'!$B$17:$B$31,0))=0,IF(SUMIFS($AD$3:$AD$870,$AC$3:$AC$870,M$23,$AE$3:$AE$870,"&lt;="&amp;$B154,$AF$3:$AF$870,"&gt;="&amp;$B154)=0,0,9.99),SUMIFS($AD$3:$AD$870,$AC$3:$AC$870,M$23,$AE$3:$AE$870,"&lt;="&amp;$B154,$AF$3:$AF$870,"&gt;="&amp;$B154)/INDEX('01_INPUTS'!$E$17:$E$31,MATCH(M$23,'01_INPUTS'!$B$17:$B$31,0)))</f>
        <v>0</v>
      </c>
      <c r="N154" s="61">
        <f>IF(INDEX('01_INPUTS'!$E$17:$E$31,MATCH(N$23,'01_INPUTS'!$B$17:$B$31,0))=0,IF(SUMIFS($AD$3:$AD$870,$AC$3:$AC$870,N$23,$AE$3:$AE$870,"&lt;="&amp;$B154,$AF$3:$AF$870,"&gt;="&amp;$B154)=0,0,9.99),SUMIFS($AD$3:$AD$870,$AC$3:$AC$870,N$23,$AE$3:$AE$870,"&lt;="&amp;$B154,$AF$3:$AF$870,"&gt;="&amp;$B154)/INDEX('01_INPUTS'!$E$17:$E$31,MATCH(N$23,'01_INPUTS'!$B$17:$B$31,0)))</f>
        <v>0</v>
      </c>
      <c r="O154" s="61">
        <f>IF(INDEX('01_INPUTS'!$E$17:$E$31,MATCH(O$23,'01_INPUTS'!$B$17:$B$31,0))=0,IF(SUMIFS($AD$3:$AD$870,$AC$3:$AC$870,O$23,$AE$3:$AE$870,"&lt;="&amp;$B154,$AF$3:$AF$870,"&gt;="&amp;$B154)=0,0,9.99),SUMIFS($AD$3:$AD$870,$AC$3:$AC$870,O$23,$AE$3:$AE$870,"&lt;="&amp;$B154,$AF$3:$AF$870,"&gt;="&amp;$B154)/INDEX('01_INPUTS'!$E$17:$E$31,MATCH(O$23,'01_INPUTS'!$B$17:$B$31,0)))</f>
        <v>0</v>
      </c>
      <c r="P154" s="61">
        <f>IF(INDEX('01_INPUTS'!$E$17:$E$31,MATCH(P$23,'01_INPUTS'!$B$17:$B$31,0))=0,IF(SUMIFS($AD$3:$AD$870,$AC$3:$AC$870,P$23,$AE$3:$AE$870,"&lt;="&amp;$B154,$AF$3:$AF$870,"&gt;="&amp;$B154)=0,0,9.99),SUMIFS($AD$3:$AD$870,$AC$3:$AC$870,P$23,$AE$3:$AE$870,"&lt;="&amp;$B154,$AF$3:$AF$870,"&gt;="&amp;$B154)/INDEX('01_INPUTS'!$E$17:$E$31,MATCH(P$23,'01_INPUTS'!$B$17:$B$31,0)))</f>
        <v>0</v>
      </c>
      <c r="Q154" s="61">
        <f>IF(INDEX('01_INPUTS'!$E$17:$E$31,MATCH(Q$23,'01_INPUTS'!$B$17:$B$31,0))=0,IF(SUMIFS($AD$3:$AD$870,$AC$3:$AC$870,Q$23,$AE$3:$AE$870,"&lt;="&amp;$B154,$AF$3:$AF$870,"&gt;="&amp;$B154)=0,0,9.99),SUMIFS($AD$3:$AD$870,$AC$3:$AC$870,Q$23,$AE$3:$AE$870,"&lt;="&amp;$B154,$AF$3:$AF$870,"&gt;="&amp;$B154)/INDEX('01_INPUTS'!$E$17:$E$31,MATCH(Q$23,'01_INPUTS'!$B$17:$B$31,0)))</f>
        <v>0</v>
      </c>
      <c r="R154" s="61">
        <f>IF(INDEX('01_INPUTS'!$E$17:$E$31,MATCH(R$23,'01_INPUTS'!$B$17:$B$31,0))=0,IF(SUMIFS($AD$3:$AD$870,$AC$3:$AC$870,R$23,$AE$3:$AE$870,"&lt;="&amp;$B154,$AF$3:$AF$870,"&gt;="&amp;$B154)=0,0,9.99),SUMIFS($AD$3:$AD$870,$AC$3:$AC$870,R$23,$AE$3:$AE$870,"&lt;="&amp;$B154,$AF$3:$AF$870,"&gt;="&amp;$B154)/INDEX('01_INPUTS'!$E$17:$E$31,MATCH(R$23,'01_INPUTS'!$B$17:$B$31,0)))</f>
        <v>0</v>
      </c>
      <c r="S154">
        <f t="shared" si="19"/>
        <v>0</v>
      </c>
      <c r="T154">
        <f>SUM('01_INPUTS'!$E$17:$E$31)</f>
        <v>20</v>
      </c>
      <c r="U154" s="61">
        <f t="shared" si="20"/>
        <v>0</v>
      </c>
      <c r="V154">
        <f t="shared" si="21"/>
        <v>0</v>
      </c>
      <c r="W154" t="str">
        <f t="shared" si="22"/>
        <v>VERDE</v>
      </c>
      <c r="AA154" s="51" t="str">
        <f>'Sites Master'!$B$4</f>
        <v>Site 03</v>
      </c>
      <c r="AB154" s="51" t="str">
        <f>'Phase-Resource Allocation'!$B$91</f>
        <v>UAT</v>
      </c>
      <c r="AC154" s="51" t="str">
        <f>'Phase-Resource Allocation'!$C$91</f>
        <v>Testing Lead</v>
      </c>
      <c r="AD154" s="60">
        <f>'Phase-Resource Allocation'!$D$91</f>
        <v>0.5</v>
      </c>
      <c r="AE154" s="51">
        <f>IFERROR(INDEX('02_SCHEDULE'!$K$5:$K$124,MATCH(AA154&amp;"|"&amp;AB154,'02_SCHEDULE'!$M$5:$M$124,0)),0)</f>
        <v>7</v>
      </c>
      <c r="AF154" s="51">
        <f>IFERROR(INDEX('02_SCHEDULE'!$L$5:$L$124,MATCH(AA154&amp;"|"&amp;AB154,'02_SCHEDULE'!$M$5:$M$124,0)),0)</f>
        <v>8</v>
      </c>
      <c r="AG154" s="51">
        <f t="shared" si="18"/>
        <v>1</v>
      </c>
    </row>
    <row r="155" spans="2:33" x14ac:dyDescent="0.3">
      <c r="B155">
        <f>132</f>
        <v>132</v>
      </c>
      <c r="C155" s="55">
        <f>'01_INPUTS'!$C$7+(132-1)*7</f>
        <v>47168</v>
      </c>
      <c r="D155" s="61">
        <f>IF(INDEX('01_INPUTS'!$E$17:$E$31,MATCH(D$23,'01_INPUTS'!$B$17:$B$31,0))=0,IF(SUMIFS($AD$3:$AD$870,$AC$3:$AC$870,D$23,$AE$3:$AE$870,"&lt;="&amp;$B155,$AF$3:$AF$870,"&gt;="&amp;$B155)=0,0,9.99),SUMIFS($AD$3:$AD$870,$AC$3:$AC$870,D$23,$AE$3:$AE$870,"&lt;="&amp;$B155,$AF$3:$AF$870,"&gt;="&amp;$B155)/INDEX('01_INPUTS'!$E$17:$E$31,MATCH(D$23,'01_INPUTS'!$B$17:$B$31,0)))</f>
        <v>0</v>
      </c>
      <c r="E155" s="61">
        <f>IF(INDEX('01_INPUTS'!$E$17:$E$31,MATCH(E$23,'01_INPUTS'!$B$17:$B$31,0))=0,IF(SUMIFS($AD$3:$AD$870,$AC$3:$AC$870,E$23,$AE$3:$AE$870,"&lt;="&amp;$B155,$AF$3:$AF$870,"&gt;="&amp;$B155)=0,0,9.99),SUMIFS($AD$3:$AD$870,$AC$3:$AC$870,E$23,$AE$3:$AE$870,"&lt;="&amp;$B155,$AF$3:$AF$870,"&gt;="&amp;$B155)/INDEX('01_INPUTS'!$E$17:$E$31,MATCH(E$23,'01_INPUTS'!$B$17:$B$31,0)))</f>
        <v>0</v>
      </c>
      <c r="F155" s="61">
        <f>IF(INDEX('01_INPUTS'!$E$17:$E$31,MATCH(F$23,'01_INPUTS'!$B$17:$B$31,0))=0,IF(SUMIFS($AD$3:$AD$870,$AC$3:$AC$870,F$23,$AE$3:$AE$870,"&lt;="&amp;$B155,$AF$3:$AF$870,"&gt;="&amp;$B155)=0,0,9.99),SUMIFS($AD$3:$AD$870,$AC$3:$AC$870,F$23,$AE$3:$AE$870,"&lt;="&amp;$B155,$AF$3:$AF$870,"&gt;="&amp;$B155)/INDEX('01_INPUTS'!$E$17:$E$31,MATCH(F$23,'01_INPUTS'!$B$17:$B$31,0)))</f>
        <v>0</v>
      </c>
      <c r="G155" s="61">
        <f>IF(INDEX('01_INPUTS'!$E$17:$E$31,MATCH(G$23,'01_INPUTS'!$B$17:$B$31,0))=0,IF(SUMIFS($AD$3:$AD$870,$AC$3:$AC$870,G$23,$AE$3:$AE$870,"&lt;="&amp;$B155,$AF$3:$AF$870,"&gt;="&amp;$B155)=0,0,9.99),SUMIFS($AD$3:$AD$870,$AC$3:$AC$870,G$23,$AE$3:$AE$870,"&lt;="&amp;$B155,$AF$3:$AF$870,"&gt;="&amp;$B155)/INDEX('01_INPUTS'!$E$17:$E$31,MATCH(G$23,'01_INPUTS'!$B$17:$B$31,0)))</f>
        <v>0</v>
      </c>
      <c r="H155" s="61">
        <f>IF(INDEX('01_INPUTS'!$E$17:$E$31,MATCH(H$23,'01_INPUTS'!$B$17:$B$31,0))=0,IF(SUMIFS($AD$3:$AD$870,$AC$3:$AC$870,H$23,$AE$3:$AE$870,"&lt;="&amp;$B155,$AF$3:$AF$870,"&gt;="&amp;$B155)=0,0,9.99),SUMIFS($AD$3:$AD$870,$AC$3:$AC$870,H$23,$AE$3:$AE$870,"&lt;="&amp;$B155,$AF$3:$AF$870,"&gt;="&amp;$B155)/INDEX('01_INPUTS'!$E$17:$E$31,MATCH(H$23,'01_INPUTS'!$B$17:$B$31,0)))</f>
        <v>0</v>
      </c>
      <c r="I155" s="61">
        <f>IF(INDEX('01_INPUTS'!$E$17:$E$31,MATCH(I$23,'01_INPUTS'!$B$17:$B$31,0))=0,IF(SUMIFS($AD$3:$AD$870,$AC$3:$AC$870,I$23,$AE$3:$AE$870,"&lt;="&amp;$B155,$AF$3:$AF$870,"&gt;="&amp;$B155)=0,0,9.99),SUMIFS($AD$3:$AD$870,$AC$3:$AC$870,I$23,$AE$3:$AE$870,"&lt;="&amp;$B155,$AF$3:$AF$870,"&gt;="&amp;$B155)/INDEX('01_INPUTS'!$E$17:$E$31,MATCH(I$23,'01_INPUTS'!$B$17:$B$31,0)))</f>
        <v>0</v>
      </c>
      <c r="J155" s="61">
        <f>IF(INDEX('01_INPUTS'!$E$17:$E$31,MATCH(J$23,'01_INPUTS'!$B$17:$B$31,0))=0,IF(SUMIFS($AD$3:$AD$870,$AC$3:$AC$870,J$23,$AE$3:$AE$870,"&lt;="&amp;$B155,$AF$3:$AF$870,"&gt;="&amp;$B155)=0,0,9.99),SUMIFS($AD$3:$AD$870,$AC$3:$AC$870,J$23,$AE$3:$AE$870,"&lt;="&amp;$B155,$AF$3:$AF$870,"&gt;="&amp;$B155)/INDEX('01_INPUTS'!$E$17:$E$31,MATCH(J$23,'01_INPUTS'!$B$17:$B$31,0)))</f>
        <v>0</v>
      </c>
      <c r="K155" s="61">
        <f>IF(INDEX('01_INPUTS'!$E$17:$E$31,MATCH(K$23,'01_INPUTS'!$B$17:$B$31,0))=0,IF(SUMIFS($AD$3:$AD$870,$AC$3:$AC$870,K$23,$AE$3:$AE$870,"&lt;="&amp;$B155,$AF$3:$AF$870,"&gt;="&amp;$B155)=0,0,9.99),SUMIFS($AD$3:$AD$870,$AC$3:$AC$870,K$23,$AE$3:$AE$870,"&lt;="&amp;$B155,$AF$3:$AF$870,"&gt;="&amp;$B155)/INDEX('01_INPUTS'!$E$17:$E$31,MATCH(K$23,'01_INPUTS'!$B$17:$B$31,0)))</f>
        <v>0</v>
      </c>
      <c r="L155" s="61">
        <f>IF(INDEX('01_INPUTS'!$E$17:$E$31,MATCH(L$23,'01_INPUTS'!$B$17:$B$31,0))=0,IF(SUMIFS($AD$3:$AD$870,$AC$3:$AC$870,L$23,$AE$3:$AE$870,"&lt;="&amp;$B155,$AF$3:$AF$870,"&gt;="&amp;$B155)=0,0,9.99),SUMIFS($AD$3:$AD$870,$AC$3:$AC$870,L$23,$AE$3:$AE$870,"&lt;="&amp;$B155,$AF$3:$AF$870,"&gt;="&amp;$B155)/INDEX('01_INPUTS'!$E$17:$E$31,MATCH(L$23,'01_INPUTS'!$B$17:$B$31,0)))</f>
        <v>0</v>
      </c>
      <c r="M155" s="61">
        <f>IF(INDEX('01_INPUTS'!$E$17:$E$31,MATCH(M$23,'01_INPUTS'!$B$17:$B$31,0))=0,IF(SUMIFS($AD$3:$AD$870,$AC$3:$AC$870,M$23,$AE$3:$AE$870,"&lt;="&amp;$B155,$AF$3:$AF$870,"&gt;="&amp;$B155)=0,0,9.99),SUMIFS($AD$3:$AD$870,$AC$3:$AC$870,M$23,$AE$3:$AE$870,"&lt;="&amp;$B155,$AF$3:$AF$870,"&gt;="&amp;$B155)/INDEX('01_INPUTS'!$E$17:$E$31,MATCH(M$23,'01_INPUTS'!$B$17:$B$31,0)))</f>
        <v>0</v>
      </c>
      <c r="N155" s="61">
        <f>IF(INDEX('01_INPUTS'!$E$17:$E$31,MATCH(N$23,'01_INPUTS'!$B$17:$B$31,0))=0,IF(SUMIFS($AD$3:$AD$870,$AC$3:$AC$870,N$23,$AE$3:$AE$870,"&lt;="&amp;$B155,$AF$3:$AF$870,"&gt;="&amp;$B155)=0,0,9.99),SUMIFS($AD$3:$AD$870,$AC$3:$AC$870,N$23,$AE$3:$AE$870,"&lt;="&amp;$B155,$AF$3:$AF$870,"&gt;="&amp;$B155)/INDEX('01_INPUTS'!$E$17:$E$31,MATCH(N$23,'01_INPUTS'!$B$17:$B$31,0)))</f>
        <v>0</v>
      </c>
      <c r="O155" s="61">
        <f>IF(INDEX('01_INPUTS'!$E$17:$E$31,MATCH(O$23,'01_INPUTS'!$B$17:$B$31,0))=0,IF(SUMIFS($AD$3:$AD$870,$AC$3:$AC$870,O$23,$AE$3:$AE$870,"&lt;="&amp;$B155,$AF$3:$AF$870,"&gt;="&amp;$B155)=0,0,9.99),SUMIFS($AD$3:$AD$870,$AC$3:$AC$870,O$23,$AE$3:$AE$870,"&lt;="&amp;$B155,$AF$3:$AF$870,"&gt;="&amp;$B155)/INDEX('01_INPUTS'!$E$17:$E$31,MATCH(O$23,'01_INPUTS'!$B$17:$B$31,0)))</f>
        <v>0</v>
      </c>
      <c r="P155" s="61">
        <f>IF(INDEX('01_INPUTS'!$E$17:$E$31,MATCH(P$23,'01_INPUTS'!$B$17:$B$31,0))=0,IF(SUMIFS($AD$3:$AD$870,$AC$3:$AC$870,P$23,$AE$3:$AE$870,"&lt;="&amp;$B155,$AF$3:$AF$870,"&gt;="&amp;$B155)=0,0,9.99),SUMIFS($AD$3:$AD$870,$AC$3:$AC$870,P$23,$AE$3:$AE$870,"&lt;="&amp;$B155,$AF$3:$AF$870,"&gt;="&amp;$B155)/INDEX('01_INPUTS'!$E$17:$E$31,MATCH(P$23,'01_INPUTS'!$B$17:$B$31,0)))</f>
        <v>0</v>
      </c>
      <c r="Q155" s="61">
        <f>IF(INDEX('01_INPUTS'!$E$17:$E$31,MATCH(Q$23,'01_INPUTS'!$B$17:$B$31,0))=0,IF(SUMIFS($AD$3:$AD$870,$AC$3:$AC$870,Q$23,$AE$3:$AE$870,"&lt;="&amp;$B155,$AF$3:$AF$870,"&gt;="&amp;$B155)=0,0,9.99),SUMIFS($AD$3:$AD$870,$AC$3:$AC$870,Q$23,$AE$3:$AE$870,"&lt;="&amp;$B155,$AF$3:$AF$870,"&gt;="&amp;$B155)/INDEX('01_INPUTS'!$E$17:$E$31,MATCH(Q$23,'01_INPUTS'!$B$17:$B$31,0)))</f>
        <v>0</v>
      </c>
      <c r="R155" s="61">
        <f>IF(INDEX('01_INPUTS'!$E$17:$E$31,MATCH(R$23,'01_INPUTS'!$B$17:$B$31,0))=0,IF(SUMIFS($AD$3:$AD$870,$AC$3:$AC$870,R$23,$AE$3:$AE$870,"&lt;="&amp;$B155,$AF$3:$AF$870,"&gt;="&amp;$B155)=0,0,9.99),SUMIFS($AD$3:$AD$870,$AC$3:$AC$870,R$23,$AE$3:$AE$870,"&lt;="&amp;$B155,$AF$3:$AF$870,"&gt;="&amp;$B155)/INDEX('01_INPUTS'!$E$17:$E$31,MATCH(R$23,'01_INPUTS'!$B$17:$B$31,0)))</f>
        <v>0</v>
      </c>
      <c r="S155">
        <f t="shared" si="19"/>
        <v>0</v>
      </c>
      <c r="T155">
        <f>SUM('01_INPUTS'!$E$17:$E$31)</f>
        <v>20</v>
      </c>
      <c r="U155" s="61">
        <f t="shared" si="20"/>
        <v>0</v>
      </c>
      <c r="V155">
        <f t="shared" si="21"/>
        <v>0</v>
      </c>
      <c r="W155" t="str">
        <f t="shared" si="22"/>
        <v>VERDE</v>
      </c>
      <c r="AA155" s="51" t="str">
        <f>'Sites Master'!$B$4</f>
        <v>Site 03</v>
      </c>
      <c r="AB155" s="51" t="str">
        <f>'Phase-Resource Allocation'!$B$92</f>
        <v>UAT</v>
      </c>
      <c r="AC155" s="51" t="str">
        <f>'Phase-Resource Allocation'!$C$92</f>
        <v>Functional Lead</v>
      </c>
      <c r="AD155" s="60">
        <f>'Phase-Resource Allocation'!$D$92</f>
        <v>1</v>
      </c>
      <c r="AE155" s="51">
        <f>IFERROR(INDEX('02_SCHEDULE'!$K$5:$K$124,MATCH(AA155&amp;"|"&amp;AB155,'02_SCHEDULE'!$M$5:$M$124,0)),0)</f>
        <v>7</v>
      </c>
      <c r="AF155" s="51">
        <f>IFERROR(INDEX('02_SCHEDULE'!$L$5:$L$124,MATCH(AA155&amp;"|"&amp;AB155,'02_SCHEDULE'!$M$5:$M$124,0)),0)</f>
        <v>8</v>
      </c>
      <c r="AG155" s="51">
        <f t="shared" si="18"/>
        <v>2</v>
      </c>
    </row>
    <row r="156" spans="2:33" x14ac:dyDescent="0.3">
      <c r="B156">
        <f>133</f>
        <v>133</v>
      </c>
      <c r="C156" s="55">
        <f>'01_INPUTS'!$C$7+(133-1)*7</f>
        <v>47175</v>
      </c>
      <c r="D156" s="61">
        <f>IF(INDEX('01_INPUTS'!$E$17:$E$31,MATCH(D$23,'01_INPUTS'!$B$17:$B$31,0))=0,IF(SUMIFS($AD$3:$AD$870,$AC$3:$AC$870,D$23,$AE$3:$AE$870,"&lt;="&amp;$B156,$AF$3:$AF$870,"&gt;="&amp;$B156)=0,0,9.99),SUMIFS($AD$3:$AD$870,$AC$3:$AC$870,D$23,$AE$3:$AE$870,"&lt;="&amp;$B156,$AF$3:$AF$870,"&gt;="&amp;$B156)/INDEX('01_INPUTS'!$E$17:$E$31,MATCH(D$23,'01_INPUTS'!$B$17:$B$31,0)))</f>
        <v>0</v>
      </c>
      <c r="E156" s="61">
        <f>IF(INDEX('01_INPUTS'!$E$17:$E$31,MATCH(E$23,'01_INPUTS'!$B$17:$B$31,0))=0,IF(SUMIFS($AD$3:$AD$870,$AC$3:$AC$870,E$23,$AE$3:$AE$870,"&lt;="&amp;$B156,$AF$3:$AF$870,"&gt;="&amp;$B156)=0,0,9.99),SUMIFS($AD$3:$AD$870,$AC$3:$AC$870,E$23,$AE$3:$AE$870,"&lt;="&amp;$B156,$AF$3:$AF$870,"&gt;="&amp;$B156)/INDEX('01_INPUTS'!$E$17:$E$31,MATCH(E$23,'01_INPUTS'!$B$17:$B$31,0)))</f>
        <v>0</v>
      </c>
      <c r="F156" s="61">
        <f>IF(INDEX('01_INPUTS'!$E$17:$E$31,MATCH(F$23,'01_INPUTS'!$B$17:$B$31,0))=0,IF(SUMIFS($AD$3:$AD$870,$AC$3:$AC$870,F$23,$AE$3:$AE$870,"&lt;="&amp;$B156,$AF$3:$AF$870,"&gt;="&amp;$B156)=0,0,9.99),SUMIFS($AD$3:$AD$870,$AC$3:$AC$870,F$23,$AE$3:$AE$870,"&lt;="&amp;$B156,$AF$3:$AF$870,"&gt;="&amp;$B156)/INDEX('01_INPUTS'!$E$17:$E$31,MATCH(F$23,'01_INPUTS'!$B$17:$B$31,0)))</f>
        <v>0</v>
      </c>
      <c r="G156" s="61">
        <f>IF(INDEX('01_INPUTS'!$E$17:$E$31,MATCH(G$23,'01_INPUTS'!$B$17:$B$31,0))=0,IF(SUMIFS($AD$3:$AD$870,$AC$3:$AC$870,G$23,$AE$3:$AE$870,"&lt;="&amp;$B156,$AF$3:$AF$870,"&gt;="&amp;$B156)=0,0,9.99),SUMIFS($AD$3:$AD$870,$AC$3:$AC$870,G$23,$AE$3:$AE$870,"&lt;="&amp;$B156,$AF$3:$AF$870,"&gt;="&amp;$B156)/INDEX('01_INPUTS'!$E$17:$E$31,MATCH(G$23,'01_INPUTS'!$B$17:$B$31,0)))</f>
        <v>0</v>
      </c>
      <c r="H156" s="61">
        <f>IF(INDEX('01_INPUTS'!$E$17:$E$31,MATCH(H$23,'01_INPUTS'!$B$17:$B$31,0))=0,IF(SUMIFS($AD$3:$AD$870,$AC$3:$AC$870,H$23,$AE$3:$AE$870,"&lt;="&amp;$B156,$AF$3:$AF$870,"&gt;="&amp;$B156)=0,0,9.99),SUMIFS($AD$3:$AD$870,$AC$3:$AC$870,H$23,$AE$3:$AE$870,"&lt;="&amp;$B156,$AF$3:$AF$870,"&gt;="&amp;$B156)/INDEX('01_INPUTS'!$E$17:$E$31,MATCH(H$23,'01_INPUTS'!$B$17:$B$31,0)))</f>
        <v>0</v>
      </c>
      <c r="I156" s="61">
        <f>IF(INDEX('01_INPUTS'!$E$17:$E$31,MATCH(I$23,'01_INPUTS'!$B$17:$B$31,0))=0,IF(SUMIFS($AD$3:$AD$870,$AC$3:$AC$870,I$23,$AE$3:$AE$870,"&lt;="&amp;$B156,$AF$3:$AF$870,"&gt;="&amp;$B156)=0,0,9.99),SUMIFS($AD$3:$AD$870,$AC$3:$AC$870,I$23,$AE$3:$AE$870,"&lt;="&amp;$B156,$AF$3:$AF$870,"&gt;="&amp;$B156)/INDEX('01_INPUTS'!$E$17:$E$31,MATCH(I$23,'01_INPUTS'!$B$17:$B$31,0)))</f>
        <v>0</v>
      </c>
      <c r="J156" s="61">
        <f>IF(INDEX('01_INPUTS'!$E$17:$E$31,MATCH(J$23,'01_INPUTS'!$B$17:$B$31,0))=0,IF(SUMIFS($AD$3:$AD$870,$AC$3:$AC$870,J$23,$AE$3:$AE$870,"&lt;="&amp;$B156,$AF$3:$AF$870,"&gt;="&amp;$B156)=0,0,9.99),SUMIFS($AD$3:$AD$870,$AC$3:$AC$870,J$23,$AE$3:$AE$870,"&lt;="&amp;$B156,$AF$3:$AF$870,"&gt;="&amp;$B156)/INDEX('01_INPUTS'!$E$17:$E$31,MATCH(J$23,'01_INPUTS'!$B$17:$B$31,0)))</f>
        <v>0</v>
      </c>
      <c r="K156" s="61">
        <f>IF(INDEX('01_INPUTS'!$E$17:$E$31,MATCH(K$23,'01_INPUTS'!$B$17:$B$31,0))=0,IF(SUMIFS($AD$3:$AD$870,$AC$3:$AC$870,K$23,$AE$3:$AE$870,"&lt;="&amp;$B156,$AF$3:$AF$870,"&gt;="&amp;$B156)=0,0,9.99),SUMIFS($AD$3:$AD$870,$AC$3:$AC$870,K$23,$AE$3:$AE$870,"&lt;="&amp;$B156,$AF$3:$AF$870,"&gt;="&amp;$B156)/INDEX('01_INPUTS'!$E$17:$E$31,MATCH(K$23,'01_INPUTS'!$B$17:$B$31,0)))</f>
        <v>0</v>
      </c>
      <c r="L156" s="61">
        <f>IF(INDEX('01_INPUTS'!$E$17:$E$31,MATCH(L$23,'01_INPUTS'!$B$17:$B$31,0))=0,IF(SUMIFS($AD$3:$AD$870,$AC$3:$AC$870,L$23,$AE$3:$AE$870,"&lt;="&amp;$B156,$AF$3:$AF$870,"&gt;="&amp;$B156)=0,0,9.99),SUMIFS($AD$3:$AD$870,$AC$3:$AC$870,L$23,$AE$3:$AE$870,"&lt;="&amp;$B156,$AF$3:$AF$870,"&gt;="&amp;$B156)/INDEX('01_INPUTS'!$E$17:$E$31,MATCH(L$23,'01_INPUTS'!$B$17:$B$31,0)))</f>
        <v>0</v>
      </c>
      <c r="M156" s="61">
        <f>IF(INDEX('01_INPUTS'!$E$17:$E$31,MATCH(M$23,'01_INPUTS'!$B$17:$B$31,0))=0,IF(SUMIFS($AD$3:$AD$870,$AC$3:$AC$870,M$23,$AE$3:$AE$870,"&lt;="&amp;$B156,$AF$3:$AF$870,"&gt;="&amp;$B156)=0,0,9.99),SUMIFS($AD$3:$AD$870,$AC$3:$AC$870,M$23,$AE$3:$AE$870,"&lt;="&amp;$B156,$AF$3:$AF$870,"&gt;="&amp;$B156)/INDEX('01_INPUTS'!$E$17:$E$31,MATCH(M$23,'01_INPUTS'!$B$17:$B$31,0)))</f>
        <v>0</v>
      </c>
      <c r="N156" s="61">
        <f>IF(INDEX('01_INPUTS'!$E$17:$E$31,MATCH(N$23,'01_INPUTS'!$B$17:$B$31,0))=0,IF(SUMIFS($AD$3:$AD$870,$AC$3:$AC$870,N$23,$AE$3:$AE$870,"&lt;="&amp;$B156,$AF$3:$AF$870,"&gt;="&amp;$B156)=0,0,9.99),SUMIFS($AD$3:$AD$870,$AC$3:$AC$870,N$23,$AE$3:$AE$870,"&lt;="&amp;$B156,$AF$3:$AF$870,"&gt;="&amp;$B156)/INDEX('01_INPUTS'!$E$17:$E$31,MATCH(N$23,'01_INPUTS'!$B$17:$B$31,0)))</f>
        <v>0</v>
      </c>
      <c r="O156" s="61">
        <f>IF(INDEX('01_INPUTS'!$E$17:$E$31,MATCH(O$23,'01_INPUTS'!$B$17:$B$31,0))=0,IF(SUMIFS($AD$3:$AD$870,$AC$3:$AC$870,O$23,$AE$3:$AE$870,"&lt;="&amp;$B156,$AF$3:$AF$870,"&gt;="&amp;$B156)=0,0,9.99),SUMIFS($AD$3:$AD$870,$AC$3:$AC$870,O$23,$AE$3:$AE$870,"&lt;="&amp;$B156,$AF$3:$AF$870,"&gt;="&amp;$B156)/INDEX('01_INPUTS'!$E$17:$E$31,MATCH(O$23,'01_INPUTS'!$B$17:$B$31,0)))</f>
        <v>0</v>
      </c>
      <c r="P156" s="61">
        <f>IF(INDEX('01_INPUTS'!$E$17:$E$31,MATCH(P$23,'01_INPUTS'!$B$17:$B$31,0))=0,IF(SUMIFS($AD$3:$AD$870,$AC$3:$AC$870,P$23,$AE$3:$AE$870,"&lt;="&amp;$B156,$AF$3:$AF$870,"&gt;="&amp;$B156)=0,0,9.99),SUMIFS($AD$3:$AD$870,$AC$3:$AC$870,P$23,$AE$3:$AE$870,"&lt;="&amp;$B156,$AF$3:$AF$870,"&gt;="&amp;$B156)/INDEX('01_INPUTS'!$E$17:$E$31,MATCH(P$23,'01_INPUTS'!$B$17:$B$31,0)))</f>
        <v>0</v>
      </c>
      <c r="Q156" s="61">
        <f>IF(INDEX('01_INPUTS'!$E$17:$E$31,MATCH(Q$23,'01_INPUTS'!$B$17:$B$31,0))=0,IF(SUMIFS($AD$3:$AD$870,$AC$3:$AC$870,Q$23,$AE$3:$AE$870,"&lt;="&amp;$B156,$AF$3:$AF$870,"&gt;="&amp;$B156)=0,0,9.99),SUMIFS($AD$3:$AD$870,$AC$3:$AC$870,Q$23,$AE$3:$AE$870,"&lt;="&amp;$B156,$AF$3:$AF$870,"&gt;="&amp;$B156)/INDEX('01_INPUTS'!$E$17:$E$31,MATCH(Q$23,'01_INPUTS'!$B$17:$B$31,0)))</f>
        <v>0</v>
      </c>
      <c r="R156" s="61">
        <f>IF(INDEX('01_INPUTS'!$E$17:$E$31,MATCH(R$23,'01_INPUTS'!$B$17:$B$31,0))=0,IF(SUMIFS($AD$3:$AD$870,$AC$3:$AC$870,R$23,$AE$3:$AE$870,"&lt;="&amp;$B156,$AF$3:$AF$870,"&gt;="&amp;$B156)=0,0,9.99),SUMIFS($AD$3:$AD$870,$AC$3:$AC$870,R$23,$AE$3:$AE$870,"&lt;="&amp;$B156,$AF$3:$AF$870,"&gt;="&amp;$B156)/INDEX('01_INPUTS'!$E$17:$E$31,MATCH(R$23,'01_INPUTS'!$B$17:$B$31,0)))</f>
        <v>0</v>
      </c>
      <c r="S156">
        <f t="shared" si="19"/>
        <v>0</v>
      </c>
      <c r="T156">
        <f>SUM('01_INPUTS'!$E$17:$E$31)</f>
        <v>20</v>
      </c>
      <c r="U156" s="61">
        <f t="shared" si="20"/>
        <v>0</v>
      </c>
      <c r="V156">
        <f t="shared" si="21"/>
        <v>0</v>
      </c>
      <c r="W156" t="str">
        <f t="shared" si="22"/>
        <v>VERDE</v>
      </c>
      <c r="AA156" s="51" t="str">
        <f>'Sites Master'!$B$4</f>
        <v>Site 03</v>
      </c>
      <c r="AB156" s="51" t="str">
        <f>'Phase-Resource Allocation'!$B$93</f>
        <v>UAT</v>
      </c>
      <c r="AC156" s="51" t="str">
        <f>'Phase-Resource Allocation'!$C$93</f>
        <v>Trainers</v>
      </c>
      <c r="AD156" s="60">
        <f>'Phase-Resource Allocation'!$D$93</f>
        <v>1</v>
      </c>
      <c r="AE156" s="51">
        <f>IFERROR(INDEX('02_SCHEDULE'!$K$5:$K$124,MATCH(AA156&amp;"|"&amp;AB156,'02_SCHEDULE'!$M$5:$M$124,0)),0)</f>
        <v>7</v>
      </c>
      <c r="AF156" s="51">
        <f>IFERROR(INDEX('02_SCHEDULE'!$L$5:$L$124,MATCH(AA156&amp;"|"&amp;AB156,'02_SCHEDULE'!$M$5:$M$124,0)),0)</f>
        <v>8</v>
      </c>
      <c r="AG156" s="51">
        <f t="shared" si="18"/>
        <v>2</v>
      </c>
    </row>
    <row r="157" spans="2:33" x14ac:dyDescent="0.3">
      <c r="B157">
        <f>134</f>
        <v>134</v>
      </c>
      <c r="C157" s="55">
        <f>'01_INPUTS'!$C$7+(134-1)*7</f>
        <v>47182</v>
      </c>
      <c r="D157" s="61">
        <f>IF(INDEX('01_INPUTS'!$E$17:$E$31,MATCH(D$23,'01_INPUTS'!$B$17:$B$31,0))=0,IF(SUMIFS($AD$3:$AD$870,$AC$3:$AC$870,D$23,$AE$3:$AE$870,"&lt;="&amp;$B157,$AF$3:$AF$870,"&gt;="&amp;$B157)=0,0,9.99),SUMIFS($AD$3:$AD$870,$AC$3:$AC$870,D$23,$AE$3:$AE$870,"&lt;="&amp;$B157,$AF$3:$AF$870,"&gt;="&amp;$B157)/INDEX('01_INPUTS'!$E$17:$E$31,MATCH(D$23,'01_INPUTS'!$B$17:$B$31,0)))</f>
        <v>0</v>
      </c>
      <c r="E157" s="61">
        <f>IF(INDEX('01_INPUTS'!$E$17:$E$31,MATCH(E$23,'01_INPUTS'!$B$17:$B$31,0))=0,IF(SUMIFS($AD$3:$AD$870,$AC$3:$AC$870,E$23,$AE$3:$AE$870,"&lt;="&amp;$B157,$AF$3:$AF$870,"&gt;="&amp;$B157)=0,0,9.99),SUMIFS($AD$3:$AD$870,$AC$3:$AC$870,E$23,$AE$3:$AE$870,"&lt;="&amp;$B157,$AF$3:$AF$870,"&gt;="&amp;$B157)/INDEX('01_INPUTS'!$E$17:$E$31,MATCH(E$23,'01_INPUTS'!$B$17:$B$31,0)))</f>
        <v>0</v>
      </c>
      <c r="F157" s="61">
        <f>IF(INDEX('01_INPUTS'!$E$17:$E$31,MATCH(F$23,'01_INPUTS'!$B$17:$B$31,0))=0,IF(SUMIFS($AD$3:$AD$870,$AC$3:$AC$870,F$23,$AE$3:$AE$870,"&lt;="&amp;$B157,$AF$3:$AF$870,"&gt;="&amp;$B157)=0,0,9.99),SUMIFS($AD$3:$AD$870,$AC$3:$AC$870,F$23,$AE$3:$AE$870,"&lt;="&amp;$B157,$AF$3:$AF$870,"&gt;="&amp;$B157)/INDEX('01_INPUTS'!$E$17:$E$31,MATCH(F$23,'01_INPUTS'!$B$17:$B$31,0)))</f>
        <v>0</v>
      </c>
      <c r="G157" s="61">
        <f>IF(INDEX('01_INPUTS'!$E$17:$E$31,MATCH(G$23,'01_INPUTS'!$B$17:$B$31,0))=0,IF(SUMIFS($AD$3:$AD$870,$AC$3:$AC$870,G$23,$AE$3:$AE$870,"&lt;="&amp;$B157,$AF$3:$AF$870,"&gt;="&amp;$B157)=0,0,9.99),SUMIFS($AD$3:$AD$870,$AC$3:$AC$870,G$23,$AE$3:$AE$870,"&lt;="&amp;$B157,$AF$3:$AF$870,"&gt;="&amp;$B157)/INDEX('01_INPUTS'!$E$17:$E$31,MATCH(G$23,'01_INPUTS'!$B$17:$B$31,0)))</f>
        <v>0</v>
      </c>
      <c r="H157" s="61">
        <f>IF(INDEX('01_INPUTS'!$E$17:$E$31,MATCH(H$23,'01_INPUTS'!$B$17:$B$31,0))=0,IF(SUMIFS($AD$3:$AD$870,$AC$3:$AC$870,H$23,$AE$3:$AE$870,"&lt;="&amp;$B157,$AF$3:$AF$870,"&gt;="&amp;$B157)=0,0,9.99),SUMIFS($AD$3:$AD$870,$AC$3:$AC$870,H$23,$AE$3:$AE$870,"&lt;="&amp;$B157,$AF$3:$AF$870,"&gt;="&amp;$B157)/INDEX('01_INPUTS'!$E$17:$E$31,MATCH(H$23,'01_INPUTS'!$B$17:$B$31,0)))</f>
        <v>0</v>
      </c>
      <c r="I157" s="61">
        <f>IF(INDEX('01_INPUTS'!$E$17:$E$31,MATCH(I$23,'01_INPUTS'!$B$17:$B$31,0))=0,IF(SUMIFS($AD$3:$AD$870,$AC$3:$AC$870,I$23,$AE$3:$AE$870,"&lt;="&amp;$B157,$AF$3:$AF$870,"&gt;="&amp;$B157)=0,0,9.99),SUMIFS($AD$3:$AD$870,$AC$3:$AC$870,I$23,$AE$3:$AE$870,"&lt;="&amp;$B157,$AF$3:$AF$870,"&gt;="&amp;$B157)/INDEX('01_INPUTS'!$E$17:$E$31,MATCH(I$23,'01_INPUTS'!$B$17:$B$31,0)))</f>
        <v>0</v>
      </c>
      <c r="J157" s="61">
        <f>IF(INDEX('01_INPUTS'!$E$17:$E$31,MATCH(J$23,'01_INPUTS'!$B$17:$B$31,0))=0,IF(SUMIFS($AD$3:$AD$870,$AC$3:$AC$870,J$23,$AE$3:$AE$870,"&lt;="&amp;$B157,$AF$3:$AF$870,"&gt;="&amp;$B157)=0,0,9.99),SUMIFS($AD$3:$AD$870,$AC$3:$AC$870,J$23,$AE$3:$AE$870,"&lt;="&amp;$B157,$AF$3:$AF$870,"&gt;="&amp;$B157)/INDEX('01_INPUTS'!$E$17:$E$31,MATCH(J$23,'01_INPUTS'!$B$17:$B$31,0)))</f>
        <v>0</v>
      </c>
      <c r="K157" s="61">
        <f>IF(INDEX('01_INPUTS'!$E$17:$E$31,MATCH(K$23,'01_INPUTS'!$B$17:$B$31,0))=0,IF(SUMIFS($AD$3:$AD$870,$AC$3:$AC$870,K$23,$AE$3:$AE$870,"&lt;="&amp;$B157,$AF$3:$AF$870,"&gt;="&amp;$B157)=0,0,9.99),SUMIFS($AD$3:$AD$870,$AC$3:$AC$870,K$23,$AE$3:$AE$870,"&lt;="&amp;$B157,$AF$3:$AF$870,"&gt;="&amp;$B157)/INDEX('01_INPUTS'!$E$17:$E$31,MATCH(K$23,'01_INPUTS'!$B$17:$B$31,0)))</f>
        <v>0</v>
      </c>
      <c r="L157" s="61">
        <f>IF(INDEX('01_INPUTS'!$E$17:$E$31,MATCH(L$23,'01_INPUTS'!$B$17:$B$31,0))=0,IF(SUMIFS($AD$3:$AD$870,$AC$3:$AC$870,L$23,$AE$3:$AE$870,"&lt;="&amp;$B157,$AF$3:$AF$870,"&gt;="&amp;$B157)=0,0,9.99),SUMIFS($AD$3:$AD$870,$AC$3:$AC$870,L$23,$AE$3:$AE$870,"&lt;="&amp;$B157,$AF$3:$AF$870,"&gt;="&amp;$B157)/INDEX('01_INPUTS'!$E$17:$E$31,MATCH(L$23,'01_INPUTS'!$B$17:$B$31,0)))</f>
        <v>0</v>
      </c>
      <c r="M157" s="61">
        <f>IF(INDEX('01_INPUTS'!$E$17:$E$31,MATCH(M$23,'01_INPUTS'!$B$17:$B$31,0))=0,IF(SUMIFS($AD$3:$AD$870,$AC$3:$AC$870,M$23,$AE$3:$AE$870,"&lt;="&amp;$B157,$AF$3:$AF$870,"&gt;="&amp;$B157)=0,0,9.99),SUMIFS($AD$3:$AD$870,$AC$3:$AC$870,M$23,$AE$3:$AE$870,"&lt;="&amp;$B157,$AF$3:$AF$870,"&gt;="&amp;$B157)/INDEX('01_INPUTS'!$E$17:$E$31,MATCH(M$23,'01_INPUTS'!$B$17:$B$31,0)))</f>
        <v>0</v>
      </c>
      <c r="N157" s="61">
        <f>IF(INDEX('01_INPUTS'!$E$17:$E$31,MATCH(N$23,'01_INPUTS'!$B$17:$B$31,0))=0,IF(SUMIFS($AD$3:$AD$870,$AC$3:$AC$870,N$23,$AE$3:$AE$870,"&lt;="&amp;$B157,$AF$3:$AF$870,"&gt;="&amp;$B157)=0,0,9.99),SUMIFS($AD$3:$AD$870,$AC$3:$AC$870,N$23,$AE$3:$AE$870,"&lt;="&amp;$B157,$AF$3:$AF$870,"&gt;="&amp;$B157)/INDEX('01_INPUTS'!$E$17:$E$31,MATCH(N$23,'01_INPUTS'!$B$17:$B$31,0)))</f>
        <v>0</v>
      </c>
      <c r="O157" s="61">
        <f>IF(INDEX('01_INPUTS'!$E$17:$E$31,MATCH(O$23,'01_INPUTS'!$B$17:$B$31,0))=0,IF(SUMIFS($AD$3:$AD$870,$AC$3:$AC$870,O$23,$AE$3:$AE$870,"&lt;="&amp;$B157,$AF$3:$AF$870,"&gt;="&amp;$B157)=0,0,9.99),SUMIFS($AD$3:$AD$870,$AC$3:$AC$870,O$23,$AE$3:$AE$870,"&lt;="&amp;$B157,$AF$3:$AF$870,"&gt;="&amp;$B157)/INDEX('01_INPUTS'!$E$17:$E$31,MATCH(O$23,'01_INPUTS'!$B$17:$B$31,0)))</f>
        <v>0</v>
      </c>
      <c r="P157" s="61">
        <f>IF(INDEX('01_INPUTS'!$E$17:$E$31,MATCH(P$23,'01_INPUTS'!$B$17:$B$31,0))=0,IF(SUMIFS($AD$3:$AD$870,$AC$3:$AC$870,P$23,$AE$3:$AE$870,"&lt;="&amp;$B157,$AF$3:$AF$870,"&gt;="&amp;$B157)=0,0,9.99),SUMIFS($AD$3:$AD$870,$AC$3:$AC$870,P$23,$AE$3:$AE$870,"&lt;="&amp;$B157,$AF$3:$AF$870,"&gt;="&amp;$B157)/INDEX('01_INPUTS'!$E$17:$E$31,MATCH(P$23,'01_INPUTS'!$B$17:$B$31,0)))</f>
        <v>0</v>
      </c>
      <c r="Q157" s="61">
        <f>IF(INDEX('01_INPUTS'!$E$17:$E$31,MATCH(Q$23,'01_INPUTS'!$B$17:$B$31,0))=0,IF(SUMIFS($AD$3:$AD$870,$AC$3:$AC$870,Q$23,$AE$3:$AE$870,"&lt;="&amp;$B157,$AF$3:$AF$870,"&gt;="&amp;$B157)=0,0,9.99),SUMIFS($AD$3:$AD$870,$AC$3:$AC$870,Q$23,$AE$3:$AE$870,"&lt;="&amp;$B157,$AF$3:$AF$870,"&gt;="&amp;$B157)/INDEX('01_INPUTS'!$E$17:$E$31,MATCH(Q$23,'01_INPUTS'!$B$17:$B$31,0)))</f>
        <v>0</v>
      </c>
      <c r="R157" s="61">
        <f>IF(INDEX('01_INPUTS'!$E$17:$E$31,MATCH(R$23,'01_INPUTS'!$B$17:$B$31,0))=0,IF(SUMIFS($AD$3:$AD$870,$AC$3:$AC$870,R$23,$AE$3:$AE$870,"&lt;="&amp;$B157,$AF$3:$AF$870,"&gt;="&amp;$B157)=0,0,9.99),SUMIFS($AD$3:$AD$870,$AC$3:$AC$870,R$23,$AE$3:$AE$870,"&lt;="&amp;$B157,$AF$3:$AF$870,"&gt;="&amp;$B157)/INDEX('01_INPUTS'!$E$17:$E$31,MATCH(R$23,'01_INPUTS'!$B$17:$B$31,0)))</f>
        <v>0</v>
      </c>
      <c r="S157">
        <f t="shared" si="19"/>
        <v>0</v>
      </c>
      <c r="T157">
        <f>SUM('01_INPUTS'!$E$17:$E$31)</f>
        <v>20</v>
      </c>
      <c r="U157" s="61">
        <f t="shared" si="20"/>
        <v>0</v>
      </c>
      <c r="V157">
        <f t="shared" si="21"/>
        <v>0</v>
      </c>
      <c r="W157" t="str">
        <f t="shared" si="22"/>
        <v>VERDE</v>
      </c>
      <c r="AA157" s="51" t="str">
        <f>'Sites Master'!$B$4</f>
        <v>Site 03</v>
      </c>
      <c r="AB157" s="51" t="str">
        <f>'Phase-Resource Allocation'!$B$94</f>
        <v>Training</v>
      </c>
      <c r="AC157" s="51" t="str">
        <f>'Phase-Resource Allocation'!$C$94</f>
        <v>Change Management Lead</v>
      </c>
      <c r="AD157" s="60">
        <f>'Phase-Resource Allocation'!$D$94</f>
        <v>1</v>
      </c>
      <c r="AE157" s="51">
        <f>IFERROR(INDEX('02_SCHEDULE'!$K$5:$K$124,MATCH(AA157&amp;"|"&amp;AB157,'02_SCHEDULE'!$M$5:$M$124,0)),0)</f>
        <v>9</v>
      </c>
      <c r="AF157" s="51">
        <f>IFERROR(INDEX('02_SCHEDULE'!$L$5:$L$124,MATCH(AA157&amp;"|"&amp;AB157,'02_SCHEDULE'!$M$5:$M$124,0)),0)</f>
        <v>10</v>
      </c>
      <c r="AG157" s="51">
        <f t="shared" si="18"/>
        <v>2</v>
      </c>
    </row>
    <row r="158" spans="2:33" x14ac:dyDescent="0.3">
      <c r="B158">
        <f>135</f>
        <v>135</v>
      </c>
      <c r="C158" s="55">
        <f>'01_INPUTS'!$C$7+(135-1)*7</f>
        <v>47189</v>
      </c>
      <c r="D158" s="61">
        <f>IF(INDEX('01_INPUTS'!$E$17:$E$31,MATCH(D$23,'01_INPUTS'!$B$17:$B$31,0))=0,IF(SUMIFS($AD$3:$AD$870,$AC$3:$AC$870,D$23,$AE$3:$AE$870,"&lt;="&amp;$B158,$AF$3:$AF$870,"&gt;="&amp;$B158)=0,0,9.99),SUMIFS($AD$3:$AD$870,$AC$3:$AC$870,D$23,$AE$3:$AE$870,"&lt;="&amp;$B158,$AF$3:$AF$870,"&gt;="&amp;$B158)/INDEX('01_INPUTS'!$E$17:$E$31,MATCH(D$23,'01_INPUTS'!$B$17:$B$31,0)))</f>
        <v>0</v>
      </c>
      <c r="E158" s="61">
        <f>IF(INDEX('01_INPUTS'!$E$17:$E$31,MATCH(E$23,'01_INPUTS'!$B$17:$B$31,0))=0,IF(SUMIFS($AD$3:$AD$870,$AC$3:$AC$870,E$23,$AE$3:$AE$870,"&lt;="&amp;$B158,$AF$3:$AF$870,"&gt;="&amp;$B158)=0,0,9.99),SUMIFS($AD$3:$AD$870,$AC$3:$AC$870,E$23,$AE$3:$AE$870,"&lt;="&amp;$B158,$AF$3:$AF$870,"&gt;="&amp;$B158)/INDEX('01_INPUTS'!$E$17:$E$31,MATCH(E$23,'01_INPUTS'!$B$17:$B$31,0)))</f>
        <v>0</v>
      </c>
      <c r="F158" s="61">
        <f>IF(INDEX('01_INPUTS'!$E$17:$E$31,MATCH(F$23,'01_INPUTS'!$B$17:$B$31,0))=0,IF(SUMIFS($AD$3:$AD$870,$AC$3:$AC$870,F$23,$AE$3:$AE$870,"&lt;="&amp;$B158,$AF$3:$AF$870,"&gt;="&amp;$B158)=0,0,9.99),SUMIFS($AD$3:$AD$870,$AC$3:$AC$870,F$23,$AE$3:$AE$870,"&lt;="&amp;$B158,$AF$3:$AF$870,"&gt;="&amp;$B158)/INDEX('01_INPUTS'!$E$17:$E$31,MATCH(F$23,'01_INPUTS'!$B$17:$B$31,0)))</f>
        <v>0</v>
      </c>
      <c r="G158" s="61">
        <f>IF(INDEX('01_INPUTS'!$E$17:$E$31,MATCH(G$23,'01_INPUTS'!$B$17:$B$31,0))=0,IF(SUMIFS($AD$3:$AD$870,$AC$3:$AC$870,G$23,$AE$3:$AE$870,"&lt;="&amp;$B158,$AF$3:$AF$870,"&gt;="&amp;$B158)=0,0,9.99),SUMIFS($AD$3:$AD$870,$AC$3:$AC$870,G$23,$AE$3:$AE$870,"&lt;="&amp;$B158,$AF$3:$AF$870,"&gt;="&amp;$B158)/INDEX('01_INPUTS'!$E$17:$E$31,MATCH(G$23,'01_INPUTS'!$B$17:$B$31,0)))</f>
        <v>0</v>
      </c>
      <c r="H158" s="61">
        <f>IF(INDEX('01_INPUTS'!$E$17:$E$31,MATCH(H$23,'01_INPUTS'!$B$17:$B$31,0))=0,IF(SUMIFS($AD$3:$AD$870,$AC$3:$AC$870,H$23,$AE$3:$AE$870,"&lt;="&amp;$B158,$AF$3:$AF$870,"&gt;="&amp;$B158)=0,0,9.99),SUMIFS($AD$3:$AD$870,$AC$3:$AC$870,H$23,$AE$3:$AE$870,"&lt;="&amp;$B158,$AF$3:$AF$870,"&gt;="&amp;$B158)/INDEX('01_INPUTS'!$E$17:$E$31,MATCH(H$23,'01_INPUTS'!$B$17:$B$31,0)))</f>
        <v>0</v>
      </c>
      <c r="I158" s="61">
        <f>IF(INDEX('01_INPUTS'!$E$17:$E$31,MATCH(I$23,'01_INPUTS'!$B$17:$B$31,0))=0,IF(SUMIFS($AD$3:$AD$870,$AC$3:$AC$870,I$23,$AE$3:$AE$870,"&lt;="&amp;$B158,$AF$3:$AF$870,"&gt;="&amp;$B158)=0,0,9.99),SUMIFS($AD$3:$AD$870,$AC$3:$AC$870,I$23,$AE$3:$AE$870,"&lt;="&amp;$B158,$AF$3:$AF$870,"&gt;="&amp;$B158)/INDEX('01_INPUTS'!$E$17:$E$31,MATCH(I$23,'01_INPUTS'!$B$17:$B$31,0)))</f>
        <v>0</v>
      </c>
      <c r="J158" s="61">
        <f>IF(INDEX('01_INPUTS'!$E$17:$E$31,MATCH(J$23,'01_INPUTS'!$B$17:$B$31,0))=0,IF(SUMIFS($AD$3:$AD$870,$AC$3:$AC$870,J$23,$AE$3:$AE$870,"&lt;="&amp;$B158,$AF$3:$AF$870,"&gt;="&amp;$B158)=0,0,9.99),SUMIFS($AD$3:$AD$870,$AC$3:$AC$870,J$23,$AE$3:$AE$870,"&lt;="&amp;$B158,$AF$3:$AF$870,"&gt;="&amp;$B158)/INDEX('01_INPUTS'!$E$17:$E$31,MATCH(J$23,'01_INPUTS'!$B$17:$B$31,0)))</f>
        <v>0</v>
      </c>
      <c r="K158" s="61">
        <f>IF(INDEX('01_INPUTS'!$E$17:$E$31,MATCH(K$23,'01_INPUTS'!$B$17:$B$31,0))=0,IF(SUMIFS($AD$3:$AD$870,$AC$3:$AC$870,K$23,$AE$3:$AE$870,"&lt;="&amp;$B158,$AF$3:$AF$870,"&gt;="&amp;$B158)=0,0,9.99),SUMIFS($AD$3:$AD$870,$AC$3:$AC$870,K$23,$AE$3:$AE$870,"&lt;="&amp;$B158,$AF$3:$AF$870,"&gt;="&amp;$B158)/INDEX('01_INPUTS'!$E$17:$E$31,MATCH(K$23,'01_INPUTS'!$B$17:$B$31,0)))</f>
        <v>0</v>
      </c>
      <c r="L158" s="61">
        <f>IF(INDEX('01_INPUTS'!$E$17:$E$31,MATCH(L$23,'01_INPUTS'!$B$17:$B$31,0))=0,IF(SUMIFS($AD$3:$AD$870,$AC$3:$AC$870,L$23,$AE$3:$AE$870,"&lt;="&amp;$B158,$AF$3:$AF$870,"&gt;="&amp;$B158)=0,0,9.99),SUMIFS($AD$3:$AD$870,$AC$3:$AC$870,L$23,$AE$3:$AE$870,"&lt;="&amp;$B158,$AF$3:$AF$870,"&gt;="&amp;$B158)/INDEX('01_INPUTS'!$E$17:$E$31,MATCH(L$23,'01_INPUTS'!$B$17:$B$31,0)))</f>
        <v>0</v>
      </c>
      <c r="M158" s="61">
        <f>IF(INDEX('01_INPUTS'!$E$17:$E$31,MATCH(M$23,'01_INPUTS'!$B$17:$B$31,0))=0,IF(SUMIFS($AD$3:$AD$870,$AC$3:$AC$870,M$23,$AE$3:$AE$870,"&lt;="&amp;$B158,$AF$3:$AF$870,"&gt;="&amp;$B158)=0,0,9.99),SUMIFS($AD$3:$AD$870,$AC$3:$AC$870,M$23,$AE$3:$AE$870,"&lt;="&amp;$B158,$AF$3:$AF$870,"&gt;="&amp;$B158)/INDEX('01_INPUTS'!$E$17:$E$31,MATCH(M$23,'01_INPUTS'!$B$17:$B$31,0)))</f>
        <v>0</v>
      </c>
      <c r="N158" s="61">
        <f>IF(INDEX('01_INPUTS'!$E$17:$E$31,MATCH(N$23,'01_INPUTS'!$B$17:$B$31,0))=0,IF(SUMIFS($AD$3:$AD$870,$AC$3:$AC$870,N$23,$AE$3:$AE$870,"&lt;="&amp;$B158,$AF$3:$AF$870,"&gt;="&amp;$B158)=0,0,9.99),SUMIFS($AD$3:$AD$870,$AC$3:$AC$870,N$23,$AE$3:$AE$870,"&lt;="&amp;$B158,$AF$3:$AF$870,"&gt;="&amp;$B158)/INDEX('01_INPUTS'!$E$17:$E$31,MATCH(N$23,'01_INPUTS'!$B$17:$B$31,0)))</f>
        <v>0</v>
      </c>
      <c r="O158" s="61">
        <f>IF(INDEX('01_INPUTS'!$E$17:$E$31,MATCH(O$23,'01_INPUTS'!$B$17:$B$31,0))=0,IF(SUMIFS($AD$3:$AD$870,$AC$3:$AC$870,O$23,$AE$3:$AE$870,"&lt;="&amp;$B158,$AF$3:$AF$870,"&gt;="&amp;$B158)=0,0,9.99),SUMIFS($AD$3:$AD$870,$AC$3:$AC$870,O$23,$AE$3:$AE$870,"&lt;="&amp;$B158,$AF$3:$AF$870,"&gt;="&amp;$B158)/INDEX('01_INPUTS'!$E$17:$E$31,MATCH(O$23,'01_INPUTS'!$B$17:$B$31,0)))</f>
        <v>0</v>
      </c>
      <c r="P158" s="61">
        <f>IF(INDEX('01_INPUTS'!$E$17:$E$31,MATCH(P$23,'01_INPUTS'!$B$17:$B$31,0))=0,IF(SUMIFS($AD$3:$AD$870,$AC$3:$AC$870,P$23,$AE$3:$AE$870,"&lt;="&amp;$B158,$AF$3:$AF$870,"&gt;="&amp;$B158)=0,0,9.99),SUMIFS($AD$3:$AD$870,$AC$3:$AC$870,P$23,$AE$3:$AE$870,"&lt;="&amp;$B158,$AF$3:$AF$870,"&gt;="&amp;$B158)/INDEX('01_INPUTS'!$E$17:$E$31,MATCH(P$23,'01_INPUTS'!$B$17:$B$31,0)))</f>
        <v>0</v>
      </c>
      <c r="Q158" s="61">
        <f>IF(INDEX('01_INPUTS'!$E$17:$E$31,MATCH(Q$23,'01_INPUTS'!$B$17:$B$31,0))=0,IF(SUMIFS($AD$3:$AD$870,$AC$3:$AC$870,Q$23,$AE$3:$AE$870,"&lt;="&amp;$B158,$AF$3:$AF$870,"&gt;="&amp;$B158)=0,0,9.99),SUMIFS($AD$3:$AD$870,$AC$3:$AC$870,Q$23,$AE$3:$AE$870,"&lt;="&amp;$B158,$AF$3:$AF$870,"&gt;="&amp;$B158)/INDEX('01_INPUTS'!$E$17:$E$31,MATCH(Q$23,'01_INPUTS'!$B$17:$B$31,0)))</f>
        <v>0</v>
      </c>
      <c r="R158" s="61">
        <f>IF(INDEX('01_INPUTS'!$E$17:$E$31,MATCH(R$23,'01_INPUTS'!$B$17:$B$31,0))=0,IF(SUMIFS($AD$3:$AD$870,$AC$3:$AC$870,R$23,$AE$3:$AE$870,"&lt;="&amp;$B158,$AF$3:$AF$870,"&gt;="&amp;$B158)=0,0,9.99),SUMIFS($AD$3:$AD$870,$AC$3:$AC$870,R$23,$AE$3:$AE$870,"&lt;="&amp;$B158,$AF$3:$AF$870,"&gt;="&amp;$B158)/INDEX('01_INPUTS'!$E$17:$E$31,MATCH(R$23,'01_INPUTS'!$B$17:$B$31,0)))</f>
        <v>0</v>
      </c>
      <c r="S158">
        <f t="shared" si="19"/>
        <v>0</v>
      </c>
      <c r="T158">
        <f>SUM('01_INPUTS'!$E$17:$E$31)</f>
        <v>20</v>
      </c>
      <c r="U158" s="61">
        <f t="shared" si="20"/>
        <v>0</v>
      </c>
      <c r="V158">
        <f t="shared" si="21"/>
        <v>0</v>
      </c>
      <c r="W158" t="str">
        <f t="shared" si="22"/>
        <v>VERDE</v>
      </c>
      <c r="AA158" s="51" t="str">
        <f>'Sites Master'!$B$4</f>
        <v>Site 03</v>
      </c>
      <c r="AB158" s="51" t="str">
        <f>'Phase-Resource Allocation'!$B$95</f>
        <v>Training</v>
      </c>
      <c r="AC158" s="51" t="str">
        <f>'Phase-Resource Allocation'!$C$95</f>
        <v>Trainers</v>
      </c>
      <c r="AD158" s="60">
        <f>'Phase-Resource Allocation'!$D$95</f>
        <v>1</v>
      </c>
      <c r="AE158" s="51">
        <f>IFERROR(INDEX('02_SCHEDULE'!$K$5:$K$124,MATCH(AA158&amp;"|"&amp;AB158,'02_SCHEDULE'!$M$5:$M$124,0)),0)</f>
        <v>9</v>
      </c>
      <c r="AF158" s="51">
        <f>IFERROR(INDEX('02_SCHEDULE'!$L$5:$L$124,MATCH(AA158&amp;"|"&amp;AB158,'02_SCHEDULE'!$M$5:$M$124,0)),0)</f>
        <v>10</v>
      </c>
      <c r="AG158" s="51">
        <f t="shared" si="18"/>
        <v>2</v>
      </c>
    </row>
    <row r="159" spans="2:33" x14ac:dyDescent="0.3">
      <c r="B159">
        <f>136</f>
        <v>136</v>
      </c>
      <c r="C159" s="55">
        <f>'01_INPUTS'!$C$7+(136-1)*7</f>
        <v>47196</v>
      </c>
      <c r="D159" s="61">
        <f>IF(INDEX('01_INPUTS'!$E$17:$E$31,MATCH(D$23,'01_INPUTS'!$B$17:$B$31,0))=0,IF(SUMIFS($AD$3:$AD$870,$AC$3:$AC$870,D$23,$AE$3:$AE$870,"&lt;="&amp;$B159,$AF$3:$AF$870,"&gt;="&amp;$B159)=0,0,9.99),SUMIFS($AD$3:$AD$870,$AC$3:$AC$870,D$23,$AE$3:$AE$870,"&lt;="&amp;$B159,$AF$3:$AF$870,"&gt;="&amp;$B159)/INDEX('01_INPUTS'!$E$17:$E$31,MATCH(D$23,'01_INPUTS'!$B$17:$B$31,0)))</f>
        <v>0</v>
      </c>
      <c r="E159" s="61">
        <f>IF(INDEX('01_INPUTS'!$E$17:$E$31,MATCH(E$23,'01_INPUTS'!$B$17:$B$31,0))=0,IF(SUMIFS($AD$3:$AD$870,$AC$3:$AC$870,E$23,$AE$3:$AE$870,"&lt;="&amp;$B159,$AF$3:$AF$870,"&gt;="&amp;$B159)=0,0,9.99),SUMIFS($AD$3:$AD$870,$AC$3:$AC$870,E$23,$AE$3:$AE$870,"&lt;="&amp;$B159,$AF$3:$AF$870,"&gt;="&amp;$B159)/INDEX('01_INPUTS'!$E$17:$E$31,MATCH(E$23,'01_INPUTS'!$B$17:$B$31,0)))</f>
        <v>0</v>
      </c>
      <c r="F159" s="61">
        <f>IF(INDEX('01_INPUTS'!$E$17:$E$31,MATCH(F$23,'01_INPUTS'!$B$17:$B$31,0))=0,IF(SUMIFS($AD$3:$AD$870,$AC$3:$AC$870,F$23,$AE$3:$AE$870,"&lt;="&amp;$B159,$AF$3:$AF$870,"&gt;="&amp;$B159)=0,0,9.99),SUMIFS($AD$3:$AD$870,$AC$3:$AC$870,F$23,$AE$3:$AE$870,"&lt;="&amp;$B159,$AF$3:$AF$870,"&gt;="&amp;$B159)/INDEX('01_INPUTS'!$E$17:$E$31,MATCH(F$23,'01_INPUTS'!$B$17:$B$31,0)))</f>
        <v>0</v>
      </c>
      <c r="G159" s="61">
        <f>IF(INDEX('01_INPUTS'!$E$17:$E$31,MATCH(G$23,'01_INPUTS'!$B$17:$B$31,0))=0,IF(SUMIFS($AD$3:$AD$870,$AC$3:$AC$870,G$23,$AE$3:$AE$870,"&lt;="&amp;$B159,$AF$3:$AF$870,"&gt;="&amp;$B159)=0,0,9.99),SUMIFS($AD$3:$AD$870,$AC$3:$AC$870,G$23,$AE$3:$AE$870,"&lt;="&amp;$B159,$AF$3:$AF$870,"&gt;="&amp;$B159)/INDEX('01_INPUTS'!$E$17:$E$31,MATCH(G$23,'01_INPUTS'!$B$17:$B$31,0)))</f>
        <v>0</v>
      </c>
      <c r="H159" s="61">
        <f>IF(INDEX('01_INPUTS'!$E$17:$E$31,MATCH(H$23,'01_INPUTS'!$B$17:$B$31,0))=0,IF(SUMIFS($AD$3:$AD$870,$AC$3:$AC$870,H$23,$AE$3:$AE$870,"&lt;="&amp;$B159,$AF$3:$AF$870,"&gt;="&amp;$B159)=0,0,9.99),SUMIFS($AD$3:$AD$870,$AC$3:$AC$870,H$23,$AE$3:$AE$870,"&lt;="&amp;$B159,$AF$3:$AF$870,"&gt;="&amp;$B159)/INDEX('01_INPUTS'!$E$17:$E$31,MATCH(H$23,'01_INPUTS'!$B$17:$B$31,0)))</f>
        <v>0</v>
      </c>
      <c r="I159" s="61">
        <f>IF(INDEX('01_INPUTS'!$E$17:$E$31,MATCH(I$23,'01_INPUTS'!$B$17:$B$31,0))=0,IF(SUMIFS($AD$3:$AD$870,$AC$3:$AC$870,I$23,$AE$3:$AE$870,"&lt;="&amp;$B159,$AF$3:$AF$870,"&gt;="&amp;$B159)=0,0,9.99),SUMIFS($AD$3:$AD$870,$AC$3:$AC$870,I$23,$AE$3:$AE$870,"&lt;="&amp;$B159,$AF$3:$AF$870,"&gt;="&amp;$B159)/INDEX('01_INPUTS'!$E$17:$E$31,MATCH(I$23,'01_INPUTS'!$B$17:$B$31,0)))</f>
        <v>0</v>
      </c>
      <c r="J159" s="61">
        <f>IF(INDEX('01_INPUTS'!$E$17:$E$31,MATCH(J$23,'01_INPUTS'!$B$17:$B$31,0))=0,IF(SUMIFS($AD$3:$AD$870,$AC$3:$AC$870,J$23,$AE$3:$AE$870,"&lt;="&amp;$B159,$AF$3:$AF$870,"&gt;="&amp;$B159)=0,0,9.99),SUMIFS($AD$3:$AD$870,$AC$3:$AC$870,J$23,$AE$3:$AE$870,"&lt;="&amp;$B159,$AF$3:$AF$870,"&gt;="&amp;$B159)/INDEX('01_INPUTS'!$E$17:$E$31,MATCH(J$23,'01_INPUTS'!$B$17:$B$31,0)))</f>
        <v>0</v>
      </c>
      <c r="K159" s="61">
        <f>IF(INDEX('01_INPUTS'!$E$17:$E$31,MATCH(K$23,'01_INPUTS'!$B$17:$B$31,0))=0,IF(SUMIFS($AD$3:$AD$870,$AC$3:$AC$870,K$23,$AE$3:$AE$870,"&lt;="&amp;$B159,$AF$3:$AF$870,"&gt;="&amp;$B159)=0,0,9.99),SUMIFS($AD$3:$AD$870,$AC$3:$AC$870,K$23,$AE$3:$AE$870,"&lt;="&amp;$B159,$AF$3:$AF$870,"&gt;="&amp;$B159)/INDEX('01_INPUTS'!$E$17:$E$31,MATCH(K$23,'01_INPUTS'!$B$17:$B$31,0)))</f>
        <v>0</v>
      </c>
      <c r="L159" s="61">
        <f>IF(INDEX('01_INPUTS'!$E$17:$E$31,MATCH(L$23,'01_INPUTS'!$B$17:$B$31,0))=0,IF(SUMIFS($AD$3:$AD$870,$AC$3:$AC$870,L$23,$AE$3:$AE$870,"&lt;="&amp;$B159,$AF$3:$AF$870,"&gt;="&amp;$B159)=0,0,9.99),SUMIFS($AD$3:$AD$870,$AC$3:$AC$870,L$23,$AE$3:$AE$870,"&lt;="&amp;$B159,$AF$3:$AF$870,"&gt;="&amp;$B159)/INDEX('01_INPUTS'!$E$17:$E$31,MATCH(L$23,'01_INPUTS'!$B$17:$B$31,0)))</f>
        <v>0</v>
      </c>
      <c r="M159" s="61">
        <f>IF(INDEX('01_INPUTS'!$E$17:$E$31,MATCH(M$23,'01_INPUTS'!$B$17:$B$31,0))=0,IF(SUMIFS($AD$3:$AD$870,$AC$3:$AC$870,M$23,$AE$3:$AE$870,"&lt;="&amp;$B159,$AF$3:$AF$870,"&gt;="&amp;$B159)=0,0,9.99),SUMIFS($AD$3:$AD$870,$AC$3:$AC$870,M$23,$AE$3:$AE$870,"&lt;="&amp;$B159,$AF$3:$AF$870,"&gt;="&amp;$B159)/INDEX('01_INPUTS'!$E$17:$E$31,MATCH(M$23,'01_INPUTS'!$B$17:$B$31,0)))</f>
        <v>0</v>
      </c>
      <c r="N159" s="61">
        <f>IF(INDEX('01_INPUTS'!$E$17:$E$31,MATCH(N$23,'01_INPUTS'!$B$17:$B$31,0))=0,IF(SUMIFS($AD$3:$AD$870,$AC$3:$AC$870,N$23,$AE$3:$AE$870,"&lt;="&amp;$B159,$AF$3:$AF$870,"&gt;="&amp;$B159)=0,0,9.99),SUMIFS($AD$3:$AD$870,$AC$3:$AC$870,N$23,$AE$3:$AE$870,"&lt;="&amp;$B159,$AF$3:$AF$870,"&gt;="&amp;$B159)/INDEX('01_INPUTS'!$E$17:$E$31,MATCH(N$23,'01_INPUTS'!$B$17:$B$31,0)))</f>
        <v>0</v>
      </c>
      <c r="O159" s="61">
        <f>IF(INDEX('01_INPUTS'!$E$17:$E$31,MATCH(O$23,'01_INPUTS'!$B$17:$B$31,0))=0,IF(SUMIFS($AD$3:$AD$870,$AC$3:$AC$870,O$23,$AE$3:$AE$870,"&lt;="&amp;$B159,$AF$3:$AF$870,"&gt;="&amp;$B159)=0,0,9.99),SUMIFS($AD$3:$AD$870,$AC$3:$AC$870,O$23,$AE$3:$AE$870,"&lt;="&amp;$B159,$AF$3:$AF$870,"&gt;="&amp;$B159)/INDEX('01_INPUTS'!$E$17:$E$31,MATCH(O$23,'01_INPUTS'!$B$17:$B$31,0)))</f>
        <v>0</v>
      </c>
      <c r="P159" s="61">
        <f>IF(INDEX('01_INPUTS'!$E$17:$E$31,MATCH(P$23,'01_INPUTS'!$B$17:$B$31,0))=0,IF(SUMIFS($AD$3:$AD$870,$AC$3:$AC$870,P$23,$AE$3:$AE$870,"&lt;="&amp;$B159,$AF$3:$AF$870,"&gt;="&amp;$B159)=0,0,9.99),SUMIFS($AD$3:$AD$870,$AC$3:$AC$870,P$23,$AE$3:$AE$870,"&lt;="&amp;$B159,$AF$3:$AF$870,"&gt;="&amp;$B159)/INDEX('01_INPUTS'!$E$17:$E$31,MATCH(P$23,'01_INPUTS'!$B$17:$B$31,0)))</f>
        <v>0</v>
      </c>
      <c r="Q159" s="61">
        <f>IF(INDEX('01_INPUTS'!$E$17:$E$31,MATCH(Q$23,'01_INPUTS'!$B$17:$B$31,0))=0,IF(SUMIFS($AD$3:$AD$870,$AC$3:$AC$870,Q$23,$AE$3:$AE$870,"&lt;="&amp;$B159,$AF$3:$AF$870,"&gt;="&amp;$B159)=0,0,9.99),SUMIFS($AD$3:$AD$870,$AC$3:$AC$870,Q$23,$AE$3:$AE$870,"&lt;="&amp;$B159,$AF$3:$AF$870,"&gt;="&amp;$B159)/INDEX('01_INPUTS'!$E$17:$E$31,MATCH(Q$23,'01_INPUTS'!$B$17:$B$31,0)))</f>
        <v>0</v>
      </c>
      <c r="R159" s="61">
        <f>IF(INDEX('01_INPUTS'!$E$17:$E$31,MATCH(R$23,'01_INPUTS'!$B$17:$B$31,0))=0,IF(SUMIFS($AD$3:$AD$870,$AC$3:$AC$870,R$23,$AE$3:$AE$870,"&lt;="&amp;$B159,$AF$3:$AF$870,"&gt;="&amp;$B159)=0,0,9.99),SUMIFS($AD$3:$AD$870,$AC$3:$AC$870,R$23,$AE$3:$AE$870,"&lt;="&amp;$B159,$AF$3:$AF$870,"&gt;="&amp;$B159)/INDEX('01_INPUTS'!$E$17:$E$31,MATCH(R$23,'01_INPUTS'!$B$17:$B$31,0)))</f>
        <v>0</v>
      </c>
      <c r="S159">
        <f t="shared" si="19"/>
        <v>0</v>
      </c>
      <c r="T159">
        <f>SUM('01_INPUTS'!$E$17:$E$31)</f>
        <v>20</v>
      </c>
      <c r="U159" s="61">
        <f t="shared" si="20"/>
        <v>0</v>
      </c>
      <c r="V159">
        <f t="shared" si="21"/>
        <v>0</v>
      </c>
      <c r="W159" t="str">
        <f t="shared" si="22"/>
        <v>VERDE</v>
      </c>
      <c r="AA159" s="51" t="str">
        <f>'Sites Master'!$B$4</f>
        <v>Site 03</v>
      </c>
      <c r="AB159" s="51" t="str">
        <f>'Phase-Resource Allocation'!$B$96</f>
        <v>DIALT</v>
      </c>
      <c r="AC159" s="51" t="str">
        <f>'Phase-Resource Allocation'!$C$96</f>
        <v>Solution Architect</v>
      </c>
      <c r="AD159" s="60">
        <f>'Phase-Resource Allocation'!$D$96</f>
        <v>0.5</v>
      </c>
      <c r="AE159" s="51">
        <f>IFERROR(INDEX('02_SCHEDULE'!$K$5:$K$124,MATCH(AA159&amp;"|"&amp;AB159,'02_SCHEDULE'!$M$5:$M$124,0)),0)</f>
        <v>11</v>
      </c>
      <c r="AF159" s="51">
        <f>IFERROR(INDEX('02_SCHEDULE'!$L$5:$L$124,MATCH(AA159&amp;"|"&amp;AB159,'02_SCHEDULE'!$M$5:$M$124,0)),0)</f>
        <v>11</v>
      </c>
      <c r="AG159" s="51">
        <f t="shared" si="18"/>
        <v>0.5</v>
      </c>
    </row>
    <row r="160" spans="2:33" x14ac:dyDescent="0.3">
      <c r="B160">
        <f>137</f>
        <v>137</v>
      </c>
      <c r="C160" s="55">
        <f>'01_INPUTS'!$C$7+(137-1)*7</f>
        <v>47203</v>
      </c>
      <c r="D160" s="61">
        <f>IF(INDEX('01_INPUTS'!$E$17:$E$31,MATCH(D$23,'01_INPUTS'!$B$17:$B$31,0))=0,IF(SUMIFS($AD$3:$AD$870,$AC$3:$AC$870,D$23,$AE$3:$AE$870,"&lt;="&amp;$B160,$AF$3:$AF$870,"&gt;="&amp;$B160)=0,0,9.99),SUMIFS($AD$3:$AD$870,$AC$3:$AC$870,D$23,$AE$3:$AE$870,"&lt;="&amp;$B160,$AF$3:$AF$870,"&gt;="&amp;$B160)/INDEX('01_INPUTS'!$E$17:$E$31,MATCH(D$23,'01_INPUTS'!$B$17:$B$31,0)))</f>
        <v>0</v>
      </c>
      <c r="E160" s="61">
        <f>IF(INDEX('01_INPUTS'!$E$17:$E$31,MATCH(E$23,'01_INPUTS'!$B$17:$B$31,0))=0,IF(SUMIFS($AD$3:$AD$870,$AC$3:$AC$870,E$23,$AE$3:$AE$870,"&lt;="&amp;$B160,$AF$3:$AF$870,"&gt;="&amp;$B160)=0,0,9.99),SUMIFS($AD$3:$AD$870,$AC$3:$AC$870,E$23,$AE$3:$AE$870,"&lt;="&amp;$B160,$AF$3:$AF$870,"&gt;="&amp;$B160)/INDEX('01_INPUTS'!$E$17:$E$31,MATCH(E$23,'01_INPUTS'!$B$17:$B$31,0)))</f>
        <v>0</v>
      </c>
      <c r="F160" s="61">
        <f>IF(INDEX('01_INPUTS'!$E$17:$E$31,MATCH(F$23,'01_INPUTS'!$B$17:$B$31,0))=0,IF(SUMIFS($AD$3:$AD$870,$AC$3:$AC$870,F$23,$AE$3:$AE$870,"&lt;="&amp;$B160,$AF$3:$AF$870,"&gt;="&amp;$B160)=0,0,9.99),SUMIFS($AD$3:$AD$870,$AC$3:$AC$870,F$23,$AE$3:$AE$870,"&lt;="&amp;$B160,$AF$3:$AF$870,"&gt;="&amp;$B160)/INDEX('01_INPUTS'!$E$17:$E$31,MATCH(F$23,'01_INPUTS'!$B$17:$B$31,0)))</f>
        <v>0</v>
      </c>
      <c r="G160" s="61">
        <f>IF(INDEX('01_INPUTS'!$E$17:$E$31,MATCH(G$23,'01_INPUTS'!$B$17:$B$31,0))=0,IF(SUMIFS($AD$3:$AD$870,$AC$3:$AC$870,G$23,$AE$3:$AE$870,"&lt;="&amp;$B160,$AF$3:$AF$870,"&gt;="&amp;$B160)=0,0,9.99),SUMIFS($AD$3:$AD$870,$AC$3:$AC$870,G$23,$AE$3:$AE$870,"&lt;="&amp;$B160,$AF$3:$AF$870,"&gt;="&amp;$B160)/INDEX('01_INPUTS'!$E$17:$E$31,MATCH(G$23,'01_INPUTS'!$B$17:$B$31,0)))</f>
        <v>0</v>
      </c>
      <c r="H160" s="61">
        <f>IF(INDEX('01_INPUTS'!$E$17:$E$31,MATCH(H$23,'01_INPUTS'!$B$17:$B$31,0))=0,IF(SUMIFS($AD$3:$AD$870,$AC$3:$AC$870,H$23,$AE$3:$AE$870,"&lt;="&amp;$B160,$AF$3:$AF$870,"&gt;="&amp;$B160)=0,0,9.99),SUMIFS($AD$3:$AD$870,$AC$3:$AC$870,H$23,$AE$3:$AE$870,"&lt;="&amp;$B160,$AF$3:$AF$870,"&gt;="&amp;$B160)/INDEX('01_INPUTS'!$E$17:$E$31,MATCH(H$23,'01_INPUTS'!$B$17:$B$31,0)))</f>
        <v>0</v>
      </c>
      <c r="I160" s="61">
        <f>IF(INDEX('01_INPUTS'!$E$17:$E$31,MATCH(I$23,'01_INPUTS'!$B$17:$B$31,0))=0,IF(SUMIFS($AD$3:$AD$870,$AC$3:$AC$870,I$23,$AE$3:$AE$870,"&lt;="&amp;$B160,$AF$3:$AF$870,"&gt;="&amp;$B160)=0,0,9.99),SUMIFS($AD$3:$AD$870,$AC$3:$AC$870,I$23,$AE$3:$AE$870,"&lt;="&amp;$B160,$AF$3:$AF$870,"&gt;="&amp;$B160)/INDEX('01_INPUTS'!$E$17:$E$31,MATCH(I$23,'01_INPUTS'!$B$17:$B$31,0)))</f>
        <v>0</v>
      </c>
      <c r="J160" s="61">
        <f>IF(INDEX('01_INPUTS'!$E$17:$E$31,MATCH(J$23,'01_INPUTS'!$B$17:$B$31,0))=0,IF(SUMIFS($AD$3:$AD$870,$AC$3:$AC$870,J$23,$AE$3:$AE$870,"&lt;="&amp;$B160,$AF$3:$AF$870,"&gt;="&amp;$B160)=0,0,9.99),SUMIFS($AD$3:$AD$870,$AC$3:$AC$870,J$23,$AE$3:$AE$870,"&lt;="&amp;$B160,$AF$3:$AF$870,"&gt;="&amp;$B160)/INDEX('01_INPUTS'!$E$17:$E$31,MATCH(J$23,'01_INPUTS'!$B$17:$B$31,0)))</f>
        <v>0</v>
      </c>
      <c r="K160" s="61">
        <f>IF(INDEX('01_INPUTS'!$E$17:$E$31,MATCH(K$23,'01_INPUTS'!$B$17:$B$31,0))=0,IF(SUMIFS($AD$3:$AD$870,$AC$3:$AC$870,K$23,$AE$3:$AE$870,"&lt;="&amp;$B160,$AF$3:$AF$870,"&gt;="&amp;$B160)=0,0,9.99),SUMIFS($AD$3:$AD$870,$AC$3:$AC$870,K$23,$AE$3:$AE$870,"&lt;="&amp;$B160,$AF$3:$AF$870,"&gt;="&amp;$B160)/INDEX('01_INPUTS'!$E$17:$E$31,MATCH(K$23,'01_INPUTS'!$B$17:$B$31,0)))</f>
        <v>0</v>
      </c>
      <c r="L160" s="61">
        <f>IF(INDEX('01_INPUTS'!$E$17:$E$31,MATCH(L$23,'01_INPUTS'!$B$17:$B$31,0))=0,IF(SUMIFS($AD$3:$AD$870,$AC$3:$AC$870,L$23,$AE$3:$AE$870,"&lt;="&amp;$B160,$AF$3:$AF$870,"&gt;="&amp;$B160)=0,0,9.99),SUMIFS($AD$3:$AD$870,$AC$3:$AC$870,L$23,$AE$3:$AE$870,"&lt;="&amp;$B160,$AF$3:$AF$870,"&gt;="&amp;$B160)/INDEX('01_INPUTS'!$E$17:$E$31,MATCH(L$23,'01_INPUTS'!$B$17:$B$31,0)))</f>
        <v>0</v>
      </c>
      <c r="M160" s="61">
        <f>IF(INDEX('01_INPUTS'!$E$17:$E$31,MATCH(M$23,'01_INPUTS'!$B$17:$B$31,0))=0,IF(SUMIFS($AD$3:$AD$870,$AC$3:$AC$870,M$23,$AE$3:$AE$870,"&lt;="&amp;$B160,$AF$3:$AF$870,"&gt;="&amp;$B160)=0,0,9.99),SUMIFS($AD$3:$AD$870,$AC$3:$AC$870,M$23,$AE$3:$AE$870,"&lt;="&amp;$B160,$AF$3:$AF$870,"&gt;="&amp;$B160)/INDEX('01_INPUTS'!$E$17:$E$31,MATCH(M$23,'01_INPUTS'!$B$17:$B$31,0)))</f>
        <v>0</v>
      </c>
      <c r="N160" s="61">
        <f>IF(INDEX('01_INPUTS'!$E$17:$E$31,MATCH(N$23,'01_INPUTS'!$B$17:$B$31,0))=0,IF(SUMIFS($AD$3:$AD$870,$AC$3:$AC$870,N$23,$AE$3:$AE$870,"&lt;="&amp;$B160,$AF$3:$AF$870,"&gt;="&amp;$B160)=0,0,9.99),SUMIFS($AD$3:$AD$870,$AC$3:$AC$870,N$23,$AE$3:$AE$870,"&lt;="&amp;$B160,$AF$3:$AF$870,"&gt;="&amp;$B160)/INDEX('01_INPUTS'!$E$17:$E$31,MATCH(N$23,'01_INPUTS'!$B$17:$B$31,0)))</f>
        <v>0</v>
      </c>
      <c r="O160" s="61">
        <f>IF(INDEX('01_INPUTS'!$E$17:$E$31,MATCH(O$23,'01_INPUTS'!$B$17:$B$31,0))=0,IF(SUMIFS($AD$3:$AD$870,$AC$3:$AC$870,O$23,$AE$3:$AE$870,"&lt;="&amp;$B160,$AF$3:$AF$870,"&gt;="&amp;$B160)=0,0,9.99),SUMIFS($AD$3:$AD$870,$AC$3:$AC$870,O$23,$AE$3:$AE$870,"&lt;="&amp;$B160,$AF$3:$AF$870,"&gt;="&amp;$B160)/INDEX('01_INPUTS'!$E$17:$E$31,MATCH(O$23,'01_INPUTS'!$B$17:$B$31,0)))</f>
        <v>0</v>
      </c>
      <c r="P160" s="61">
        <f>IF(INDEX('01_INPUTS'!$E$17:$E$31,MATCH(P$23,'01_INPUTS'!$B$17:$B$31,0))=0,IF(SUMIFS($AD$3:$AD$870,$AC$3:$AC$870,P$23,$AE$3:$AE$870,"&lt;="&amp;$B160,$AF$3:$AF$870,"&gt;="&amp;$B160)=0,0,9.99),SUMIFS($AD$3:$AD$870,$AC$3:$AC$870,P$23,$AE$3:$AE$870,"&lt;="&amp;$B160,$AF$3:$AF$870,"&gt;="&amp;$B160)/INDEX('01_INPUTS'!$E$17:$E$31,MATCH(P$23,'01_INPUTS'!$B$17:$B$31,0)))</f>
        <v>0</v>
      </c>
      <c r="Q160" s="61">
        <f>IF(INDEX('01_INPUTS'!$E$17:$E$31,MATCH(Q$23,'01_INPUTS'!$B$17:$B$31,0))=0,IF(SUMIFS($AD$3:$AD$870,$AC$3:$AC$870,Q$23,$AE$3:$AE$870,"&lt;="&amp;$B160,$AF$3:$AF$870,"&gt;="&amp;$B160)=0,0,9.99),SUMIFS($AD$3:$AD$870,$AC$3:$AC$870,Q$23,$AE$3:$AE$870,"&lt;="&amp;$B160,$AF$3:$AF$870,"&gt;="&amp;$B160)/INDEX('01_INPUTS'!$E$17:$E$31,MATCH(Q$23,'01_INPUTS'!$B$17:$B$31,0)))</f>
        <v>0</v>
      </c>
      <c r="R160" s="61">
        <f>IF(INDEX('01_INPUTS'!$E$17:$E$31,MATCH(R$23,'01_INPUTS'!$B$17:$B$31,0))=0,IF(SUMIFS($AD$3:$AD$870,$AC$3:$AC$870,R$23,$AE$3:$AE$870,"&lt;="&amp;$B160,$AF$3:$AF$870,"&gt;="&amp;$B160)=0,0,9.99),SUMIFS($AD$3:$AD$870,$AC$3:$AC$870,R$23,$AE$3:$AE$870,"&lt;="&amp;$B160,$AF$3:$AF$870,"&gt;="&amp;$B160)/INDEX('01_INPUTS'!$E$17:$E$31,MATCH(R$23,'01_INPUTS'!$B$17:$B$31,0)))</f>
        <v>0</v>
      </c>
      <c r="S160">
        <f t="shared" si="19"/>
        <v>0</v>
      </c>
      <c r="T160">
        <f>SUM('01_INPUTS'!$E$17:$E$31)</f>
        <v>20</v>
      </c>
      <c r="U160" s="61">
        <f t="shared" si="20"/>
        <v>0</v>
      </c>
      <c r="V160">
        <f t="shared" si="21"/>
        <v>0</v>
      </c>
      <c r="W160" t="str">
        <f t="shared" si="22"/>
        <v>VERDE</v>
      </c>
      <c r="AA160" s="51" t="str">
        <f>'Sites Master'!$B$4</f>
        <v>Site 03</v>
      </c>
      <c r="AB160" s="51" t="str">
        <f>'Phase-Resource Allocation'!$B$97</f>
        <v>DIALT</v>
      </c>
      <c r="AC160" s="51" t="str">
        <f>'Phase-Resource Allocation'!$C$97</f>
        <v>Change Management Lead</v>
      </c>
      <c r="AD160" s="60">
        <f>'Phase-Resource Allocation'!$D$97</f>
        <v>1</v>
      </c>
      <c r="AE160" s="51">
        <f>IFERROR(INDEX('02_SCHEDULE'!$K$5:$K$124,MATCH(AA160&amp;"|"&amp;AB160,'02_SCHEDULE'!$M$5:$M$124,0)),0)</f>
        <v>11</v>
      </c>
      <c r="AF160" s="51">
        <f>IFERROR(INDEX('02_SCHEDULE'!$L$5:$L$124,MATCH(AA160&amp;"|"&amp;AB160,'02_SCHEDULE'!$M$5:$M$124,0)),0)</f>
        <v>11</v>
      </c>
      <c r="AG160" s="51">
        <f t="shared" si="18"/>
        <v>1</v>
      </c>
    </row>
    <row r="161" spans="2:33" x14ac:dyDescent="0.3">
      <c r="B161">
        <f>138</f>
        <v>138</v>
      </c>
      <c r="C161" s="55">
        <f>'01_INPUTS'!$C$7+(138-1)*7</f>
        <v>47210</v>
      </c>
      <c r="D161" s="61">
        <f>IF(INDEX('01_INPUTS'!$E$17:$E$31,MATCH(D$23,'01_INPUTS'!$B$17:$B$31,0))=0,IF(SUMIFS($AD$3:$AD$870,$AC$3:$AC$870,D$23,$AE$3:$AE$870,"&lt;="&amp;$B161,$AF$3:$AF$870,"&gt;="&amp;$B161)=0,0,9.99),SUMIFS($AD$3:$AD$870,$AC$3:$AC$870,D$23,$AE$3:$AE$870,"&lt;="&amp;$B161,$AF$3:$AF$870,"&gt;="&amp;$B161)/INDEX('01_INPUTS'!$E$17:$E$31,MATCH(D$23,'01_INPUTS'!$B$17:$B$31,0)))</f>
        <v>0</v>
      </c>
      <c r="E161" s="61">
        <f>IF(INDEX('01_INPUTS'!$E$17:$E$31,MATCH(E$23,'01_INPUTS'!$B$17:$B$31,0))=0,IF(SUMIFS($AD$3:$AD$870,$AC$3:$AC$870,E$23,$AE$3:$AE$870,"&lt;="&amp;$B161,$AF$3:$AF$870,"&gt;="&amp;$B161)=0,0,9.99),SUMIFS($AD$3:$AD$870,$AC$3:$AC$870,E$23,$AE$3:$AE$870,"&lt;="&amp;$B161,$AF$3:$AF$870,"&gt;="&amp;$B161)/INDEX('01_INPUTS'!$E$17:$E$31,MATCH(E$23,'01_INPUTS'!$B$17:$B$31,0)))</f>
        <v>0</v>
      </c>
      <c r="F161" s="61">
        <f>IF(INDEX('01_INPUTS'!$E$17:$E$31,MATCH(F$23,'01_INPUTS'!$B$17:$B$31,0))=0,IF(SUMIFS($AD$3:$AD$870,$AC$3:$AC$870,F$23,$AE$3:$AE$870,"&lt;="&amp;$B161,$AF$3:$AF$870,"&gt;="&amp;$B161)=0,0,9.99),SUMIFS($AD$3:$AD$870,$AC$3:$AC$870,F$23,$AE$3:$AE$870,"&lt;="&amp;$B161,$AF$3:$AF$870,"&gt;="&amp;$B161)/INDEX('01_INPUTS'!$E$17:$E$31,MATCH(F$23,'01_INPUTS'!$B$17:$B$31,0)))</f>
        <v>0</v>
      </c>
      <c r="G161" s="61">
        <f>IF(INDEX('01_INPUTS'!$E$17:$E$31,MATCH(G$23,'01_INPUTS'!$B$17:$B$31,0))=0,IF(SUMIFS($AD$3:$AD$870,$AC$3:$AC$870,G$23,$AE$3:$AE$870,"&lt;="&amp;$B161,$AF$3:$AF$870,"&gt;="&amp;$B161)=0,0,9.99),SUMIFS($AD$3:$AD$870,$AC$3:$AC$870,G$23,$AE$3:$AE$870,"&lt;="&amp;$B161,$AF$3:$AF$870,"&gt;="&amp;$B161)/INDEX('01_INPUTS'!$E$17:$E$31,MATCH(G$23,'01_INPUTS'!$B$17:$B$31,0)))</f>
        <v>0</v>
      </c>
      <c r="H161" s="61">
        <f>IF(INDEX('01_INPUTS'!$E$17:$E$31,MATCH(H$23,'01_INPUTS'!$B$17:$B$31,0))=0,IF(SUMIFS($AD$3:$AD$870,$AC$3:$AC$870,H$23,$AE$3:$AE$870,"&lt;="&amp;$B161,$AF$3:$AF$870,"&gt;="&amp;$B161)=0,0,9.99),SUMIFS($AD$3:$AD$870,$AC$3:$AC$870,H$23,$AE$3:$AE$870,"&lt;="&amp;$B161,$AF$3:$AF$870,"&gt;="&amp;$B161)/INDEX('01_INPUTS'!$E$17:$E$31,MATCH(H$23,'01_INPUTS'!$B$17:$B$31,0)))</f>
        <v>0</v>
      </c>
      <c r="I161" s="61">
        <f>IF(INDEX('01_INPUTS'!$E$17:$E$31,MATCH(I$23,'01_INPUTS'!$B$17:$B$31,0))=0,IF(SUMIFS($AD$3:$AD$870,$AC$3:$AC$870,I$23,$AE$3:$AE$870,"&lt;="&amp;$B161,$AF$3:$AF$870,"&gt;="&amp;$B161)=0,0,9.99),SUMIFS($AD$3:$AD$870,$AC$3:$AC$870,I$23,$AE$3:$AE$870,"&lt;="&amp;$B161,$AF$3:$AF$870,"&gt;="&amp;$B161)/INDEX('01_INPUTS'!$E$17:$E$31,MATCH(I$23,'01_INPUTS'!$B$17:$B$31,0)))</f>
        <v>0</v>
      </c>
      <c r="J161" s="61">
        <f>IF(INDEX('01_INPUTS'!$E$17:$E$31,MATCH(J$23,'01_INPUTS'!$B$17:$B$31,0))=0,IF(SUMIFS($AD$3:$AD$870,$AC$3:$AC$870,J$23,$AE$3:$AE$870,"&lt;="&amp;$B161,$AF$3:$AF$870,"&gt;="&amp;$B161)=0,0,9.99),SUMIFS($AD$3:$AD$870,$AC$3:$AC$870,J$23,$AE$3:$AE$870,"&lt;="&amp;$B161,$AF$3:$AF$870,"&gt;="&amp;$B161)/INDEX('01_INPUTS'!$E$17:$E$31,MATCH(J$23,'01_INPUTS'!$B$17:$B$31,0)))</f>
        <v>0</v>
      </c>
      <c r="K161" s="61">
        <f>IF(INDEX('01_INPUTS'!$E$17:$E$31,MATCH(K$23,'01_INPUTS'!$B$17:$B$31,0))=0,IF(SUMIFS($AD$3:$AD$870,$AC$3:$AC$870,K$23,$AE$3:$AE$870,"&lt;="&amp;$B161,$AF$3:$AF$870,"&gt;="&amp;$B161)=0,0,9.99),SUMIFS($AD$3:$AD$870,$AC$3:$AC$870,K$23,$AE$3:$AE$870,"&lt;="&amp;$B161,$AF$3:$AF$870,"&gt;="&amp;$B161)/INDEX('01_INPUTS'!$E$17:$E$31,MATCH(K$23,'01_INPUTS'!$B$17:$B$31,0)))</f>
        <v>0</v>
      </c>
      <c r="L161" s="61">
        <f>IF(INDEX('01_INPUTS'!$E$17:$E$31,MATCH(L$23,'01_INPUTS'!$B$17:$B$31,0))=0,IF(SUMIFS($AD$3:$AD$870,$AC$3:$AC$870,L$23,$AE$3:$AE$870,"&lt;="&amp;$B161,$AF$3:$AF$870,"&gt;="&amp;$B161)=0,0,9.99),SUMIFS($AD$3:$AD$870,$AC$3:$AC$870,L$23,$AE$3:$AE$870,"&lt;="&amp;$B161,$AF$3:$AF$870,"&gt;="&amp;$B161)/INDEX('01_INPUTS'!$E$17:$E$31,MATCH(L$23,'01_INPUTS'!$B$17:$B$31,0)))</f>
        <v>0</v>
      </c>
      <c r="M161" s="61">
        <f>IF(INDEX('01_INPUTS'!$E$17:$E$31,MATCH(M$23,'01_INPUTS'!$B$17:$B$31,0))=0,IF(SUMIFS($AD$3:$AD$870,$AC$3:$AC$870,M$23,$AE$3:$AE$870,"&lt;="&amp;$B161,$AF$3:$AF$870,"&gt;="&amp;$B161)=0,0,9.99),SUMIFS($AD$3:$AD$870,$AC$3:$AC$870,M$23,$AE$3:$AE$870,"&lt;="&amp;$B161,$AF$3:$AF$870,"&gt;="&amp;$B161)/INDEX('01_INPUTS'!$E$17:$E$31,MATCH(M$23,'01_INPUTS'!$B$17:$B$31,0)))</f>
        <v>0</v>
      </c>
      <c r="N161" s="61">
        <f>IF(INDEX('01_INPUTS'!$E$17:$E$31,MATCH(N$23,'01_INPUTS'!$B$17:$B$31,0))=0,IF(SUMIFS($AD$3:$AD$870,$AC$3:$AC$870,N$23,$AE$3:$AE$870,"&lt;="&amp;$B161,$AF$3:$AF$870,"&gt;="&amp;$B161)=0,0,9.99),SUMIFS($AD$3:$AD$870,$AC$3:$AC$870,N$23,$AE$3:$AE$870,"&lt;="&amp;$B161,$AF$3:$AF$870,"&gt;="&amp;$B161)/INDEX('01_INPUTS'!$E$17:$E$31,MATCH(N$23,'01_INPUTS'!$B$17:$B$31,0)))</f>
        <v>0</v>
      </c>
      <c r="O161" s="61">
        <f>IF(INDEX('01_INPUTS'!$E$17:$E$31,MATCH(O$23,'01_INPUTS'!$B$17:$B$31,0))=0,IF(SUMIFS($AD$3:$AD$870,$AC$3:$AC$870,O$23,$AE$3:$AE$870,"&lt;="&amp;$B161,$AF$3:$AF$870,"&gt;="&amp;$B161)=0,0,9.99),SUMIFS($AD$3:$AD$870,$AC$3:$AC$870,O$23,$AE$3:$AE$870,"&lt;="&amp;$B161,$AF$3:$AF$870,"&gt;="&amp;$B161)/INDEX('01_INPUTS'!$E$17:$E$31,MATCH(O$23,'01_INPUTS'!$B$17:$B$31,0)))</f>
        <v>0</v>
      </c>
      <c r="P161" s="61">
        <f>IF(INDEX('01_INPUTS'!$E$17:$E$31,MATCH(P$23,'01_INPUTS'!$B$17:$B$31,0))=0,IF(SUMIFS($AD$3:$AD$870,$AC$3:$AC$870,P$23,$AE$3:$AE$870,"&lt;="&amp;$B161,$AF$3:$AF$870,"&gt;="&amp;$B161)=0,0,9.99),SUMIFS($AD$3:$AD$870,$AC$3:$AC$870,P$23,$AE$3:$AE$870,"&lt;="&amp;$B161,$AF$3:$AF$870,"&gt;="&amp;$B161)/INDEX('01_INPUTS'!$E$17:$E$31,MATCH(P$23,'01_INPUTS'!$B$17:$B$31,0)))</f>
        <v>0</v>
      </c>
      <c r="Q161" s="61">
        <f>IF(INDEX('01_INPUTS'!$E$17:$E$31,MATCH(Q$23,'01_INPUTS'!$B$17:$B$31,0))=0,IF(SUMIFS($AD$3:$AD$870,$AC$3:$AC$870,Q$23,$AE$3:$AE$870,"&lt;="&amp;$B161,$AF$3:$AF$870,"&gt;="&amp;$B161)=0,0,9.99),SUMIFS($AD$3:$AD$870,$AC$3:$AC$870,Q$23,$AE$3:$AE$870,"&lt;="&amp;$B161,$AF$3:$AF$870,"&gt;="&amp;$B161)/INDEX('01_INPUTS'!$E$17:$E$31,MATCH(Q$23,'01_INPUTS'!$B$17:$B$31,0)))</f>
        <v>0</v>
      </c>
      <c r="R161" s="61">
        <f>IF(INDEX('01_INPUTS'!$E$17:$E$31,MATCH(R$23,'01_INPUTS'!$B$17:$B$31,0))=0,IF(SUMIFS($AD$3:$AD$870,$AC$3:$AC$870,R$23,$AE$3:$AE$870,"&lt;="&amp;$B161,$AF$3:$AF$870,"&gt;="&amp;$B161)=0,0,9.99),SUMIFS($AD$3:$AD$870,$AC$3:$AC$870,R$23,$AE$3:$AE$870,"&lt;="&amp;$B161,$AF$3:$AF$870,"&gt;="&amp;$B161)/INDEX('01_INPUTS'!$E$17:$E$31,MATCH(R$23,'01_INPUTS'!$B$17:$B$31,0)))</f>
        <v>0</v>
      </c>
      <c r="S161">
        <f t="shared" si="19"/>
        <v>0</v>
      </c>
      <c r="T161">
        <f>SUM('01_INPUTS'!$E$17:$E$31)</f>
        <v>20</v>
      </c>
      <c r="U161" s="61">
        <f t="shared" si="20"/>
        <v>0</v>
      </c>
      <c r="V161">
        <f t="shared" si="21"/>
        <v>0</v>
      </c>
      <c r="W161" t="str">
        <f t="shared" si="22"/>
        <v>VERDE</v>
      </c>
      <c r="AA161" s="51" t="str">
        <f>'Sites Master'!$B$4</f>
        <v>Site 03</v>
      </c>
      <c r="AB161" s="51" t="str">
        <f>'Phase-Resource Allocation'!$B$98</f>
        <v>DIALT</v>
      </c>
      <c r="AC161" s="51" t="str">
        <f>'Phase-Resource Allocation'!$C$98</f>
        <v>Azure Lead</v>
      </c>
      <c r="AD161" s="60">
        <f>'Phase-Resource Allocation'!$D$98</f>
        <v>0.75</v>
      </c>
      <c r="AE161" s="51">
        <f>IFERROR(INDEX('02_SCHEDULE'!$K$5:$K$124,MATCH(AA161&amp;"|"&amp;AB161,'02_SCHEDULE'!$M$5:$M$124,0)),0)</f>
        <v>11</v>
      </c>
      <c r="AF161" s="51">
        <f>IFERROR(INDEX('02_SCHEDULE'!$L$5:$L$124,MATCH(AA161&amp;"|"&amp;AB161,'02_SCHEDULE'!$M$5:$M$124,0)),0)</f>
        <v>11</v>
      </c>
      <c r="AG161" s="51">
        <f t="shared" si="18"/>
        <v>0.75</v>
      </c>
    </row>
    <row r="162" spans="2:33" x14ac:dyDescent="0.3">
      <c r="B162">
        <f>139</f>
        <v>139</v>
      </c>
      <c r="C162" s="55">
        <f>'01_INPUTS'!$C$7+(139-1)*7</f>
        <v>47217</v>
      </c>
      <c r="D162" s="61">
        <f>IF(INDEX('01_INPUTS'!$E$17:$E$31,MATCH(D$23,'01_INPUTS'!$B$17:$B$31,0))=0,IF(SUMIFS($AD$3:$AD$870,$AC$3:$AC$870,D$23,$AE$3:$AE$870,"&lt;="&amp;$B162,$AF$3:$AF$870,"&gt;="&amp;$B162)=0,0,9.99),SUMIFS($AD$3:$AD$870,$AC$3:$AC$870,D$23,$AE$3:$AE$870,"&lt;="&amp;$B162,$AF$3:$AF$870,"&gt;="&amp;$B162)/INDEX('01_INPUTS'!$E$17:$E$31,MATCH(D$23,'01_INPUTS'!$B$17:$B$31,0)))</f>
        <v>0</v>
      </c>
      <c r="E162" s="61">
        <f>IF(INDEX('01_INPUTS'!$E$17:$E$31,MATCH(E$23,'01_INPUTS'!$B$17:$B$31,0))=0,IF(SUMIFS($AD$3:$AD$870,$AC$3:$AC$870,E$23,$AE$3:$AE$870,"&lt;="&amp;$B162,$AF$3:$AF$870,"&gt;="&amp;$B162)=0,0,9.99),SUMIFS($AD$3:$AD$870,$AC$3:$AC$870,E$23,$AE$3:$AE$870,"&lt;="&amp;$B162,$AF$3:$AF$870,"&gt;="&amp;$B162)/INDEX('01_INPUTS'!$E$17:$E$31,MATCH(E$23,'01_INPUTS'!$B$17:$B$31,0)))</f>
        <v>0</v>
      </c>
      <c r="F162" s="61">
        <f>IF(INDEX('01_INPUTS'!$E$17:$E$31,MATCH(F$23,'01_INPUTS'!$B$17:$B$31,0))=0,IF(SUMIFS($AD$3:$AD$870,$AC$3:$AC$870,F$23,$AE$3:$AE$870,"&lt;="&amp;$B162,$AF$3:$AF$870,"&gt;="&amp;$B162)=0,0,9.99),SUMIFS($AD$3:$AD$870,$AC$3:$AC$870,F$23,$AE$3:$AE$870,"&lt;="&amp;$B162,$AF$3:$AF$870,"&gt;="&amp;$B162)/INDEX('01_INPUTS'!$E$17:$E$31,MATCH(F$23,'01_INPUTS'!$B$17:$B$31,0)))</f>
        <v>0</v>
      </c>
      <c r="G162" s="61">
        <f>IF(INDEX('01_INPUTS'!$E$17:$E$31,MATCH(G$23,'01_INPUTS'!$B$17:$B$31,0))=0,IF(SUMIFS($AD$3:$AD$870,$AC$3:$AC$870,G$23,$AE$3:$AE$870,"&lt;="&amp;$B162,$AF$3:$AF$870,"&gt;="&amp;$B162)=0,0,9.99),SUMIFS($AD$3:$AD$870,$AC$3:$AC$870,G$23,$AE$3:$AE$870,"&lt;="&amp;$B162,$AF$3:$AF$870,"&gt;="&amp;$B162)/INDEX('01_INPUTS'!$E$17:$E$31,MATCH(G$23,'01_INPUTS'!$B$17:$B$31,0)))</f>
        <v>0</v>
      </c>
      <c r="H162" s="61">
        <f>IF(INDEX('01_INPUTS'!$E$17:$E$31,MATCH(H$23,'01_INPUTS'!$B$17:$B$31,0))=0,IF(SUMIFS($AD$3:$AD$870,$AC$3:$AC$870,H$23,$AE$3:$AE$870,"&lt;="&amp;$B162,$AF$3:$AF$870,"&gt;="&amp;$B162)=0,0,9.99),SUMIFS($AD$3:$AD$870,$AC$3:$AC$870,H$23,$AE$3:$AE$870,"&lt;="&amp;$B162,$AF$3:$AF$870,"&gt;="&amp;$B162)/INDEX('01_INPUTS'!$E$17:$E$31,MATCH(H$23,'01_INPUTS'!$B$17:$B$31,0)))</f>
        <v>0</v>
      </c>
      <c r="I162" s="61">
        <f>IF(INDEX('01_INPUTS'!$E$17:$E$31,MATCH(I$23,'01_INPUTS'!$B$17:$B$31,0))=0,IF(SUMIFS($AD$3:$AD$870,$AC$3:$AC$870,I$23,$AE$3:$AE$870,"&lt;="&amp;$B162,$AF$3:$AF$870,"&gt;="&amp;$B162)=0,0,9.99),SUMIFS($AD$3:$AD$870,$AC$3:$AC$870,I$23,$AE$3:$AE$870,"&lt;="&amp;$B162,$AF$3:$AF$870,"&gt;="&amp;$B162)/INDEX('01_INPUTS'!$E$17:$E$31,MATCH(I$23,'01_INPUTS'!$B$17:$B$31,0)))</f>
        <v>0</v>
      </c>
      <c r="J162" s="61">
        <f>IF(INDEX('01_INPUTS'!$E$17:$E$31,MATCH(J$23,'01_INPUTS'!$B$17:$B$31,0))=0,IF(SUMIFS($AD$3:$AD$870,$AC$3:$AC$870,J$23,$AE$3:$AE$870,"&lt;="&amp;$B162,$AF$3:$AF$870,"&gt;="&amp;$B162)=0,0,9.99),SUMIFS($AD$3:$AD$870,$AC$3:$AC$870,J$23,$AE$3:$AE$870,"&lt;="&amp;$B162,$AF$3:$AF$870,"&gt;="&amp;$B162)/INDEX('01_INPUTS'!$E$17:$E$31,MATCH(J$23,'01_INPUTS'!$B$17:$B$31,0)))</f>
        <v>0</v>
      </c>
      <c r="K162" s="61">
        <f>IF(INDEX('01_INPUTS'!$E$17:$E$31,MATCH(K$23,'01_INPUTS'!$B$17:$B$31,0))=0,IF(SUMIFS($AD$3:$AD$870,$AC$3:$AC$870,K$23,$AE$3:$AE$870,"&lt;="&amp;$B162,$AF$3:$AF$870,"&gt;="&amp;$B162)=0,0,9.99),SUMIFS($AD$3:$AD$870,$AC$3:$AC$870,K$23,$AE$3:$AE$870,"&lt;="&amp;$B162,$AF$3:$AF$870,"&gt;="&amp;$B162)/INDEX('01_INPUTS'!$E$17:$E$31,MATCH(K$23,'01_INPUTS'!$B$17:$B$31,0)))</f>
        <v>0</v>
      </c>
      <c r="L162" s="61">
        <f>IF(INDEX('01_INPUTS'!$E$17:$E$31,MATCH(L$23,'01_INPUTS'!$B$17:$B$31,0))=0,IF(SUMIFS($AD$3:$AD$870,$AC$3:$AC$870,L$23,$AE$3:$AE$870,"&lt;="&amp;$B162,$AF$3:$AF$870,"&gt;="&amp;$B162)=0,0,9.99),SUMIFS($AD$3:$AD$870,$AC$3:$AC$870,L$23,$AE$3:$AE$870,"&lt;="&amp;$B162,$AF$3:$AF$870,"&gt;="&amp;$B162)/INDEX('01_INPUTS'!$E$17:$E$31,MATCH(L$23,'01_INPUTS'!$B$17:$B$31,0)))</f>
        <v>0</v>
      </c>
      <c r="M162" s="61">
        <f>IF(INDEX('01_INPUTS'!$E$17:$E$31,MATCH(M$23,'01_INPUTS'!$B$17:$B$31,0))=0,IF(SUMIFS($AD$3:$AD$870,$AC$3:$AC$870,M$23,$AE$3:$AE$870,"&lt;="&amp;$B162,$AF$3:$AF$870,"&gt;="&amp;$B162)=0,0,9.99),SUMIFS($AD$3:$AD$870,$AC$3:$AC$870,M$23,$AE$3:$AE$870,"&lt;="&amp;$B162,$AF$3:$AF$870,"&gt;="&amp;$B162)/INDEX('01_INPUTS'!$E$17:$E$31,MATCH(M$23,'01_INPUTS'!$B$17:$B$31,0)))</f>
        <v>0</v>
      </c>
      <c r="N162" s="61">
        <f>IF(INDEX('01_INPUTS'!$E$17:$E$31,MATCH(N$23,'01_INPUTS'!$B$17:$B$31,0))=0,IF(SUMIFS($AD$3:$AD$870,$AC$3:$AC$870,N$23,$AE$3:$AE$870,"&lt;="&amp;$B162,$AF$3:$AF$870,"&gt;="&amp;$B162)=0,0,9.99),SUMIFS($AD$3:$AD$870,$AC$3:$AC$870,N$23,$AE$3:$AE$870,"&lt;="&amp;$B162,$AF$3:$AF$870,"&gt;="&amp;$B162)/INDEX('01_INPUTS'!$E$17:$E$31,MATCH(N$23,'01_INPUTS'!$B$17:$B$31,0)))</f>
        <v>0</v>
      </c>
      <c r="O162" s="61">
        <f>IF(INDEX('01_INPUTS'!$E$17:$E$31,MATCH(O$23,'01_INPUTS'!$B$17:$B$31,0))=0,IF(SUMIFS($AD$3:$AD$870,$AC$3:$AC$870,O$23,$AE$3:$AE$870,"&lt;="&amp;$B162,$AF$3:$AF$870,"&gt;="&amp;$B162)=0,0,9.99),SUMIFS($AD$3:$AD$870,$AC$3:$AC$870,O$23,$AE$3:$AE$870,"&lt;="&amp;$B162,$AF$3:$AF$870,"&gt;="&amp;$B162)/INDEX('01_INPUTS'!$E$17:$E$31,MATCH(O$23,'01_INPUTS'!$B$17:$B$31,0)))</f>
        <v>0</v>
      </c>
      <c r="P162" s="61">
        <f>IF(INDEX('01_INPUTS'!$E$17:$E$31,MATCH(P$23,'01_INPUTS'!$B$17:$B$31,0))=0,IF(SUMIFS($AD$3:$AD$870,$AC$3:$AC$870,P$23,$AE$3:$AE$870,"&lt;="&amp;$B162,$AF$3:$AF$870,"&gt;="&amp;$B162)=0,0,9.99),SUMIFS($AD$3:$AD$870,$AC$3:$AC$870,P$23,$AE$3:$AE$870,"&lt;="&amp;$B162,$AF$3:$AF$870,"&gt;="&amp;$B162)/INDEX('01_INPUTS'!$E$17:$E$31,MATCH(P$23,'01_INPUTS'!$B$17:$B$31,0)))</f>
        <v>0</v>
      </c>
      <c r="Q162" s="61">
        <f>IF(INDEX('01_INPUTS'!$E$17:$E$31,MATCH(Q$23,'01_INPUTS'!$B$17:$B$31,0))=0,IF(SUMIFS($AD$3:$AD$870,$AC$3:$AC$870,Q$23,$AE$3:$AE$870,"&lt;="&amp;$B162,$AF$3:$AF$870,"&gt;="&amp;$B162)=0,0,9.99),SUMIFS($AD$3:$AD$870,$AC$3:$AC$870,Q$23,$AE$3:$AE$870,"&lt;="&amp;$B162,$AF$3:$AF$870,"&gt;="&amp;$B162)/INDEX('01_INPUTS'!$E$17:$E$31,MATCH(Q$23,'01_INPUTS'!$B$17:$B$31,0)))</f>
        <v>0</v>
      </c>
      <c r="R162" s="61">
        <f>IF(INDEX('01_INPUTS'!$E$17:$E$31,MATCH(R$23,'01_INPUTS'!$B$17:$B$31,0))=0,IF(SUMIFS($AD$3:$AD$870,$AC$3:$AC$870,R$23,$AE$3:$AE$870,"&lt;="&amp;$B162,$AF$3:$AF$870,"&gt;="&amp;$B162)=0,0,9.99),SUMIFS($AD$3:$AD$870,$AC$3:$AC$870,R$23,$AE$3:$AE$870,"&lt;="&amp;$B162,$AF$3:$AF$870,"&gt;="&amp;$B162)/INDEX('01_INPUTS'!$E$17:$E$31,MATCH(R$23,'01_INPUTS'!$B$17:$B$31,0)))</f>
        <v>0</v>
      </c>
      <c r="S162">
        <f t="shared" si="19"/>
        <v>0</v>
      </c>
      <c r="T162">
        <f>SUM('01_INPUTS'!$E$17:$E$31)</f>
        <v>20</v>
      </c>
      <c r="U162" s="61">
        <f t="shared" si="20"/>
        <v>0</v>
      </c>
      <c r="V162">
        <f t="shared" si="21"/>
        <v>0</v>
      </c>
      <c r="W162" t="str">
        <f t="shared" si="22"/>
        <v>VERDE</v>
      </c>
      <c r="AA162" s="51" t="str">
        <f>'Sites Master'!$B$4</f>
        <v>Site 03</v>
      </c>
      <c r="AB162" s="51" t="str">
        <f>'Phase-Resource Allocation'!$B$99</f>
        <v>DIALT</v>
      </c>
      <c r="AC162" s="51" t="str">
        <f>'Phase-Resource Allocation'!$C$99</f>
        <v>Azure Specialist</v>
      </c>
      <c r="AD162" s="60">
        <f>'Phase-Resource Allocation'!$D$99</f>
        <v>0.75</v>
      </c>
      <c r="AE162" s="51">
        <f>IFERROR(INDEX('02_SCHEDULE'!$K$5:$K$124,MATCH(AA162&amp;"|"&amp;AB162,'02_SCHEDULE'!$M$5:$M$124,0)),0)</f>
        <v>11</v>
      </c>
      <c r="AF162" s="51">
        <f>IFERROR(INDEX('02_SCHEDULE'!$L$5:$L$124,MATCH(AA162&amp;"|"&amp;AB162,'02_SCHEDULE'!$M$5:$M$124,0)),0)</f>
        <v>11</v>
      </c>
      <c r="AG162" s="51">
        <f t="shared" si="18"/>
        <v>0.75</v>
      </c>
    </row>
    <row r="163" spans="2:33" x14ac:dyDescent="0.3">
      <c r="B163">
        <f>140</f>
        <v>140</v>
      </c>
      <c r="C163" s="55">
        <f>'01_INPUTS'!$C$7+(140-1)*7</f>
        <v>47224</v>
      </c>
      <c r="D163" s="61">
        <f>IF(INDEX('01_INPUTS'!$E$17:$E$31,MATCH(D$23,'01_INPUTS'!$B$17:$B$31,0))=0,IF(SUMIFS($AD$3:$AD$870,$AC$3:$AC$870,D$23,$AE$3:$AE$870,"&lt;="&amp;$B163,$AF$3:$AF$870,"&gt;="&amp;$B163)=0,0,9.99),SUMIFS($AD$3:$AD$870,$AC$3:$AC$870,D$23,$AE$3:$AE$870,"&lt;="&amp;$B163,$AF$3:$AF$870,"&gt;="&amp;$B163)/INDEX('01_INPUTS'!$E$17:$E$31,MATCH(D$23,'01_INPUTS'!$B$17:$B$31,0)))</f>
        <v>0</v>
      </c>
      <c r="E163" s="61">
        <f>IF(INDEX('01_INPUTS'!$E$17:$E$31,MATCH(E$23,'01_INPUTS'!$B$17:$B$31,0))=0,IF(SUMIFS($AD$3:$AD$870,$AC$3:$AC$870,E$23,$AE$3:$AE$870,"&lt;="&amp;$B163,$AF$3:$AF$870,"&gt;="&amp;$B163)=0,0,9.99),SUMIFS($AD$3:$AD$870,$AC$3:$AC$870,E$23,$AE$3:$AE$870,"&lt;="&amp;$B163,$AF$3:$AF$870,"&gt;="&amp;$B163)/INDEX('01_INPUTS'!$E$17:$E$31,MATCH(E$23,'01_INPUTS'!$B$17:$B$31,0)))</f>
        <v>0</v>
      </c>
      <c r="F163" s="61">
        <f>IF(INDEX('01_INPUTS'!$E$17:$E$31,MATCH(F$23,'01_INPUTS'!$B$17:$B$31,0))=0,IF(SUMIFS($AD$3:$AD$870,$AC$3:$AC$870,F$23,$AE$3:$AE$870,"&lt;="&amp;$B163,$AF$3:$AF$870,"&gt;="&amp;$B163)=0,0,9.99),SUMIFS($AD$3:$AD$870,$AC$3:$AC$870,F$23,$AE$3:$AE$870,"&lt;="&amp;$B163,$AF$3:$AF$870,"&gt;="&amp;$B163)/INDEX('01_INPUTS'!$E$17:$E$31,MATCH(F$23,'01_INPUTS'!$B$17:$B$31,0)))</f>
        <v>0</v>
      </c>
      <c r="G163" s="61">
        <f>IF(INDEX('01_INPUTS'!$E$17:$E$31,MATCH(G$23,'01_INPUTS'!$B$17:$B$31,0))=0,IF(SUMIFS($AD$3:$AD$870,$AC$3:$AC$870,G$23,$AE$3:$AE$870,"&lt;="&amp;$B163,$AF$3:$AF$870,"&gt;="&amp;$B163)=0,0,9.99),SUMIFS($AD$3:$AD$870,$AC$3:$AC$870,G$23,$AE$3:$AE$870,"&lt;="&amp;$B163,$AF$3:$AF$870,"&gt;="&amp;$B163)/INDEX('01_INPUTS'!$E$17:$E$31,MATCH(G$23,'01_INPUTS'!$B$17:$B$31,0)))</f>
        <v>0</v>
      </c>
      <c r="H163" s="61">
        <f>IF(INDEX('01_INPUTS'!$E$17:$E$31,MATCH(H$23,'01_INPUTS'!$B$17:$B$31,0))=0,IF(SUMIFS($AD$3:$AD$870,$AC$3:$AC$870,H$23,$AE$3:$AE$870,"&lt;="&amp;$B163,$AF$3:$AF$870,"&gt;="&amp;$B163)=0,0,9.99),SUMIFS($AD$3:$AD$870,$AC$3:$AC$870,H$23,$AE$3:$AE$870,"&lt;="&amp;$B163,$AF$3:$AF$870,"&gt;="&amp;$B163)/INDEX('01_INPUTS'!$E$17:$E$31,MATCH(H$23,'01_INPUTS'!$B$17:$B$31,0)))</f>
        <v>0</v>
      </c>
      <c r="I163" s="61">
        <f>IF(INDEX('01_INPUTS'!$E$17:$E$31,MATCH(I$23,'01_INPUTS'!$B$17:$B$31,0))=0,IF(SUMIFS($AD$3:$AD$870,$AC$3:$AC$870,I$23,$AE$3:$AE$870,"&lt;="&amp;$B163,$AF$3:$AF$870,"&gt;="&amp;$B163)=0,0,9.99),SUMIFS($AD$3:$AD$870,$AC$3:$AC$870,I$23,$AE$3:$AE$870,"&lt;="&amp;$B163,$AF$3:$AF$870,"&gt;="&amp;$B163)/INDEX('01_INPUTS'!$E$17:$E$31,MATCH(I$23,'01_INPUTS'!$B$17:$B$31,0)))</f>
        <v>0</v>
      </c>
      <c r="J163" s="61">
        <f>IF(INDEX('01_INPUTS'!$E$17:$E$31,MATCH(J$23,'01_INPUTS'!$B$17:$B$31,0))=0,IF(SUMIFS($AD$3:$AD$870,$AC$3:$AC$870,J$23,$AE$3:$AE$870,"&lt;="&amp;$B163,$AF$3:$AF$870,"&gt;="&amp;$B163)=0,0,9.99),SUMIFS($AD$3:$AD$870,$AC$3:$AC$870,J$23,$AE$3:$AE$870,"&lt;="&amp;$B163,$AF$3:$AF$870,"&gt;="&amp;$B163)/INDEX('01_INPUTS'!$E$17:$E$31,MATCH(J$23,'01_INPUTS'!$B$17:$B$31,0)))</f>
        <v>0</v>
      </c>
      <c r="K163" s="61">
        <f>IF(INDEX('01_INPUTS'!$E$17:$E$31,MATCH(K$23,'01_INPUTS'!$B$17:$B$31,0))=0,IF(SUMIFS($AD$3:$AD$870,$AC$3:$AC$870,K$23,$AE$3:$AE$870,"&lt;="&amp;$B163,$AF$3:$AF$870,"&gt;="&amp;$B163)=0,0,9.99),SUMIFS($AD$3:$AD$870,$AC$3:$AC$870,K$23,$AE$3:$AE$870,"&lt;="&amp;$B163,$AF$3:$AF$870,"&gt;="&amp;$B163)/INDEX('01_INPUTS'!$E$17:$E$31,MATCH(K$23,'01_INPUTS'!$B$17:$B$31,0)))</f>
        <v>0</v>
      </c>
      <c r="L163" s="61">
        <f>IF(INDEX('01_INPUTS'!$E$17:$E$31,MATCH(L$23,'01_INPUTS'!$B$17:$B$31,0))=0,IF(SUMIFS($AD$3:$AD$870,$AC$3:$AC$870,L$23,$AE$3:$AE$870,"&lt;="&amp;$B163,$AF$3:$AF$870,"&gt;="&amp;$B163)=0,0,9.99),SUMIFS($AD$3:$AD$870,$AC$3:$AC$870,L$23,$AE$3:$AE$870,"&lt;="&amp;$B163,$AF$3:$AF$870,"&gt;="&amp;$B163)/INDEX('01_INPUTS'!$E$17:$E$31,MATCH(L$23,'01_INPUTS'!$B$17:$B$31,0)))</f>
        <v>0</v>
      </c>
      <c r="M163" s="61">
        <f>IF(INDEX('01_INPUTS'!$E$17:$E$31,MATCH(M$23,'01_INPUTS'!$B$17:$B$31,0))=0,IF(SUMIFS($AD$3:$AD$870,$AC$3:$AC$870,M$23,$AE$3:$AE$870,"&lt;="&amp;$B163,$AF$3:$AF$870,"&gt;="&amp;$B163)=0,0,9.99),SUMIFS($AD$3:$AD$870,$AC$3:$AC$870,M$23,$AE$3:$AE$870,"&lt;="&amp;$B163,$AF$3:$AF$870,"&gt;="&amp;$B163)/INDEX('01_INPUTS'!$E$17:$E$31,MATCH(M$23,'01_INPUTS'!$B$17:$B$31,0)))</f>
        <v>0</v>
      </c>
      <c r="N163" s="61">
        <f>IF(INDEX('01_INPUTS'!$E$17:$E$31,MATCH(N$23,'01_INPUTS'!$B$17:$B$31,0))=0,IF(SUMIFS($AD$3:$AD$870,$AC$3:$AC$870,N$23,$AE$3:$AE$870,"&lt;="&amp;$B163,$AF$3:$AF$870,"&gt;="&amp;$B163)=0,0,9.99),SUMIFS($AD$3:$AD$870,$AC$3:$AC$870,N$23,$AE$3:$AE$870,"&lt;="&amp;$B163,$AF$3:$AF$870,"&gt;="&amp;$B163)/INDEX('01_INPUTS'!$E$17:$E$31,MATCH(N$23,'01_INPUTS'!$B$17:$B$31,0)))</f>
        <v>0</v>
      </c>
      <c r="O163" s="61">
        <f>IF(INDEX('01_INPUTS'!$E$17:$E$31,MATCH(O$23,'01_INPUTS'!$B$17:$B$31,0))=0,IF(SUMIFS($AD$3:$AD$870,$AC$3:$AC$870,O$23,$AE$3:$AE$870,"&lt;="&amp;$B163,$AF$3:$AF$870,"&gt;="&amp;$B163)=0,0,9.99),SUMIFS($AD$3:$AD$870,$AC$3:$AC$870,O$23,$AE$3:$AE$870,"&lt;="&amp;$B163,$AF$3:$AF$870,"&gt;="&amp;$B163)/INDEX('01_INPUTS'!$E$17:$E$31,MATCH(O$23,'01_INPUTS'!$B$17:$B$31,0)))</f>
        <v>0</v>
      </c>
      <c r="P163" s="61">
        <f>IF(INDEX('01_INPUTS'!$E$17:$E$31,MATCH(P$23,'01_INPUTS'!$B$17:$B$31,0))=0,IF(SUMIFS($AD$3:$AD$870,$AC$3:$AC$870,P$23,$AE$3:$AE$870,"&lt;="&amp;$B163,$AF$3:$AF$870,"&gt;="&amp;$B163)=0,0,9.99),SUMIFS($AD$3:$AD$870,$AC$3:$AC$870,P$23,$AE$3:$AE$870,"&lt;="&amp;$B163,$AF$3:$AF$870,"&gt;="&amp;$B163)/INDEX('01_INPUTS'!$E$17:$E$31,MATCH(P$23,'01_INPUTS'!$B$17:$B$31,0)))</f>
        <v>0</v>
      </c>
      <c r="Q163" s="61">
        <f>IF(INDEX('01_INPUTS'!$E$17:$E$31,MATCH(Q$23,'01_INPUTS'!$B$17:$B$31,0))=0,IF(SUMIFS($AD$3:$AD$870,$AC$3:$AC$870,Q$23,$AE$3:$AE$870,"&lt;="&amp;$B163,$AF$3:$AF$870,"&gt;="&amp;$B163)=0,0,9.99),SUMIFS($AD$3:$AD$870,$AC$3:$AC$870,Q$23,$AE$3:$AE$870,"&lt;="&amp;$B163,$AF$3:$AF$870,"&gt;="&amp;$B163)/INDEX('01_INPUTS'!$E$17:$E$31,MATCH(Q$23,'01_INPUTS'!$B$17:$B$31,0)))</f>
        <v>0</v>
      </c>
      <c r="R163" s="61">
        <f>IF(INDEX('01_INPUTS'!$E$17:$E$31,MATCH(R$23,'01_INPUTS'!$B$17:$B$31,0))=0,IF(SUMIFS($AD$3:$AD$870,$AC$3:$AC$870,R$23,$AE$3:$AE$870,"&lt;="&amp;$B163,$AF$3:$AF$870,"&gt;="&amp;$B163)=0,0,9.99),SUMIFS($AD$3:$AD$870,$AC$3:$AC$870,R$23,$AE$3:$AE$870,"&lt;="&amp;$B163,$AF$3:$AF$870,"&gt;="&amp;$B163)/INDEX('01_INPUTS'!$E$17:$E$31,MATCH(R$23,'01_INPUTS'!$B$17:$B$31,0)))</f>
        <v>0</v>
      </c>
      <c r="S163">
        <f t="shared" si="19"/>
        <v>0</v>
      </c>
      <c r="T163">
        <f>SUM('01_INPUTS'!$E$17:$E$31)</f>
        <v>20</v>
      </c>
      <c r="U163" s="61">
        <f t="shared" si="20"/>
        <v>0</v>
      </c>
      <c r="V163">
        <f t="shared" si="21"/>
        <v>0</v>
      </c>
      <c r="W163" t="str">
        <f t="shared" si="22"/>
        <v>VERDE</v>
      </c>
      <c r="AA163" s="51" t="str">
        <f>'Sites Master'!$B$4</f>
        <v>Site 03</v>
      </c>
      <c r="AB163" s="51" t="str">
        <f>'Phase-Resource Allocation'!$B$100</f>
        <v>DIALT</v>
      </c>
      <c r="AC163" s="51" t="str">
        <f>'Phase-Resource Allocation'!$C$100</f>
        <v>Functional Lead</v>
      </c>
      <c r="AD163" s="60">
        <f>'Phase-Resource Allocation'!$D$100</f>
        <v>1</v>
      </c>
      <c r="AE163" s="51">
        <f>IFERROR(INDEX('02_SCHEDULE'!$K$5:$K$124,MATCH(AA163&amp;"|"&amp;AB163,'02_SCHEDULE'!$M$5:$M$124,0)),0)</f>
        <v>11</v>
      </c>
      <c r="AF163" s="51">
        <f>IFERROR(INDEX('02_SCHEDULE'!$L$5:$L$124,MATCH(AA163&amp;"|"&amp;AB163,'02_SCHEDULE'!$M$5:$M$124,0)),0)</f>
        <v>11</v>
      </c>
      <c r="AG163" s="51">
        <f t="shared" si="18"/>
        <v>1</v>
      </c>
    </row>
    <row r="164" spans="2:33" x14ac:dyDescent="0.3">
      <c r="B164">
        <f>141</f>
        <v>141</v>
      </c>
      <c r="C164" s="55">
        <f>'01_INPUTS'!$C$7+(141-1)*7</f>
        <v>47231</v>
      </c>
      <c r="D164" s="61">
        <f>IF(INDEX('01_INPUTS'!$E$17:$E$31,MATCH(D$23,'01_INPUTS'!$B$17:$B$31,0))=0,IF(SUMIFS($AD$3:$AD$870,$AC$3:$AC$870,D$23,$AE$3:$AE$870,"&lt;="&amp;$B164,$AF$3:$AF$870,"&gt;="&amp;$B164)=0,0,9.99),SUMIFS($AD$3:$AD$870,$AC$3:$AC$870,D$23,$AE$3:$AE$870,"&lt;="&amp;$B164,$AF$3:$AF$870,"&gt;="&amp;$B164)/INDEX('01_INPUTS'!$E$17:$E$31,MATCH(D$23,'01_INPUTS'!$B$17:$B$31,0)))</f>
        <v>0</v>
      </c>
      <c r="E164" s="61">
        <f>IF(INDEX('01_INPUTS'!$E$17:$E$31,MATCH(E$23,'01_INPUTS'!$B$17:$B$31,0))=0,IF(SUMIFS($AD$3:$AD$870,$AC$3:$AC$870,E$23,$AE$3:$AE$870,"&lt;="&amp;$B164,$AF$3:$AF$870,"&gt;="&amp;$B164)=0,0,9.99),SUMIFS($AD$3:$AD$870,$AC$3:$AC$870,E$23,$AE$3:$AE$870,"&lt;="&amp;$B164,$AF$3:$AF$870,"&gt;="&amp;$B164)/INDEX('01_INPUTS'!$E$17:$E$31,MATCH(E$23,'01_INPUTS'!$B$17:$B$31,0)))</f>
        <v>0</v>
      </c>
      <c r="F164" s="61">
        <f>IF(INDEX('01_INPUTS'!$E$17:$E$31,MATCH(F$23,'01_INPUTS'!$B$17:$B$31,0))=0,IF(SUMIFS($AD$3:$AD$870,$AC$3:$AC$870,F$23,$AE$3:$AE$870,"&lt;="&amp;$B164,$AF$3:$AF$870,"&gt;="&amp;$B164)=0,0,9.99),SUMIFS($AD$3:$AD$870,$AC$3:$AC$870,F$23,$AE$3:$AE$870,"&lt;="&amp;$B164,$AF$3:$AF$870,"&gt;="&amp;$B164)/INDEX('01_INPUTS'!$E$17:$E$31,MATCH(F$23,'01_INPUTS'!$B$17:$B$31,0)))</f>
        <v>0</v>
      </c>
      <c r="G164" s="61">
        <f>IF(INDEX('01_INPUTS'!$E$17:$E$31,MATCH(G$23,'01_INPUTS'!$B$17:$B$31,0))=0,IF(SUMIFS($AD$3:$AD$870,$AC$3:$AC$870,G$23,$AE$3:$AE$870,"&lt;="&amp;$B164,$AF$3:$AF$870,"&gt;="&amp;$B164)=0,0,9.99),SUMIFS($AD$3:$AD$870,$AC$3:$AC$870,G$23,$AE$3:$AE$870,"&lt;="&amp;$B164,$AF$3:$AF$870,"&gt;="&amp;$B164)/INDEX('01_INPUTS'!$E$17:$E$31,MATCH(G$23,'01_INPUTS'!$B$17:$B$31,0)))</f>
        <v>0</v>
      </c>
      <c r="H164" s="61">
        <f>IF(INDEX('01_INPUTS'!$E$17:$E$31,MATCH(H$23,'01_INPUTS'!$B$17:$B$31,0))=0,IF(SUMIFS($AD$3:$AD$870,$AC$3:$AC$870,H$23,$AE$3:$AE$870,"&lt;="&amp;$B164,$AF$3:$AF$870,"&gt;="&amp;$B164)=0,0,9.99),SUMIFS($AD$3:$AD$870,$AC$3:$AC$870,H$23,$AE$3:$AE$870,"&lt;="&amp;$B164,$AF$3:$AF$870,"&gt;="&amp;$B164)/INDEX('01_INPUTS'!$E$17:$E$31,MATCH(H$23,'01_INPUTS'!$B$17:$B$31,0)))</f>
        <v>0</v>
      </c>
      <c r="I164" s="61">
        <f>IF(INDEX('01_INPUTS'!$E$17:$E$31,MATCH(I$23,'01_INPUTS'!$B$17:$B$31,0))=0,IF(SUMIFS($AD$3:$AD$870,$AC$3:$AC$870,I$23,$AE$3:$AE$870,"&lt;="&amp;$B164,$AF$3:$AF$870,"&gt;="&amp;$B164)=0,0,9.99),SUMIFS($AD$3:$AD$870,$AC$3:$AC$870,I$23,$AE$3:$AE$870,"&lt;="&amp;$B164,$AF$3:$AF$870,"&gt;="&amp;$B164)/INDEX('01_INPUTS'!$E$17:$E$31,MATCH(I$23,'01_INPUTS'!$B$17:$B$31,0)))</f>
        <v>0</v>
      </c>
      <c r="J164" s="61">
        <f>IF(INDEX('01_INPUTS'!$E$17:$E$31,MATCH(J$23,'01_INPUTS'!$B$17:$B$31,0))=0,IF(SUMIFS($AD$3:$AD$870,$AC$3:$AC$870,J$23,$AE$3:$AE$870,"&lt;="&amp;$B164,$AF$3:$AF$870,"&gt;="&amp;$B164)=0,0,9.99),SUMIFS($AD$3:$AD$870,$AC$3:$AC$870,J$23,$AE$3:$AE$870,"&lt;="&amp;$B164,$AF$3:$AF$870,"&gt;="&amp;$B164)/INDEX('01_INPUTS'!$E$17:$E$31,MATCH(J$23,'01_INPUTS'!$B$17:$B$31,0)))</f>
        <v>0</v>
      </c>
      <c r="K164" s="61">
        <f>IF(INDEX('01_INPUTS'!$E$17:$E$31,MATCH(K$23,'01_INPUTS'!$B$17:$B$31,0))=0,IF(SUMIFS($AD$3:$AD$870,$AC$3:$AC$870,K$23,$AE$3:$AE$870,"&lt;="&amp;$B164,$AF$3:$AF$870,"&gt;="&amp;$B164)=0,0,9.99),SUMIFS($AD$3:$AD$870,$AC$3:$AC$870,K$23,$AE$3:$AE$870,"&lt;="&amp;$B164,$AF$3:$AF$870,"&gt;="&amp;$B164)/INDEX('01_INPUTS'!$E$17:$E$31,MATCH(K$23,'01_INPUTS'!$B$17:$B$31,0)))</f>
        <v>0</v>
      </c>
      <c r="L164" s="61">
        <f>IF(INDEX('01_INPUTS'!$E$17:$E$31,MATCH(L$23,'01_INPUTS'!$B$17:$B$31,0))=0,IF(SUMIFS($AD$3:$AD$870,$AC$3:$AC$870,L$23,$AE$3:$AE$870,"&lt;="&amp;$B164,$AF$3:$AF$870,"&gt;="&amp;$B164)=0,0,9.99),SUMIFS($AD$3:$AD$870,$AC$3:$AC$870,L$23,$AE$3:$AE$870,"&lt;="&amp;$B164,$AF$3:$AF$870,"&gt;="&amp;$B164)/INDEX('01_INPUTS'!$E$17:$E$31,MATCH(L$23,'01_INPUTS'!$B$17:$B$31,0)))</f>
        <v>0</v>
      </c>
      <c r="M164" s="61">
        <f>IF(INDEX('01_INPUTS'!$E$17:$E$31,MATCH(M$23,'01_INPUTS'!$B$17:$B$31,0))=0,IF(SUMIFS($AD$3:$AD$870,$AC$3:$AC$870,M$23,$AE$3:$AE$870,"&lt;="&amp;$B164,$AF$3:$AF$870,"&gt;="&amp;$B164)=0,0,9.99),SUMIFS($AD$3:$AD$870,$AC$3:$AC$870,M$23,$AE$3:$AE$870,"&lt;="&amp;$B164,$AF$3:$AF$870,"&gt;="&amp;$B164)/INDEX('01_INPUTS'!$E$17:$E$31,MATCH(M$23,'01_INPUTS'!$B$17:$B$31,0)))</f>
        <v>0</v>
      </c>
      <c r="N164" s="61">
        <f>IF(INDEX('01_INPUTS'!$E$17:$E$31,MATCH(N$23,'01_INPUTS'!$B$17:$B$31,0))=0,IF(SUMIFS($AD$3:$AD$870,$AC$3:$AC$870,N$23,$AE$3:$AE$870,"&lt;="&amp;$B164,$AF$3:$AF$870,"&gt;="&amp;$B164)=0,0,9.99),SUMIFS($AD$3:$AD$870,$AC$3:$AC$870,N$23,$AE$3:$AE$870,"&lt;="&amp;$B164,$AF$3:$AF$870,"&gt;="&amp;$B164)/INDEX('01_INPUTS'!$E$17:$E$31,MATCH(N$23,'01_INPUTS'!$B$17:$B$31,0)))</f>
        <v>0</v>
      </c>
      <c r="O164" s="61">
        <f>IF(INDEX('01_INPUTS'!$E$17:$E$31,MATCH(O$23,'01_INPUTS'!$B$17:$B$31,0))=0,IF(SUMIFS($AD$3:$AD$870,$AC$3:$AC$870,O$23,$AE$3:$AE$870,"&lt;="&amp;$B164,$AF$3:$AF$870,"&gt;="&amp;$B164)=0,0,9.99),SUMIFS($AD$3:$AD$870,$AC$3:$AC$870,O$23,$AE$3:$AE$870,"&lt;="&amp;$B164,$AF$3:$AF$870,"&gt;="&amp;$B164)/INDEX('01_INPUTS'!$E$17:$E$31,MATCH(O$23,'01_INPUTS'!$B$17:$B$31,0)))</f>
        <v>0</v>
      </c>
      <c r="P164" s="61">
        <f>IF(INDEX('01_INPUTS'!$E$17:$E$31,MATCH(P$23,'01_INPUTS'!$B$17:$B$31,0))=0,IF(SUMIFS($AD$3:$AD$870,$AC$3:$AC$870,P$23,$AE$3:$AE$870,"&lt;="&amp;$B164,$AF$3:$AF$870,"&gt;="&amp;$B164)=0,0,9.99),SUMIFS($AD$3:$AD$870,$AC$3:$AC$870,P$23,$AE$3:$AE$870,"&lt;="&amp;$B164,$AF$3:$AF$870,"&gt;="&amp;$B164)/INDEX('01_INPUTS'!$E$17:$E$31,MATCH(P$23,'01_INPUTS'!$B$17:$B$31,0)))</f>
        <v>0</v>
      </c>
      <c r="Q164" s="61">
        <f>IF(INDEX('01_INPUTS'!$E$17:$E$31,MATCH(Q$23,'01_INPUTS'!$B$17:$B$31,0))=0,IF(SUMIFS($AD$3:$AD$870,$AC$3:$AC$870,Q$23,$AE$3:$AE$870,"&lt;="&amp;$B164,$AF$3:$AF$870,"&gt;="&amp;$B164)=0,0,9.99),SUMIFS($AD$3:$AD$870,$AC$3:$AC$870,Q$23,$AE$3:$AE$870,"&lt;="&amp;$B164,$AF$3:$AF$870,"&gt;="&amp;$B164)/INDEX('01_INPUTS'!$E$17:$E$31,MATCH(Q$23,'01_INPUTS'!$B$17:$B$31,0)))</f>
        <v>0</v>
      </c>
      <c r="R164" s="61">
        <f>IF(INDEX('01_INPUTS'!$E$17:$E$31,MATCH(R$23,'01_INPUTS'!$B$17:$B$31,0))=0,IF(SUMIFS($AD$3:$AD$870,$AC$3:$AC$870,R$23,$AE$3:$AE$870,"&lt;="&amp;$B164,$AF$3:$AF$870,"&gt;="&amp;$B164)=0,0,9.99),SUMIFS($AD$3:$AD$870,$AC$3:$AC$870,R$23,$AE$3:$AE$870,"&lt;="&amp;$B164,$AF$3:$AF$870,"&gt;="&amp;$B164)/INDEX('01_INPUTS'!$E$17:$E$31,MATCH(R$23,'01_INPUTS'!$B$17:$B$31,0)))</f>
        <v>0</v>
      </c>
      <c r="S164">
        <f t="shared" si="19"/>
        <v>0</v>
      </c>
      <c r="T164">
        <f>SUM('01_INPUTS'!$E$17:$E$31)</f>
        <v>20</v>
      </c>
      <c r="U164" s="61">
        <f t="shared" si="20"/>
        <v>0</v>
      </c>
      <c r="V164">
        <f t="shared" si="21"/>
        <v>0</v>
      </c>
      <c r="W164" t="str">
        <f t="shared" si="22"/>
        <v>VERDE</v>
      </c>
      <c r="AA164" s="51" t="str">
        <f>'Sites Master'!$B$4</f>
        <v>Site 03</v>
      </c>
      <c r="AB164" s="51" t="str">
        <f>'Phase-Resource Allocation'!$B$101</f>
        <v>DIALT</v>
      </c>
      <c r="AC164" s="51" t="str">
        <f>'Phase-Resource Allocation'!$C$101</f>
        <v>Trainers</v>
      </c>
      <c r="AD164" s="60">
        <f>'Phase-Resource Allocation'!$D$101</f>
        <v>1</v>
      </c>
      <c r="AE164" s="51">
        <f>IFERROR(INDEX('02_SCHEDULE'!$K$5:$K$124,MATCH(AA164&amp;"|"&amp;AB164,'02_SCHEDULE'!$M$5:$M$124,0)),0)</f>
        <v>11</v>
      </c>
      <c r="AF164" s="51">
        <f>IFERROR(INDEX('02_SCHEDULE'!$L$5:$L$124,MATCH(AA164&amp;"|"&amp;AB164,'02_SCHEDULE'!$M$5:$M$124,0)),0)</f>
        <v>11</v>
      </c>
      <c r="AG164" s="51">
        <f t="shared" si="18"/>
        <v>1</v>
      </c>
    </row>
    <row r="165" spans="2:33" x14ac:dyDescent="0.3">
      <c r="B165">
        <f>142</f>
        <v>142</v>
      </c>
      <c r="C165" s="55">
        <f>'01_INPUTS'!$C$7+(142-1)*7</f>
        <v>47238</v>
      </c>
      <c r="D165" s="61">
        <f>IF(INDEX('01_INPUTS'!$E$17:$E$31,MATCH(D$23,'01_INPUTS'!$B$17:$B$31,0))=0,IF(SUMIFS($AD$3:$AD$870,$AC$3:$AC$870,D$23,$AE$3:$AE$870,"&lt;="&amp;$B165,$AF$3:$AF$870,"&gt;="&amp;$B165)=0,0,9.99),SUMIFS($AD$3:$AD$870,$AC$3:$AC$870,D$23,$AE$3:$AE$870,"&lt;="&amp;$B165,$AF$3:$AF$870,"&gt;="&amp;$B165)/INDEX('01_INPUTS'!$E$17:$E$31,MATCH(D$23,'01_INPUTS'!$B$17:$B$31,0)))</f>
        <v>0</v>
      </c>
      <c r="E165" s="61">
        <f>IF(INDEX('01_INPUTS'!$E$17:$E$31,MATCH(E$23,'01_INPUTS'!$B$17:$B$31,0))=0,IF(SUMIFS($AD$3:$AD$870,$AC$3:$AC$870,E$23,$AE$3:$AE$870,"&lt;="&amp;$B165,$AF$3:$AF$870,"&gt;="&amp;$B165)=0,0,9.99),SUMIFS($AD$3:$AD$870,$AC$3:$AC$870,E$23,$AE$3:$AE$870,"&lt;="&amp;$B165,$AF$3:$AF$870,"&gt;="&amp;$B165)/INDEX('01_INPUTS'!$E$17:$E$31,MATCH(E$23,'01_INPUTS'!$B$17:$B$31,0)))</f>
        <v>0</v>
      </c>
      <c r="F165" s="61">
        <f>IF(INDEX('01_INPUTS'!$E$17:$E$31,MATCH(F$23,'01_INPUTS'!$B$17:$B$31,0))=0,IF(SUMIFS($AD$3:$AD$870,$AC$3:$AC$870,F$23,$AE$3:$AE$870,"&lt;="&amp;$B165,$AF$3:$AF$870,"&gt;="&amp;$B165)=0,0,9.99),SUMIFS($AD$3:$AD$870,$AC$3:$AC$870,F$23,$AE$3:$AE$870,"&lt;="&amp;$B165,$AF$3:$AF$870,"&gt;="&amp;$B165)/INDEX('01_INPUTS'!$E$17:$E$31,MATCH(F$23,'01_INPUTS'!$B$17:$B$31,0)))</f>
        <v>0</v>
      </c>
      <c r="G165" s="61">
        <f>IF(INDEX('01_INPUTS'!$E$17:$E$31,MATCH(G$23,'01_INPUTS'!$B$17:$B$31,0))=0,IF(SUMIFS($AD$3:$AD$870,$AC$3:$AC$870,G$23,$AE$3:$AE$870,"&lt;="&amp;$B165,$AF$3:$AF$870,"&gt;="&amp;$B165)=0,0,9.99),SUMIFS($AD$3:$AD$870,$AC$3:$AC$870,G$23,$AE$3:$AE$870,"&lt;="&amp;$B165,$AF$3:$AF$870,"&gt;="&amp;$B165)/INDEX('01_INPUTS'!$E$17:$E$31,MATCH(G$23,'01_INPUTS'!$B$17:$B$31,0)))</f>
        <v>0</v>
      </c>
      <c r="H165" s="61">
        <f>IF(INDEX('01_INPUTS'!$E$17:$E$31,MATCH(H$23,'01_INPUTS'!$B$17:$B$31,0))=0,IF(SUMIFS($AD$3:$AD$870,$AC$3:$AC$870,H$23,$AE$3:$AE$870,"&lt;="&amp;$B165,$AF$3:$AF$870,"&gt;="&amp;$B165)=0,0,9.99),SUMIFS($AD$3:$AD$870,$AC$3:$AC$870,H$23,$AE$3:$AE$870,"&lt;="&amp;$B165,$AF$3:$AF$870,"&gt;="&amp;$B165)/INDEX('01_INPUTS'!$E$17:$E$31,MATCH(H$23,'01_INPUTS'!$B$17:$B$31,0)))</f>
        <v>0</v>
      </c>
      <c r="I165" s="61">
        <f>IF(INDEX('01_INPUTS'!$E$17:$E$31,MATCH(I$23,'01_INPUTS'!$B$17:$B$31,0))=0,IF(SUMIFS($AD$3:$AD$870,$AC$3:$AC$870,I$23,$AE$3:$AE$870,"&lt;="&amp;$B165,$AF$3:$AF$870,"&gt;="&amp;$B165)=0,0,9.99),SUMIFS($AD$3:$AD$870,$AC$3:$AC$870,I$23,$AE$3:$AE$870,"&lt;="&amp;$B165,$AF$3:$AF$870,"&gt;="&amp;$B165)/INDEX('01_INPUTS'!$E$17:$E$31,MATCH(I$23,'01_INPUTS'!$B$17:$B$31,0)))</f>
        <v>0</v>
      </c>
      <c r="J165" s="61">
        <f>IF(INDEX('01_INPUTS'!$E$17:$E$31,MATCH(J$23,'01_INPUTS'!$B$17:$B$31,0))=0,IF(SUMIFS($AD$3:$AD$870,$AC$3:$AC$870,J$23,$AE$3:$AE$870,"&lt;="&amp;$B165,$AF$3:$AF$870,"&gt;="&amp;$B165)=0,0,9.99),SUMIFS($AD$3:$AD$870,$AC$3:$AC$870,J$23,$AE$3:$AE$870,"&lt;="&amp;$B165,$AF$3:$AF$870,"&gt;="&amp;$B165)/INDEX('01_INPUTS'!$E$17:$E$31,MATCH(J$23,'01_INPUTS'!$B$17:$B$31,0)))</f>
        <v>0</v>
      </c>
      <c r="K165" s="61">
        <f>IF(INDEX('01_INPUTS'!$E$17:$E$31,MATCH(K$23,'01_INPUTS'!$B$17:$B$31,0))=0,IF(SUMIFS($AD$3:$AD$870,$AC$3:$AC$870,K$23,$AE$3:$AE$870,"&lt;="&amp;$B165,$AF$3:$AF$870,"&gt;="&amp;$B165)=0,0,9.99),SUMIFS($AD$3:$AD$870,$AC$3:$AC$870,K$23,$AE$3:$AE$870,"&lt;="&amp;$B165,$AF$3:$AF$870,"&gt;="&amp;$B165)/INDEX('01_INPUTS'!$E$17:$E$31,MATCH(K$23,'01_INPUTS'!$B$17:$B$31,0)))</f>
        <v>0</v>
      </c>
      <c r="L165" s="61">
        <f>IF(INDEX('01_INPUTS'!$E$17:$E$31,MATCH(L$23,'01_INPUTS'!$B$17:$B$31,0))=0,IF(SUMIFS($AD$3:$AD$870,$AC$3:$AC$870,L$23,$AE$3:$AE$870,"&lt;="&amp;$B165,$AF$3:$AF$870,"&gt;="&amp;$B165)=0,0,9.99),SUMIFS($AD$3:$AD$870,$AC$3:$AC$870,L$23,$AE$3:$AE$870,"&lt;="&amp;$B165,$AF$3:$AF$870,"&gt;="&amp;$B165)/INDEX('01_INPUTS'!$E$17:$E$31,MATCH(L$23,'01_INPUTS'!$B$17:$B$31,0)))</f>
        <v>0</v>
      </c>
      <c r="M165" s="61">
        <f>IF(INDEX('01_INPUTS'!$E$17:$E$31,MATCH(M$23,'01_INPUTS'!$B$17:$B$31,0))=0,IF(SUMIFS($AD$3:$AD$870,$AC$3:$AC$870,M$23,$AE$3:$AE$870,"&lt;="&amp;$B165,$AF$3:$AF$870,"&gt;="&amp;$B165)=0,0,9.99),SUMIFS($AD$3:$AD$870,$AC$3:$AC$870,M$23,$AE$3:$AE$870,"&lt;="&amp;$B165,$AF$3:$AF$870,"&gt;="&amp;$B165)/INDEX('01_INPUTS'!$E$17:$E$31,MATCH(M$23,'01_INPUTS'!$B$17:$B$31,0)))</f>
        <v>0</v>
      </c>
      <c r="N165" s="61">
        <f>IF(INDEX('01_INPUTS'!$E$17:$E$31,MATCH(N$23,'01_INPUTS'!$B$17:$B$31,0))=0,IF(SUMIFS($AD$3:$AD$870,$AC$3:$AC$870,N$23,$AE$3:$AE$870,"&lt;="&amp;$B165,$AF$3:$AF$870,"&gt;="&amp;$B165)=0,0,9.99),SUMIFS($AD$3:$AD$870,$AC$3:$AC$870,N$23,$AE$3:$AE$870,"&lt;="&amp;$B165,$AF$3:$AF$870,"&gt;="&amp;$B165)/INDEX('01_INPUTS'!$E$17:$E$31,MATCH(N$23,'01_INPUTS'!$B$17:$B$31,0)))</f>
        <v>0</v>
      </c>
      <c r="O165" s="61">
        <f>IF(INDEX('01_INPUTS'!$E$17:$E$31,MATCH(O$23,'01_INPUTS'!$B$17:$B$31,0))=0,IF(SUMIFS($AD$3:$AD$870,$AC$3:$AC$870,O$23,$AE$3:$AE$870,"&lt;="&amp;$B165,$AF$3:$AF$870,"&gt;="&amp;$B165)=0,0,9.99),SUMIFS($AD$3:$AD$870,$AC$3:$AC$870,O$23,$AE$3:$AE$870,"&lt;="&amp;$B165,$AF$3:$AF$870,"&gt;="&amp;$B165)/INDEX('01_INPUTS'!$E$17:$E$31,MATCH(O$23,'01_INPUTS'!$B$17:$B$31,0)))</f>
        <v>0</v>
      </c>
      <c r="P165" s="61">
        <f>IF(INDEX('01_INPUTS'!$E$17:$E$31,MATCH(P$23,'01_INPUTS'!$B$17:$B$31,0))=0,IF(SUMIFS($AD$3:$AD$870,$AC$3:$AC$870,P$23,$AE$3:$AE$870,"&lt;="&amp;$B165,$AF$3:$AF$870,"&gt;="&amp;$B165)=0,0,9.99),SUMIFS($AD$3:$AD$870,$AC$3:$AC$870,P$23,$AE$3:$AE$870,"&lt;="&amp;$B165,$AF$3:$AF$870,"&gt;="&amp;$B165)/INDEX('01_INPUTS'!$E$17:$E$31,MATCH(P$23,'01_INPUTS'!$B$17:$B$31,0)))</f>
        <v>0</v>
      </c>
      <c r="Q165" s="61">
        <f>IF(INDEX('01_INPUTS'!$E$17:$E$31,MATCH(Q$23,'01_INPUTS'!$B$17:$B$31,0))=0,IF(SUMIFS($AD$3:$AD$870,$AC$3:$AC$870,Q$23,$AE$3:$AE$870,"&lt;="&amp;$B165,$AF$3:$AF$870,"&gt;="&amp;$B165)=0,0,9.99),SUMIFS($AD$3:$AD$870,$AC$3:$AC$870,Q$23,$AE$3:$AE$870,"&lt;="&amp;$B165,$AF$3:$AF$870,"&gt;="&amp;$B165)/INDEX('01_INPUTS'!$E$17:$E$31,MATCH(Q$23,'01_INPUTS'!$B$17:$B$31,0)))</f>
        <v>0</v>
      </c>
      <c r="R165" s="61">
        <f>IF(INDEX('01_INPUTS'!$E$17:$E$31,MATCH(R$23,'01_INPUTS'!$B$17:$B$31,0))=0,IF(SUMIFS($AD$3:$AD$870,$AC$3:$AC$870,R$23,$AE$3:$AE$870,"&lt;="&amp;$B165,$AF$3:$AF$870,"&gt;="&amp;$B165)=0,0,9.99),SUMIFS($AD$3:$AD$870,$AC$3:$AC$870,R$23,$AE$3:$AE$870,"&lt;="&amp;$B165,$AF$3:$AF$870,"&gt;="&amp;$B165)/INDEX('01_INPUTS'!$E$17:$E$31,MATCH(R$23,'01_INPUTS'!$B$17:$B$31,0)))</f>
        <v>0</v>
      </c>
      <c r="S165">
        <f t="shared" si="19"/>
        <v>0</v>
      </c>
      <c r="T165">
        <f>SUM('01_INPUTS'!$E$17:$E$31)</f>
        <v>20</v>
      </c>
      <c r="U165" s="61">
        <f t="shared" si="20"/>
        <v>0</v>
      </c>
      <c r="V165">
        <f t="shared" si="21"/>
        <v>0</v>
      </c>
      <c r="W165" t="str">
        <f t="shared" si="22"/>
        <v>VERDE</v>
      </c>
      <c r="AA165" s="51" t="str">
        <f>'Sites Master'!$B$4</f>
        <v>Site 03</v>
      </c>
      <c r="AB165" s="51" t="str">
        <f>'Phase-Resource Allocation'!$B$102</f>
        <v>DIALT</v>
      </c>
      <c r="AC165" s="51" t="str">
        <f>'Phase-Resource Allocation'!$C$102</f>
        <v>Functional Lead Vendor A</v>
      </c>
      <c r="AD165" s="60">
        <f>'Phase-Resource Allocation'!$D$102</f>
        <v>1</v>
      </c>
      <c r="AE165" s="51">
        <f>IFERROR(INDEX('02_SCHEDULE'!$K$5:$K$124,MATCH(AA165&amp;"|"&amp;AB165,'02_SCHEDULE'!$M$5:$M$124,0)),0)</f>
        <v>11</v>
      </c>
      <c r="AF165" s="51">
        <f>IFERROR(INDEX('02_SCHEDULE'!$L$5:$L$124,MATCH(AA165&amp;"|"&amp;AB165,'02_SCHEDULE'!$M$5:$M$124,0)),0)</f>
        <v>11</v>
      </c>
      <c r="AG165" s="51">
        <f t="shared" si="18"/>
        <v>1</v>
      </c>
    </row>
    <row r="166" spans="2:33" x14ac:dyDescent="0.3">
      <c r="B166">
        <f>143</f>
        <v>143</v>
      </c>
      <c r="C166" s="55">
        <f>'01_INPUTS'!$C$7+(143-1)*7</f>
        <v>47245</v>
      </c>
      <c r="D166" s="61">
        <f>IF(INDEX('01_INPUTS'!$E$17:$E$31,MATCH(D$23,'01_INPUTS'!$B$17:$B$31,0))=0,IF(SUMIFS($AD$3:$AD$870,$AC$3:$AC$870,D$23,$AE$3:$AE$870,"&lt;="&amp;$B166,$AF$3:$AF$870,"&gt;="&amp;$B166)=0,0,9.99),SUMIFS($AD$3:$AD$870,$AC$3:$AC$870,D$23,$AE$3:$AE$870,"&lt;="&amp;$B166,$AF$3:$AF$870,"&gt;="&amp;$B166)/INDEX('01_INPUTS'!$E$17:$E$31,MATCH(D$23,'01_INPUTS'!$B$17:$B$31,0)))</f>
        <v>0</v>
      </c>
      <c r="E166" s="61">
        <f>IF(INDEX('01_INPUTS'!$E$17:$E$31,MATCH(E$23,'01_INPUTS'!$B$17:$B$31,0))=0,IF(SUMIFS($AD$3:$AD$870,$AC$3:$AC$870,E$23,$AE$3:$AE$870,"&lt;="&amp;$B166,$AF$3:$AF$870,"&gt;="&amp;$B166)=0,0,9.99),SUMIFS($AD$3:$AD$870,$AC$3:$AC$870,E$23,$AE$3:$AE$870,"&lt;="&amp;$B166,$AF$3:$AF$870,"&gt;="&amp;$B166)/INDEX('01_INPUTS'!$E$17:$E$31,MATCH(E$23,'01_INPUTS'!$B$17:$B$31,0)))</f>
        <v>0</v>
      </c>
      <c r="F166" s="61">
        <f>IF(INDEX('01_INPUTS'!$E$17:$E$31,MATCH(F$23,'01_INPUTS'!$B$17:$B$31,0))=0,IF(SUMIFS($AD$3:$AD$870,$AC$3:$AC$870,F$23,$AE$3:$AE$870,"&lt;="&amp;$B166,$AF$3:$AF$870,"&gt;="&amp;$B166)=0,0,9.99),SUMIFS($AD$3:$AD$870,$AC$3:$AC$870,F$23,$AE$3:$AE$870,"&lt;="&amp;$B166,$AF$3:$AF$870,"&gt;="&amp;$B166)/INDEX('01_INPUTS'!$E$17:$E$31,MATCH(F$23,'01_INPUTS'!$B$17:$B$31,0)))</f>
        <v>0</v>
      </c>
      <c r="G166" s="61">
        <f>IF(INDEX('01_INPUTS'!$E$17:$E$31,MATCH(G$23,'01_INPUTS'!$B$17:$B$31,0))=0,IF(SUMIFS($AD$3:$AD$870,$AC$3:$AC$870,G$23,$AE$3:$AE$870,"&lt;="&amp;$B166,$AF$3:$AF$870,"&gt;="&amp;$B166)=0,0,9.99),SUMIFS($AD$3:$AD$870,$AC$3:$AC$870,G$23,$AE$3:$AE$870,"&lt;="&amp;$B166,$AF$3:$AF$870,"&gt;="&amp;$B166)/INDEX('01_INPUTS'!$E$17:$E$31,MATCH(G$23,'01_INPUTS'!$B$17:$B$31,0)))</f>
        <v>0</v>
      </c>
      <c r="H166" s="61">
        <f>IF(INDEX('01_INPUTS'!$E$17:$E$31,MATCH(H$23,'01_INPUTS'!$B$17:$B$31,0))=0,IF(SUMIFS($AD$3:$AD$870,$AC$3:$AC$870,H$23,$AE$3:$AE$870,"&lt;="&amp;$B166,$AF$3:$AF$870,"&gt;="&amp;$B166)=0,0,9.99),SUMIFS($AD$3:$AD$870,$AC$3:$AC$870,H$23,$AE$3:$AE$870,"&lt;="&amp;$B166,$AF$3:$AF$870,"&gt;="&amp;$B166)/INDEX('01_INPUTS'!$E$17:$E$31,MATCH(H$23,'01_INPUTS'!$B$17:$B$31,0)))</f>
        <v>0</v>
      </c>
      <c r="I166" s="61">
        <f>IF(INDEX('01_INPUTS'!$E$17:$E$31,MATCH(I$23,'01_INPUTS'!$B$17:$B$31,0))=0,IF(SUMIFS($AD$3:$AD$870,$AC$3:$AC$870,I$23,$AE$3:$AE$870,"&lt;="&amp;$B166,$AF$3:$AF$870,"&gt;="&amp;$B166)=0,0,9.99),SUMIFS($AD$3:$AD$870,$AC$3:$AC$870,I$23,$AE$3:$AE$870,"&lt;="&amp;$B166,$AF$3:$AF$870,"&gt;="&amp;$B166)/INDEX('01_INPUTS'!$E$17:$E$31,MATCH(I$23,'01_INPUTS'!$B$17:$B$31,0)))</f>
        <v>0</v>
      </c>
      <c r="J166" s="61">
        <f>IF(INDEX('01_INPUTS'!$E$17:$E$31,MATCH(J$23,'01_INPUTS'!$B$17:$B$31,0))=0,IF(SUMIFS($AD$3:$AD$870,$AC$3:$AC$870,J$23,$AE$3:$AE$870,"&lt;="&amp;$B166,$AF$3:$AF$870,"&gt;="&amp;$B166)=0,0,9.99),SUMIFS($AD$3:$AD$870,$AC$3:$AC$870,J$23,$AE$3:$AE$870,"&lt;="&amp;$B166,$AF$3:$AF$870,"&gt;="&amp;$B166)/INDEX('01_INPUTS'!$E$17:$E$31,MATCH(J$23,'01_INPUTS'!$B$17:$B$31,0)))</f>
        <v>0</v>
      </c>
      <c r="K166" s="61">
        <f>IF(INDEX('01_INPUTS'!$E$17:$E$31,MATCH(K$23,'01_INPUTS'!$B$17:$B$31,0))=0,IF(SUMIFS($AD$3:$AD$870,$AC$3:$AC$870,K$23,$AE$3:$AE$870,"&lt;="&amp;$B166,$AF$3:$AF$870,"&gt;="&amp;$B166)=0,0,9.99),SUMIFS($AD$3:$AD$870,$AC$3:$AC$870,K$23,$AE$3:$AE$870,"&lt;="&amp;$B166,$AF$3:$AF$870,"&gt;="&amp;$B166)/INDEX('01_INPUTS'!$E$17:$E$31,MATCH(K$23,'01_INPUTS'!$B$17:$B$31,0)))</f>
        <v>0</v>
      </c>
      <c r="L166" s="61">
        <f>IF(INDEX('01_INPUTS'!$E$17:$E$31,MATCH(L$23,'01_INPUTS'!$B$17:$B$31,0))=0,IF(SUMIFS($AD$3:$AD$870,$AC$3:$AC$870,L$23,$AE$3:$AE$870,"&lt;="&amp;$B166,$AF$3:$AF$870,"&gt;="&amp;$B166)=0,0,9.99),SUMIFS($AD$3:$AD$870,$AC$3:$AC$870,L$23,$AE$3:$AE$870,"&lt;="&amp;$B166,$AF$3:$AF$870,"&gt;="&amp;$B166)/INDEX('01_INPUTS'!$E$17:$E$31,MATCH(L$23,'01_INPUTS'!$B$17:$B$31,0)))</f>
        <v>0</v>
      </c>
      <c r="M166" s="61">
        <f>IF(INDEX('01_INPUTS'!$E$17:$E$31,MATCH(M$23,'01_INPUTS'!$B$17:$B$31,0))=0,IF(SUMIFS($AD$3:$AD$870,$AC$3:$AC$870,M$23,$AE$3:$AE$870,"&lt;="&amp;$B166,$AF$3:$AF$870,"&gt;="&amp;$B166)=0,0,9.99),SUMIFS($AD$3:$AD$870,$AC$3:$AC$870,M$23,$AE$3:$AE$870,"&lt;="&amp;$B166,$AF$3:$AF$870,"&gt;="&amp;$B166)/INDEX('01_INPUTS'!$E$17:$E$31,MATCH(M$23,'01_INPUTS'!$B$17:$B$31,0)))</f>
        <v>0</v>
      </c>
      <c r="N166" s="61">
        <f>IF(INDEX('01_INPUTS'!$E$17:$E$31,MATCH(N$23,'01_INPUTS'!$B$17:$B$31,0))=0,IF(SUMIFS($AD$3:$AD$870,$AC$3:$AC$870,N$23,$AE$3:$AE$870,"&lt;="&amp;$B166,$AF$3:$AF$870,"&gt;="&amp;$B166)=0,0,9.99),SUMIFS($AD$3:$AD$870,$AC$3:$AC$870,N$23,$AE$3:$AE$870,"&lt;="&amp;$B166,$AF$3:$AF$870,"&gt;="&amp;$B166)/INDEX('01_INPUTS'!$E$17:$E$31,MATCH(N$23,'01_INPUTS'!$B$17:$B$31,0)))</f>
        <v>0</v>
      </c>
      <c r="O166" s="61">
        <f>IF(INDEX('01_INPUTS'!$E$17:$E$31,MATCH(O$23,'01_INPUTS'!$B$17:$B$31,0))=0,IF(SUMIFS($AD$3:$AD$870,$AC$3:$AC$870,O$23,$AE$3:$AE$870,"&lt;="&amp;$B166,$AF$3:$AF$870,"&gt;="&amp;$B166)=0,0,9.99),SUMIFS($AD$3:$AD$870,$AC$3:$AC$870,O$23,$AE$3:$AE$870,"&lt;="&amp;$B166,$AF$3:$AF$870,"&gt;="&amp;$B166)/INDEX('01_INPUTS'!$E$17:$E$31,MATCH(O$23,'01_INPUTS'!$B$17:$B$31,0)))</f>
        <v>0</v>
      </c>
      <c r="P166" s="61">
        <f>IF(INDEX('01_INPUTS'!$E$17:$E$31,MATCH(P$23,'01_INPUTS'!$B$17:$B$31,0))=0,IF(SUMIFS($AD$3:$AD$870,$AC$3:$AC$870,P$23,$AE$3:$AE$870,"&lt;="&amp;$B166,$AF$3:$AF$870,"&gt;="&amp;$B166)=0,0,9.99),SUMIFS($AD$3:$AD$870,$AC$3:$AC$870,P$23,$AE$3:$AE$870,"&lt;="&amp;$B166,$AF$3:$AF$870,"&gt;="&amp;$B166)/INDEX('01_INPUTS'!$E$17:$E$31,MATCH(P$23,'01_INPUTS'!$B$17:$B$31,0)))</f>
        <v>0</v>
      </c>
      <c r="Q166" s="61">
        <f>IF(INDEX('01_INPUTS'!$E$17:$E$31,MATCH(Q$23,'01_INPUTS'!$B$17:$B$31,0))=0,IF(SUMIFS($AD$3:$AD$870,$AC$3:$AC$870,Q$23,$AE$3:$AE$870,"&lt;="&amp;$B166,$AF$3:$AF$870,"&gt;="&amp;$B166)=0,0,9.99),SUMIFS($AD$3:$AD$870,$AC$3:$AC$870,Q$23,$AE$3:$AE$870,"&lt;="&amp;$B166,$AF$3:$AF$870,"&gt;="&amp;$B166)/INDEX('01_INPUTS'!$E$17:$E$31,MATCH(Q$23,'01_INPUTS'!$B$17:$B$31,0)))</f>
        <v>0</v>
      </c>
      <c r="R166" s="61">
        <f>IF(INDEX('01_INPUTS'!$E$17:$E$31,MATCH(R$23,'01_INPUTS'!$B$17:$B$31,0))=0,IF(SUMIFS($AD$3:$AD$870,$AC$3:$AC$870,R$23,$AE$3:$AE$870,"&lt;="&amp;$B166,$AF$3:$AF$870,"&gt;="&amp;$B166)=0,0,9.99),SUMIFS($AD$3:$AD$870,$AC$3:$AC$870,R$23,$AE$3:$AE$870,"&lt;="&amp;$B166,$AF$3:$AF$870,"&gt;="&amp;$B166)/INDEX('01_INPUTS'!$E$17:$E$31,MATCH(R$23,'01_INPUTS'!$B$17:$B$31,0)))</f>
        <v>0</v>
      </c>
      <c r="S166">
        <f t="shared" si="19"/>
        <v>0</v>
      </c>
      <c r="T166">
        <f>SUM('01_INPUTS'!$E$17:$E$31)</f>
        <v>20</v>
      </c>
      <c r="U166" s="61">
        <f t="shared" si="20"/>
        <v>0</v>
      </c>
      <c r="V166">
        <f t="shared" si="21"/>
        <v>0</v>
      </c>
      <c r="W166" t="str">
        <f t="shared" si="22"/>
        <v>VERDE</v>
      </c>
      <c r="AA166" s="51" t="str">
        <f>'Sites Master'!$B$4</f>
        <v>Site 03</v>
      </c>
      <c r="AB166" s="51" t="str">
        <f>'Phase-Resource Allocation'!$B$103</f>
        <v>Go Live</v>
      </c>
      <c r="AC166" s="51" t="str">
        <f>'Phase-Resource Allocation'!$C$103</f>
        <v>Solution Architect</v>
      </c>
      <c r="AD166" s="60">
        <f>'Phase-Resource Allocation'!$D$103</f>
        <v>1</v>
      </c>
      <c r="AE166" s="51">
        <f>IFERROR(INDEX('02_SCHEDULE'!$K$5:$K$124,MATCH(AA166&amp;"|"&amp;AB166,'02_SCHEDULE'!$M$5:$M$124,0)),0)</f>
        <v>12</v>
      </c>
      <c r="AF166" s="51">
        <f>IFERROR(INDEX('02_SCHEDULE'!$L$5:$L$124,MATCH(AA166&amp;"|"&amp;AB166,'02_SCHEDULE'!$M$5:$M$124,0)),0)</f>
        <v>12</v>
      </c>
      <c r="AG166" s="51">
        <f t="shared" si="18"/>
        <v>1</v>
      </c>
    </row>
    <row r="167" spans="2:33" x14ac:dyDescent="0.3">
      <c r="B167">
        <f>144</f>
        <v>144</v>
      </c>
      <c r="C167" s="55">
        <f>'01_INPUTS'!$C$7+(144-1)*7</f>
        <v>47252</v>
      </c>
      <c r="D167" s="61">
        <f>IF(INDEX('01_INPUTS'!$E$17:$E$31,MATCH(D$23,'01_INPUTS'!$B$17:$B$31,0))=0,IF(SUMIFS($AD$3:$AD$870,$AC$3:$AC$870,D$23,$AE$3:$AE$870,"&lt;="&amp;$B167,$AF$3:$AF$870,"&gt;="&amp;$B167)=0,0,9.99),SUMIFS($AD$3:$AD$870,$AC$3:$AC$870,D$23,$AE$3:$AE$870,"&lt;="&amp;$B167,$AF$3:$AF$870,"&gt;="&amp;$B167)/INDEX('01_INPUTS'!$E$17:$E$31,MATCH(D$23,'01_INPUTS'!$B$17:$B$31,0)))</f>
        <v>0</v>
      </c>
      <c r="E167" s="61">
        <f>IF(INDEX('01_INPUTS'!$E$17:$E$31,MATCH(E$23,'01_INPUTS'!$B$17:$B$31,0))=0,IF(SUMIFS($AD$3:$AD$870,$AC$3:$AC$870,E$23,$AE$3:$AE$870,"&lt;="&amp;$B167,$AF$3:$AF$870,"&gt;="&amp;$B167)=0,0,9.99),SUMIFS($AD$3:$AD$870,$AC$3:$AC$870,E$23,$AE$3:$AE$870,"&lt;="&amp;$B167,$AF$3:$AF$870,"&gt;="&amp;$B167)/INDEX('01_INPUTS'!$E$17:$E$31,MATCH(E$23,'01_INPUTS'!$B$17:$B$31,0)))</f>
        <v>0</v>
      </c>
      <c r="F167" s="61">
        <f>IF(INDEX('01_INPUTS'!$E$17:$E$31,MATCH(F$23,'01_INPUTS'!$B$17:$B$31,0))=0,IF(SUMIFS($AD$3:$AD$870,$AC$3:$AC$870,F$23,$AE$3:$AE$870,"&lt;="&amp;$B167,$AF$3:$AF$870,"&gt;="&amp;$B167)=0,0,9.99),SUMIFS($AD$3:$AD$870,$AC$3:$AC$870,F$23,$AE$3:$AE$870,"&lt;="&amp;$B167,$AF$3:$AF$870,"&gt;="&amp;$B167)/INDEX('01_INPUTS'!$E$17:$E$31,MATCH(F$23,'01_INPUTS'!$B$17:$B$31,0)))</f>
        <v>0</v>
      </c>
      <c r="G167" s="61">
        <f>IF(INDEX('01_INPUTS'!$E$17:$E$31,MATCH(G$23,'01_INPUTS'!$B$17:$B$31,0))=0,IF(SUMIFS($AD$3:$AD$870,$AC$3:$AC$870,G$23,$AE$3:$AE$870,"&lt;="&amp;$B167,$AF$3:$AF$870,"&gt;="&amp;$B167)=0,0,9.99),SUMIFS($AD$3:$AD$870,$AC$3:$AC$870,G$23,$AE$3:$AE$870,"&lt;="&amp;$B167,$AF$3:$AF$870,"&gt;="&amp;$B167)/INDEX('01_INPUTS'!$E$17:$E$31,MATCH(G$23,'01_INPUTS'!$B$17:$B$31,0)))</f>
        <v>0</v>
      </c>
      <c r="H167" s="61">
        <f>IF(INDEX('01_INPUTS'!$E$17:$E$31,MATCH(H$23,'01_INPUTS'!$B$17:$B$31,0))=0,IF(SUMIFS($AD$3:$AD$870,$AC$3:$AC$870,H$23,$AE$3:$AE$870,"&lt;="&amp;$B167,$AF$3:$AF$870,"&gt;="&amp;$B167)=0,0,9.99),SUMIFS($AD$3:$AD$870,$AC$3:$AC$870,H$23,$AE$3:$AE$870,"&lt;="&amp;$B167,$AF$3:$AF$870,"&gt;="&amp;$B167)/INDEX('01_INPUTS'!$E$17:$E$31,MATCH(H$23,'01_INPUTS'!$B$17:$B$31,0)))</f>
        <v>0</v>
      </c>
      <c r="I167" s="61">
        <f>IF(INDEX('01_INPUTS'!$E$17:$E$31,MATCH(I$23,'01_INPUTS'!$B$17:$B$31,0))=0,IF(SUMIFS($AD$3:$AD$870,$AC$3:$AC$870,I$23,$AE$3:$AE$870,"&lt;="&amp;$B167,$AF$3:$AF$870,"&gt;="&amp;$B167)=0,0,9.99),SUMIFS($AD$3:$AD$870,$AC$3:$AC$870,I$23,$AE$3:$AE$870,"&lt;="&amp;$B167,$AF$3:$AF$870,"&gt;="&amp;$B167)/INDEX('01_INPUTS'!$E$17:$E$31,MATCH(I$23,'01_INPUTS'!$B$17:$B$31,0)))</f>
        <v>0</v>
      </c>
      <c r="J167" s="61">
        <f>IF(INDEX('01_INPUTS'!$E$17:$E$31,MATCH(J$23,'01_INPUTS'!$B$17:$B$31,0))=0,IF(SUMIFS($AD$3:$AD$870,$AC$3:$AC$870,J$23,$AE$3:$AE$870,"&lt;="&amp;$B167,$AF$3:$AF$870,"&gt;="&amp;$B167)=0,0,9.99),SUMIFS($AD$3:$AD$870,$AC$3:$AC$870,J$23,$AE$3:$AE$870,"&lt;="&amp;$B167,$AF$3:$AF$870,"&gt;="&amp;$B167)/INDEX('01_INPUTS'!$E$17:$E$31,MATCH(J$23,'01_INPUTS'!$B$17:$B$31,0)))</f>
        <v>0</v>
      </c>
      <c r="K167" s="61">
        <f>IF(INDEX('01_INPUTS'!$E$17:$E$31,MATCH(K$23,'01_INPUTS'!$B$17:$B$31,0))=0,IF(SUMIFS($AD$3:$AD$870,$AC$3:$AC$870,K$23,$AE$3:$AE$870,"&lt;="&amp;$B167,$AF$3:$AF$870,"&gt;="&amp;$B167)=0,0,9.99),SUMIFS($AD$3:$AD$870,$AC$3:$AC$870,K$23,$AE$3:$AE$870,"&lt;="&amp;$B167,$AF$3:$AF$870,"&gt;="&amp;$B167)/INDEX('01_INPUTS'!$E$17:$E$31,MATCH(K$23,'01_INPUTS'!$B$17:$B$31,0)))</f>
        <v>0</v>
      </c>
      <c r="L167" s="61">
        <f>IF(INDEX('01_INPUTS'!$E$17:$E$31,MATCH(L$23,'01_INPUTS'!$B$17:$B$31,0))=0,IF(SUMIFS($AD$3:$AD$870,$AC$3:$AC$870,L$23,$AE$3:$AE$870,"&lt;="&amp;$B167,$AF$3:$AF$870,"&gt;="&amp;$B167)=0,0,9.99),SUMIFS($AD$3:$AD$870,$AC$3:$AC$870,L$23,$AE$3:$AE$870,"&lt;="&amp;$B167,$AF$3:$AF$870,"&gt;="&amp;$B167)/INDEX('01_INPUTS'!$E$17:$E$31,MATCH(L$23,'01_INPUTS'!$B$17:$B$31,0)))</f>
        <v>0</v>
      </c>
      <c r="M167" s="61">
        <f>IF(INDEX('01_INPUTS'!$E$17:$E$31,MATCH(M$23,'01_INPUTS'!$B$17:$B$31,0))=0,IF(SUMIFS($AD$3:$AD$870,$AC$3:$AC$870,M$23,$AE$3:$AE$870,"&lt;="&amp;$B167,$AF$3:$AF$870,"&gt;="&amp;$B167)=0,0,9.99),SUMIFS($AD$3:$AD$870,$AC$3:$AC$870,M$23,$AE$3:$AE$870,"&lt;="&amp;$B167,$AF$3:$AF$870,"&gt;="&amp;$B167)/INDEX('01_INPUTS'!$E$17:$E$31,MATCH(M$23,'01_INPUTS'!$B$17:$B$31,0)))</f>
        <v>0</v>
      </c>
      <c r="N167" s="61">
        <f>IF(INDEX('01_INPUTS'!$E$17:$E$31,MATCH(N$23,'01_INPUTS'!$B$17:$B$31,0))=0,IF(SUMIFS($AD$3:$AD$870,$AC$3:$AC$870,N$23,$AE$3:$AE$870,"&lt;="&amp;$B167,$AF$3:$AF$870,"&gt;="&amp;$B167)=0,0,9.99),SUMIFS($AD$3:$AD$870,$AC$3:$AC$870,N$23,$AE$3:$AE$870,"&lt;="&amp;$B167,$AF$3:$AF$870,"&gt;="&amp;$B167)/INDEX('01_INPUTS'!$E$17:$E$31,MATCH(N$23,'01_INPUTS'!$B$17:$B$31,0)))</f>
        <v>0</v>
      </c>
      <c r="O167" s="61">
        <f>IF(INDEX('01_INPUTS'!$E$17:$E$31,MATCH(O$23,'01_INPUTS'!$B$17:$B$31,0))=0,IF(SUMIFS($AD$3:$AD$870,$AC$3:$AC$870,O$23,$AE$3:$AE$870,"&lt;="&amp;$B167,$AF$3:$AF$870,"&gt;="&amp;$B167)=0,0,9.99),SUMIFS($AD$3:$AD$870,$AC$3:$AC$870,O$23,$AE$3:$AE$870,"&lt;="&amp;$B167,$AF$3:$AF$870,"&gt;="&amp;$B167)/INDEX('01_INPUTS'!$E$17:$E$31,MATCH(O$23,'01_INPUTS'!$B$17:$B$31,0)))</f>
        <v>0</v>
      </c>
      <c r="P167" s="61">
        <f>IF(INDEX('01_INPUTS'!$E$17:$E$31,MATCH(P$23,'01_INPUTS'!$B$17:$B$31,0))=0,IF(SUMIFS($AD$3:$AD$870,$AC$3:$AC$870,P$23,$AE$3:$AE$870,"&lt;="&amp;$B167,$AF$3:$AF$870,"&gt;="&amp;$B167)=0,0,9.99),SUMIFS($AD$3:$AD$870,$AC$3:$AC$870,P$23,$AE$3:$AE$870,"&lt;="&amp;$B167,$AF$3:$AF$870,"&gt;="&amp;$B167)/INDEX('01_INPUTS'!$E$17:$E$31,MATCH(P$23,'01_INPUTS'!$B$17:$B$31,0)))</f>
        <v>0</v>
      </c>
      <c r="Q167" s="61">
        <f>IF(INDEX('01_INPUTS'!$E$17:$E$31,MATCH(Q$23,'01_INPUTS'!$B$17:$B$31,0))=0,IF(SUMIFS($AD$3:$AD$870,$AC$3:$AC$870,Q$23,$AE$3:$AE$870,"&lt;="&amp;$B167,$AF$3:$AF$870,"&gt;="&amp;$B167)=0,0,9.99),SUMIFS($AD$3:$AD$870,$AC$3:$AC$870,Q$23,$AE$3:$AE$870,"&lt;="&amp;$B167,$AF$3:$AF$870,"&gt;="&amp;$B167)/INDEX('01_INPUTS'!$E$17:$E$31,MATCH(Q$23,'01_INPUTS'!$B$17:$B$31,0)))</f>
        <v>0</v>
      </c>
      <c r="R167" s="61">
        <f>IF(INDEX('01_INPUTS'!$E$17:$E$31,MATCH(R$23,'01_INPUTS'!$B$17:$B$31,0))=0,IF(SUMIFS($AD$3:$AD$870,$AC$3:$AC$870,R$23,$AE$3:$AE$870,"&lt;="&amp;$B167,$AF$3:$AF$870,"&gt;="&amp;$B167)=0,0,9.99),SUMIFS($AD$3:$AD$870,$AC$3:$AC$870,R$23,$AE$3:$AE$870,"&lt;="&amp;$B167,$AF$3:$AF$870,"&gt;="&amp;$B167)/INDEX('01_INPUTS'!$E$17:$E$31,MATCH(R$23,'01_INPUTS'!$B$17:$B$31,0)))</f>
        <v>0</v>
      </c>
      <c r="S167">
        <f t="shared" si="19"/>
        <v>0</v>
      </c>
      <c r="T167">
        <f>SUM('01_INPUTS'!$E$17:$E$31)</f>
        <v>20</v>
      </c>
      <c r="U167" s="61">
        <f t="shared" si="20"/>
        <v>0</v>
      </c>
      <c r="V167">
        <f t="shared" si="21"/>
        <v>0</v>
      </c>
      <c r="W167" t="str">
        <f t="shared" si="22"/>
        <v>VERDE</v>
      </c>
      <c r="AA167" s="51" t="str">
        <f>'Sites Master'!$B$4</f>
        <v>Site 03</v>
      </c>
      <c r="AB167" s="51" t="str">
        <f>'Phase-Resource Allocation'!$B$104</f>
        <v>Go Live</v>
      </c>
      <c r="AC167" s="51" t="str">
        <f>'Phase-Resource Allocation'!$C$104</f>
        <v>Change Management Lead</v>
      </c>
      <c r="AD167" s="60">
        <f>'Phase-Resource Allocation'!$D$104</f>
        <v>1</v>
      </c>
      <c r="AE167" s="51">
        <f>IFERROR(INDEX('02_SCHEDULE'!$K$5:$K$124,MATCH(AA167&amp;"|"&amp;AB167,'02_SCHEDULE'!$M$5:$M$124,0)),0)</f>
        <v>12</v>
      </c>
      <c r="AF167" s="51">
        <f>IFERROR(INDEX('02_SCHEDULE'!$L$5:$L$124,MATCH(AA167&amp;"|"&amp;AB167,'02_SCHEDULE'!$M$5:$M$124,0)),0)</f>
        <v>12</v>
      </c>
      <c r="AG167" s="51">
        <f t="shared" si="18"/>
        <v>1</v>
      </c>
    </row>
    <row r="168" spans="2:33" x14ac:dyDescent="0.3">
      <c r="B168">
        <f>145</f>
        <v>145</v>
      </c>
      <c r="C168" s="55">
        <f>'01_INPUTS'!$C$7+(145-1)*7</f>
        <v>47259</v>
      </c>
      <c r="D168" s="61">
        <f>IF(INDEX('01_INPUTS'!$E$17:$E$31,MATCH(D$23,'01_INPUTS'!$B$17:$B$31,0))=0,IF(SUMIFS($AD$3:$AD$870,$AC$3:$AC$870,D$23,$AE$3:$AE$870,"&lt;="&amp;$B168,$AF$3:$AF$870,"&gt;="&amp;$B168)=0,0,9.99),SUMIFS($AD$3:$AD$870,$AC$3:$AC$870,D$23,$AE$3:$AE$870,"&lt;="&amp;$B168,$AF$3:$AF$870,"&gt;="&amp;$B168)/INDEX('01_INPUTS'!$E$17:$E$31,MATCH(D$23,'01_INPUTS'!$B$17:$B$31,0)))</f>
        <v>0</v>
      </c>
      <c r="E168" s="61">
        <f>IF(INDEX('01_INPUTS'!$E$17:$E$31,MATCH(E$23,'01_INPUTS'!$B$17:$B$31,0))=0,IF(SUMIFS($AD$3:$AD$870,$AC$3:$AC$870,E$23,$AE$3:$AE$870,"&lt;="&amp;$B168,$AF$3:$AF$870,"&gt;="&amp;$B168)=0,0,9.99),SUMIFS($AD$3:$AD$870,$AC$3:$AC$870,E$23,$AE$3:$AE$870,"&lt;="&amp;$B168,$AF$3:$AF$870,"&gt;="&amp;$B168)/INDEX('01_INPUTS'!$E$17:$E$31,MATCH(E$23,'01_INPUTS'!$B$17:$B$31,0)))</f>
        <v>0</v>
      </c>
      <c r="F168" s="61">
        <f>IF(INDEX('01_INPUTS'!$E$17:$E$31,MATCH(F$23,'01_INPUTS'!$B$17:$B$31,0))=0,IF(SUMIFS($AD$3:$AD$870,$AC$3:$AC$870,F$23,$AE$3:$AE$870,"&lt;="&amp;$B168,$AF$3:$AF$870,"&gt;="&amp;$B168)=0,0,9.99),SUMIFS($AD$3:$AD$870,$AC$3:$AC$870,F$23,$AE$3:$AE$870,"&lt;="&amp;$B168,$AF$3:$AF$870,"&gt;="&amp;$B168)/INDEX('01_INPUTS'!$E$17:$E$31,MATCH(F$23,'01_INPUTS'!$B$17:$B$31,0)))</f>
        <v>0</v>
      </c>
      <c r="G168" s="61">
        <f>IF(INDEX('01_INPUTS'!$E$17:$E$31,MATCH(G$23,'01_INPUTS'!$B$17:$B$31,0))=0,IF(SUMIFS($AD$3:$AD$870,$AC$3:$AC$870,G$23,$AE$3:$AE$870,"&lt;="&amp;$B168,$AF$3:$AF$870,"&gt;="&amp;$B168)=0,0,9.99),SUMIFS($AD$3:$AD$870,$AC$3:$AC$870,G$23,$AE$3:$AE$870,"&lt;="&amp;$B168,$AF$3:$AF$870,"&gt;="&amp;$B168)/INDEX('01_INPUTS'!$E$17:$E$31,MATCH(G$23,'01_INPUTS'!$B$17:$B$31,0)))</f>
        <v>0</v>
      </c>
      <c r="H168" s="61">
        <f>IF(INDEX('01_INPUTS'!$E$17:$E$31,MATCH(H$23,'01_INPUTS'!$B$17:$B$31,0))=0,IF(SUMIFS($AD$3:$AD$870,$AC$3:$AC$870,H$23,$AE$3:$AE$870,"&lt;="&amp;$B168,$AF$3:$AF$870,"&gt;="&amp;$B168)=0,0,9.99),SUMIFS($AD$3:$AD$870,$AC$3:$AC$870,H$23,$AE$3:$AE$870,"&lt;="&amp;$B168,$AF$3:$AF$870,"&gt;="&amp;$B168)/INDEX('01_INPUTS'!$E$17:$E$31,MATCH(H$23,'01_INPUTS'!$B$17:$B$31,0)))</f>
        <v>0</v>
      </c>
      <c r="I168" s="61">
        <f>IF(INDEX('01_INPUTS'!$E$17:$E$31,MATCH(I$23,'01_INPUTS'!$B$17:$B$31,0))=0,IF(SUMIFS($AD$3:$AD$870,$AC$3:$AC$870,I$23,$AE$3:$AE$870,"&lt;="&amp;$B168,$AF$3:$AF$870,"&gt;="&amp;$B168)=0,0,9.99),SUMIFS($AD$3:$AD$870,$AC$3:$AC$870,I$23,$AE$3:$AE$870,"&lt;="&amp;$B168,$AF$3:$AF$870,"&gt;="&amp;$B168)/INDEX('01_INPUTS'!$E$17:$E$31,MATCH(I$23,'01_INPUTS'!$B$17:$B$31,0)))</f>
        <v>0</v>
      </c>
      <c r="J168" s="61">
        <f>IF(INDEX('01_INPUTS'!$E$17:$E$31,MATCH(J$23,'01_INPUTS'!$B$17:$B$31,0))=0,IF(SUMIFS($AD$3:$AD$870,$AC$3:$AC$870,J$23,$AE$3:$AE$870,"&lt;="&amp;$B168,$AF$3:$AF$870,"&gt;="&amp;$B168)=0,0,9.99),SUMIFS($AD$3:$AD$870,$AC$3:$AC$870,J$23,$AE$3:$AE$870,"&lt;="&amp;$B168,$AF$3:$AF$870,"&gt;="&amp;$B168)/INDEX('01_INPUTS'!$E$17:$E$31,MATCH(J$23,'01_INPUTS'!$B$17:$B$31,0)))</f>
        <v>0</v>
      </c>
      <c r="K168" s="61">
        <f>IF(INDEX('01_INPUTS'!$E$17:$E$31,MATCH(K$23,'01_INPUTS'!$B$17:$B$31,0))=0,IF(SUMIFS($AD$3:$AD$870,$AC$3:$AC$870,K$23,$AE$3:$AE$870,"&lt;="&amp;$B168,$AF$3:$AF$870,"&gt;="&amp;$B168)=0,0,9.99),SUMIFS($AD$3:$AD$870,$AC$3:$AC$870,K$23,$AE$3:$AE$870,"&lt;="&amp;$B168,$AF$3:$AF$870,"&gt;="&amp;$B168)/INDEX('01_INPUTS'!$E$17:$E$31,MATCH(K$23,'01_INPUTS'!$B$17:$B$31,0)))</f>
        <v>0</v>
      </c>
      <c r="L168" s="61">
        <f>IF(INDEX('01_INPUTS'!$E$17:$E$31,MATCH(L$23,'01_INPUTS'!$B$17:$B$31,0))=0,IF(SUMIFS($AD$3:$AD$870,$AC$3:$AC$870,L$23,$AE$3:$AE$870,"&lt;="&amp;$B168,$AF$3:$AF$870,"&gt;="&amp;$B168)=0,0,9.99),SUMIFS($AD$3:$AD$870,$AC$3:$AC$870,L$23,$AE$3:$AE$870,"&lt;="&amp;$B168,$AF$3:$AF$870,"&gt;="&amp;$B168)/INDEX('01_INPUTS'!$E$17:$E$31,MATCH(L$23,'01_INPUTS'!$B$17:$B$31,0)))</f>
        <v>0</v>
      </c>
      <c r="M168" s="61">
        <f>IF(INDEX('01_INPUTS'!$E$17:$E$31,MATCH(M$23,'01_INPUTS'!$B$17:$B$31,0))=0,IF(SUMIFS($AD$3:$AD$870,$AC$3:$AC$870,M$23,$AE$3:$AE$870,"&lt;="&amp;$B168,$AF$3:$AF$870,"&gt;="&amp;$B168)=0,0,9.99),SUMIFS($AD$3:$AD$870,$AC$3:$AC$870,M$23,$AE$3:$AE$870,"&lt;="&amp;$B168,$AF$3:$AF$870,"&gt;="&amp;$B168)/INDEX('01_INPUTS'!$E$17:$E$31,MATCH(M$23,'01_INPUTS'!$B$17:$B$31,0)))</f>
        <v>0</v>
      </c>
      <c r="N168" s="61">
        <f>IF(INDEX('01_INPUTS'!$E$17:$E$31,MATCH(N$23,'01_INPUTS'!$B$17:$B$31,0))=0,IF(SUMIFS($AD$3:$AD$870,$AC$3:$AC$870,N$23,$AE$3:$AE$870,"&lt;="&amp;$B168,$AF$3:$AF$870,"&gt;="&amp;$B168)=0,0,9.99),SUMIFS($AD$3:$AD$870,$AC$3:$AC$870,N$23,$AE$3:$AE$870,"&lt;="&amp;$B168,$AF$3:$AF$870,"&gt;="&amp;$B168)/INDEX('01_INPUTS'!$E$17:$E$31,MATCH(N$23,'01_INPUTS'!$B$17:$B$31,0)))</f>
        <v>0</v>
      </c>
      <c r="O168" s="61">
        <f>IF(INDEX('01_INPUTS'!$E$17:$E$31,MATCH(O$23,'01_INPUTS'!$B$17:$B$31,0))=0,IF(SUMIFS($AD$3:$AD$870,$AC$3:$AC$870,O$23,$AE$3:$AE$870,"&lt;="&amp;$B168,$AF$3:$AF$870,"&gt;="&amp;$B168)=0,0,9.99),SUMIFS($AD$3:$AD$870,$AC$3:$AC$870,O$23,$AE$3:$AE$870,"&lt;="&amp;$B168,$AF$3:$AF$870,"&gt;="&amp;$B168)/INDEX('01_INPUTS'!$E$17:$E$31,MATCH(O$23,'01_INPUTS'!$B$17:$B$31,0)))</f>
        <v>0</v>
      </c>
      <c r="P168" s="61">
        <f>IF(INDEX('01_INPUTS'!$E$17:$E$31,MATCH(P$23,'01_INPUTS'!$B$17:$B$31,0))=0,IF(SUMIFS($AD$3:$AD$870,$AC$3:$AC$870,P$23,$AE$3:$AE$870,"&lt;="&amp;$B168,$AF$3:$AF$870,"&gt;="&amp;$B168)=0,0,9.99),SUMIFS($AD$3:$AD$870,$AC$3:$AC$870,P$23,$AE$3:$AE$870,"&lt;="&amp;$B168,$AF$3:$AF$870,"&gt;="&amp;$B168)/INDEX('01_INPUTS'!$E$17:$E$31,MATCH(P$23,'01_INPUTS'!$B$17:$B$31,0)))</f>
        <v>0</v>
      </c>
      <c r="Q168" s="61">
        <f>IF(INDEX('01_INPUTS'!$E$17:$E$31,MATCH(Q$23,'01_INPUTS'!$B$17:$B$31,0))=0,IF(SUMIFS($AD$3:$AD$870,$AC$3:$AC$870,Q$23,$AE$3:$AE$870,"&lt;="&amp;$B168,$AF$3:$AF$870,"&gt;="&amp;$B168)=0,0,9.99),SUMIFS($AD$3:$AD$870,$AC$3:$AC$870,Q$23,$AE$3:$AE$870,"&lt;="&amp;$B168,$AF$3:$AF$870,"&gt;="&amp;$B168)/INDEX('01_INPUTS'!$E$17:$E$31,MATCH(Q$23,'01_INPUTS'!$B$17:$B$31,0)))</f>
        <v>0</v>
      </c>
      <c r="R168" s="61">
        <f>IF(INDEX('01_INPUTS'!$E$17:$E$31,MATCH(R$23,'01_INPUTS'!$B$17:$B$31,0))=0,IF(SUMIFS($AD$3:$AD$870,$AC$3:$AC$870,R$23,$AE$3:$AE$870,"&lt;="&amp;$B168,$AF$3:$AF$870,"&gt;="&amp;$B168)=0,0,9.99),SUMIFS($AD$3:$AD$870,$AC$3:$AC$870,R$23,$AE$3:$AE$870,"&lt;="&amp;$B168,$AF$3:$AF$870,"&gt;="&amp;$B168)/INDEX('01_INPUTS'!$E$17:$E$31,MATCH(R$23,'01_INPUTS'!$B$17:$B$31,0)))</f>
        <v>0</v>
      </c>
      <c r="S168">
        <f t="shared" si="19"/>
        <v>0</v>
      </c>
      <c r="T168">
        <f>SUM('01_INPUTS'!$E$17:$E$31)</f>
        <v>20</v>
      </c>
      <c r="U168" s="61">
        <f t="shared" si="20"/>
        <v>0</v>
      </c>
      <c r="V168">
        <f t="shared" si="21"/>
        <v>0</v>
      </c>
      <c r="W168" t="str">
        <f t="shared" si="22"/>
        <v>VERDE</v>
      </c>
      <c r="AA168" s="51" t="str">
        <f>'Sites Master'!$B$4</f>
        <v>Site 03</v>
      </c>
      <c r="AB168" s="51" t="str">
        <f>'Phase-Resource Allocation'!$B$105</f>
        <v>Go Live</v>
      </c>
      <c r="AC168" s="51" t="str">
        <f>'Phase-Resource Allocation'!$C$105</f>
        <v>SAP Integrations Lead</v>
      </c>
      <c r="AD168" s="60">
        <f>'Phase-Resource Allocation'!$D$105</f>
        <v>1</v>
      </c>
      <c r="AE168" s="51">
        <f>IFERROR(INDEX('02_SCHEDULE'!$K$5:$K$124,MATCH(AA168&amp;"|"&amp;AB168,'02_SCHEDULE'!$M$5:$M$124,0)),0)</f>
        <v>12</v>
      </c>
      <c r="AF168" s="51">
        <f>IFERROR(INDEX('02_SCHEDULE'!$L$5:$L$124,MATCH(AA168&amp;"|"&amp;AB168,'02_SCHEDULE'!$M$5:$M$124,0)),0)</f>
        <v>12</v>
      </c>
      <c r="AG168" s="51">
        <f t="shared" si="18"/>
        <v>1</v>
      </c>
    </row>
    <row r="169" spans="2:33" x14ac:dyDescent="0.3">
      <c r="B169">
        <f>146</f>
        <v>146</v>
      </c>
      <c r="C169" s="55">
        <f>'01_INPUTS'!$C$7+(146-1)*7</f>
        <v>47266</v>
      </c>
      <c r="D169" s="61">
        <f>IF(INDEX('01_INPUTS'!$E$17:$E$31,MATCH(D$23,'01_INPUTS'!$B$17:$B$31,0))=0,IF(SUMIFS($AD$3:$AD$870,$AC$3:$AC$870,D$23,$AE$3:$AE$870,"&lt;="&amp;$B169,$AF$3:$AF$870,"&gt;="&amp;$B169)=0,0,9.99),SUMIFS($AD$3:$AD$870,$AC$3:$AC$870,D$23,$AE$3:$AE$870,"&lt;="&amp;$B169,$AF$3:$AF$870,"&gt;="&amp;$B169)/INDEX('01_INPUTS'!$E$17:$E$31,MATCH(D$23,'01_INPUTS'!$B$17:$B$31,0)))</f>
        <v>0</v>
      </c>
      <c r="E169" s="61">
        <f>IF(INDEX('01_INPUTS'!$E$17:$E$31,MATCH(E$23,'01_INPUTS'!$B$17:$B$31,0))=0,IF(SUMIFS($AD$3:$AD$870,$AC$3:$AC$870,E$23,$AE$3:$AE$870,"&lt;="&amp;$B169,$AF$3:$AF$870,"&gt;="&amp;$B169)=0,0,9.99),SUMIFS($AD$3:$AD$870,$AC$3:$AC$870,E$23,$AE$3:$AE$870,"&lt;="&amp;$B169,$AF$3:$AF$870,"&gt;="&amp;$B169)/INDEX('01_INPUTS'!$E$17:$E$31,MATCH(E$23,'01_INPUTS'!$B$17:$B$31,0)))</f>
        <v>0</v>
      </c>
      <c r="F169" s="61">
        <f>IF(INDEX('01_INPUTS'!$E$17:$E$31,MATCH(F$23,'01_INPUTS'!$B$17:$B$31,0))=0,IF(SUMIFS($AD$3:$AD$870,$AC$3:$AC$870,F$23,$AE$3:$AE$870,"&lt;="&amp;$B169,$AF$3:$AF$870,"&gt;="&amp;$B169)=0,0,9.99),SUMIFS($AD$3:$AD$870,$AC$3:$AC$870,F$23,$AE$3:$AE$870,"&lt;="&amp;$B169,$AF$3:$AF$870,"&gt;="&amp;$B169)/INDEX('01_INPUTS'!$E$17:$E$31,MATCH(F$23,'01_INPUTS'!$B$17:$B$31,0)))</f>
        <v>0</v>
      </c>
      <c r="G169" s="61">
        <f>IF(INDEX('01_INPUTS'!$E$17:$E$31,MATCH(G$23,'01_INPUTS'!$B$17:$B$31,0))=0,IF(SUMIFS($AD$3:$AD$870,$AC$3:$AC$870,G$23,$AE$3:$AE$870,"&lt;="&amp;$B169,$AF$3:$AF$870,"&gt;="&amp;$B169)=0,0,9.99),SUMIFS($AD$3:$AD$870,$AC$3:$AC$870,G$23,$AE$3:$AE$870,"&lt;="&amp;$B169,$AF$3:$AF$870,"&gt;="&amp;$B169)/INDEX('01_INPUTS'!$E$17:$E$31,MATCH(G$23,'01_INPUTS'!$B$17:$B$31,0)))</f>
        <v>0</v>
      </c>
      <c r="H169" s="61">
        <f>IF(INDEX('01_INPUTS'!$E$17:$E$31,MATCH(H$23,'01_INPUTS'!$B$17:$B$31,0))=0,IF(SUMIFS($AD$3:$AD$870,$AC$3:$AC$870,H$23,$AE$3:$AE$870,"&lt;="&amp;$B169,$AF$3:$AF$870,"&gt;="&amp;$B169)=0,0,9.99),SUMIFS($AD$3:$AD$870,$AC$3:$AC$870,H$23,$AE$3:$AE$870,"&lt;="&amp;$B169,$AF$3:$AF$870,"&gt;="&amp;$B169)/INDEX('01_INPUTS'!$E$17:$E$31,MATCH(H$23,'01_INPUTS'!$B$17:$B$31,0)))</f>
        <v>0</v>
      </c>
      <c r="I169" s="61">
        <f>IF(INDEX('01_INPUTS'!$E$17:$E$31,MATCH(I$23,'01_INPUTS'!$B$17:$B$31,0))=0,IF(SUMIFS($AD$3:$AD$870,$AC$3:$AC$870,I$23,$AE$3:$AE$870,"&lt;="&amp;$B169,$AF$3:$AF$870,"&gt;="&amp;$B169)=0,0,9.99),SUMIFS($AD$3:$AD$870,$AC$3:$AC$870,I$23,$AE$3:$AE$870,"&lt;="&amp;$B169,$AF$3:$AF$870,"&gt;="&amp;$B169)/INDEX('01_INPUTS'!$E$17:$E$31,MATCH(I$23,'01_INPUTS'!$B$17:$B$31,0)))</f>
        <v>0</v>
      </c>
      <c r="J169" s="61">
        <f>IF(INDEX('01_INPUTS'!$E$17:$E$31,MATCH(J$23,'01_INPUTS'!$B$17:$B$31,0))=0,IF(SUMIFS($AD$3:$AD$870,$AC$3:$AC$870,J$23,$AE$3:$AE$870,"&lt;="&amp;$B169,$AF$3:$AF$870,"&gt;="&amp;$B169)=0,0,9.99),SUMIFS($AD$3:$AD$870,$AC$3:$AC$870,J$23,$AE$3:$AE$870,"&lt;="&amp;$B169,$AF$3:$AF$870,"&gt;="&amp;$B169)/INDEX('01_INPUTS'!$E$17:$E$31,MATCH(J$23,'01_INPUTS'!$B$17:$B$31,0)))</f>
        <v>0</v>
      </c>
      <c r="K169" s="61">
        <f>IF(INDEX('01_INPUTS'!$E$17:$E$31,MATCH(K$23,'01_INPUTS'!$B$17:$B$31,0))=0,IF(SUMIFS($AD$3:$AD$870,$AC$3:$AC$870,K$23,$AE$3:$AE$870,"&lt;="&amp;$B169,$AF$3:$AF$870,"&gt;="&amp;$B169)=0,0,9.99),SUMIFS($AD$3:$AD$870,$AC$3:$AC$870,K$23,$AE$3:$AE$870,"&lt;="&amp;$B169,$AF$3:$AF$870,"&gt;="&amp;$B169)/INDEX('01_INPUTS'!$E$17:$E$31,MATCH(K$23,'01_INPUTS'!$B$17:$B$31,0)))</f>
        <v>0</v>
      </c>
      <c r="L169" s="61">
        <f>IF(INDEX('01_INPUTS'!$E$17:$E$31,MATCH(L$23,'01_INPUTS'!$B$17:$B$31,0))=0,IF(SUMIFS($AD$3:$AD$870,$AC$3:$AC$870,L$23,$AE$3:$AE$870,"&lt;="&amp;$B169,$AF$3:$AF$870,"&gt;="&amp;$B169)=0,0,9.99),SUMIFS($AD$3:$AD$870,$AC$3:$AC$870,L$23,$AE$3:$AE$870,"&lt;="&amp;$B169,$AF$3:$AF$870,"&gt;="&amp;$B169)/INDEX('01_INPUTS'!$E$17:$E$31,MATCH(L$23,'01_INPUTS'!$B$17:$B$31,0)))</f>
        <v>0</v>
      </c>
      <c r="M169" s="61">
        <f>IF(INDEX('01_INPUTS'!$E$17:$E$31,MATCH(M$23,'01_INPUTS'!$B$17:$B$31,0))=0,IF(SUMIFS($AD$3:$AD$870,$AC$3:$AC$870,M$23,$AE$3:$AE$870,"&lt;="&amp;$B169,$AF$3:$AF$870,"&gt;="&amp;$B169)=0,0,9.99),SUMIFS($AD$3:$AD$870,$AC$3:$AC$870,M$23,$AE$3:$AE$870,"&lt;="&amp;$B169,$AF$3:$AF$870,"&gt;="&amp;$B169)/INDEX('01_INPUTS'!$E$17:$E$31,MATCH(M$23,'01_INPUTS'!$B$17:$B$31,0)))</f>
        <v>0</v>
      </c>
      <c r="N169" s="61">
        <f>IF(INDEX('01_INPUTS'!$E$17:$E$31,MATCH(N$23,'01_INPUTS'!$B$17:$B$31,0))=0,IF(SUMIFS($AD$3:$AD$870,$AC$3:$AC$870,N$23,$AE$3:$AE$870,"&lt;="&amp;$B169,$AF$3:$AF$870,"&gt;="&amp;$B169)=0,0,9.99),SUMIFS($AD$3:$AD$870,$AC$3:$AC$870,N$23,$AE$3:$AE$870,"&lt;="&amp;$B169,$AF$3:$AF$870,"&gt;="&amp;$B169)/INDEX('01_INPUTS'!$E$17:$E$31,MATCH(N$23,'01_INPUTS'!$B$17:$B$31,0)))</f>
        <v>0</v>
      </c>
      <c r="O169" s="61">
        <f>IF(INDEX('01_INPUTS'!$E$17:$E$31,MATCH(O$23,'01_INPUTS'!$B$17:$B$31,0))=0,IF(SUMIFS($AD$3:$AD$870,$AC$3:$AC$870,O$23,$AE$3:$AE$870,"&lt;="&amp;$B169,$AF$3:$AF$870,"&gt;="&amp;$B169)=0,0,9.99),SUMIFS($AD$3:$AD$870,$AC$3:$AC$870,O$23,$AE$3:$AE$870,"&lt;="&amp;$B169,$AF$3:$AF$870,"&gt;="&amp;$B169)/INDEX('01_INPUTS'!$E$17:$E$31,MATCH(O$23,'01_INPUTS'!$B$17:$B$31,0)))</f>
        <v>0</v>
      </c>
      <c r="P169" s="61">
        <f>IF(INDEX('01_INPUTS'!$E$17:$E$31,MATCH(P$23,'01_INPUTS'!$B$17:$B$31,0))=0,IF(SUMIFS($AD$3:$AD$870,$AC$3:$AC$870,P$23,$AE$3:$AE$870,"&lt;="&amp;$B169,$AF$3:$AF$870,"&gt;="&amp;$B169)=0,0,9.99),SUMIFS($AD$3:$AD$870,$AC$3:$AC$870,P$23,$AE$3:$AE$870,"&lt;="&amp;$B169,$AF$3:$AF$870,"&gt;="&amp;$B169)/INDEX('01_INPUTS'!$E$17:$E$31,MATCH(P$23,'01_INPUTS'!$B$17:$B$31,0)))</f>
        <v>0</v>
      </c>
      <c r="Q169" s="61">
        <f>IF(INDEX('01_INPUTS'!$E$17:$E$31,MATCH(Q$23,'01_INPUTS'!$B$17:$B$31,0))=0,IF(SUMIFS($AD$3:$AD$870,$AC$3:$AC$870,Q$23,$AE$3:$AE$870,"&lt;="&amp;$B169,$AF$3:$AF$870,"&gt;="&amp;$B169)=0,0,9.99),SUMIFS($AD$3:$AD$870,$AC$3:$AC$870,Q$23,$AE$3:$AE$870,"&lt;="&amp;$B169,$AF$3:$AF$870,"&gt;="&amp;$B169)/INDEX('01_INPUTS'!$E$17:$E$31,MATCH(Q$23,'01_INPUTS'!$B$17:$B$31,0)))</f>
        <v>0</v>
      </c>
      <c r="R169" s="61">
        <f>IF(INDEX('01_INPUTS'!$E$17:$E$31,MATCH(R$23,'01_INPUTS'!$B$17:$B$31,0))=0,IF(SUMIFS($AD$3:$AD$870,$AC$3:$AC$870,R$23,$AE$3:$AE$870,"&lt;="&amp;$B169,$AF$3:$AF$870,"&gt;="&amp;$B169)=0,0,9.99),SUMIFS($AD$3:$AD$870,$AC$3:$AC$870,R$23,$AE$3:$AE$870,"&lt;="&amp;$B169,$AF$3:$AF$870,"&gt;="&amp;$B169)/INDEX('01_INPUTS'!$E$17:$E$31,MATCH(R$23,'01_INPUTS'!$B$17:$B$31,0)))</f>
        <v>0</v>
      </c>
      <c r="S169">
        <f t="shared" si="19"/>
        <v>0</v>
      </c>
      <c r="T169">
        <f>SUM('01_INPUTS'!$E$17:$E$31)</f>
        <v>20</v>
      </c>
      <c r="U169" s="61">
        <f t="shared" si="20"/>
        <v>0</v>
      </c>
      <c r="V169">
        <f t="shared" si="21"/>
        <v>0</v>
      </c>
      <c r="W169" t="str">
        <f t="shared" si="22"/>
        <v>VERDE</v>
      </c>
      <c r="AA169" s="51" t="str">
        <f>'Sites Master'!$B$4</f>
        <v>Site 03</v>
      </c>
      <c r="AB169" s="51" t="str">
        <f>'Phase-Resource Allocation'!$B$106</f>
        <v>Go Live</v>
      </c>
      <c r="AC169" s="51" t="str">
        <f>'Phase-Resource Allocation'!$C$106</f>
        <v>SAP Integrations Specialist</v>
      </c>
      <c r="AD169" s="60">
        <f>'Phase-Resource Allocation'!$D$106</f>
        <v>1</v>
      </c>
      <c r="AE169" s="51">
        <f>IFERROR(INDEX('02_SCHEDULE'!$K$5:$K$124,MATCH(AA169&amp;"|"&amp;AB169,'02_SCHEDULE'!$M$5:$M$124,0)),0)</f>
        <v>12</v>
      </c>
      <c r="AF169" s="51">
        <f>IFERROR(INDEX('02_SCHEDULE'!$L$5:$L$124,MATCH(AA169&amp;"|"&amp;AB169,'02_SCHEDULE'!$M$5:$M$124,0)),0)</f>
        <v>12</v>
      </c>
      <c r="AG169" s="51">
        <f t="shared" si="18"/>
        <v>1</v>
      </c>
    </row>
    <row r="170" spans="2:33" x14ac:dyDescent="0.3">
      <c r="B170">
        <f>147</f>
        <v>147</v>
      </c>
      <c r="C170" s="55">
        <f>'01_INPUTS'!$C$7+(147-1)*7</f>
        <v>47273</v>
      </c>
      <c r="D170" s="61">
        <f>IF(INDEX('01_INPUTS'!$E$17:$E$31,MATCH(D$23,'01_INPUTS'!$B$17:$B$31,0))=0,IF(SUMIFS($AD$3:$AD$870,$AC$3:$AC$870,D$23,$AE$3:$AE$870,"&lt;="&amp;$B170,$AF$3:$AF$870,"&gt;="&amp;$B170)=0,0,9.99),SUMIFS($AD$3:$AD$870,$AC$3:$AC$870,D$23,$AE$3:$AE$870,"&lt;="&amp;$B170,$AF$3:$AF$870,"&gt;="&amp;$B170)/INDEX('01_INPUTS'!$E$17:$E$31,MATCH(D$23,'01_INPUTS'!$B$17:$B$31,0)))</f>
        <v>0</v>
      </c>
      <c r="E170" s="61">
        <f>IF(INDEX('01_INPUTS'!$E$17:$E$31,MATCH(E$23,'01_INPUTS'!$B$17:$B$31,0))=0,IF(SUMIFS($AD$3:$AD$870,$AC$3:$AC$870,E$23,$AE$3:$AE$870,"&lt;="&amp;$B170,$AF$3:$AF$870,"&gt;="&amp;$B170)=0,0,9.99),SUMIFS($AD$3:$AD$870,$AC$3:$AC$870,E$23,$AE$3:$AE$870,"&lt;="&amp;$B170,$AF$3:$AF$870,"&gt;="&amp;$B170)/INDEX('01_INPUTS'!$E$17:$E$31,MATCH(E$23,'01_INPUTS'!$B$17:$B$31,0)))</f>
        <v>0</v>
      </c>
      <c r="F170" s="61">
        <f>IF(INDEX('01_INPUTS'!$E$17:$E$31,MATCH(F$23,'01_INPUTS'!$B$17:$B$31,0))=0,IF(SUMIFS($AD$3:$AD$870,$AC$3:$AC$870,F$23,$AE$3:$AE$870,"&lt;="&amp;$B170,$AF$3:$AF$870,"&gt;="&amp;$B170)=0,0,9.99),SUMIFS($AD$3:$AD$870,$AC$3:$AC$870,F$23,$AE$3:$AE$870,"&lt;="&amp;$B170,$AF$3:$AF$870,"&gt;="&amp;$B170)/INDEX('01_INPUTS'!$E$17:$E$31,MATCH(F$23,'01_INPUTS'!$B$17:$B$31,0)))</f>
        <v>0</v>
      </c>
      <c r="G170" s="61">
        <f>IF(INDEX('01_INPUTS'!$E$17:$E$31,MATCH(G$23,'01_INPUTS'!$B$17:$B$31,0))=0,IF(SUMIFS($AD$3:$AD$870,$AC$3:$AC$870,G$23,$AE$3:$AE$870,"&lt;="&amp;$B170,$AF$3:$AF$870,"&gt;="&amp;$B170)=0,0,9.99),SUMIFS($AD$3:$AD$870,$AC$3:$AC$870,G$23,$AE$3:$AE$870,"&lt;="&amp;$B170,$AF$3:$AF$870,"&gt;="&amp;$B170)/INDEX('01_INPUTS'!$E$17:$E$31,MATCH(G$23,'01_INPUTS'!$B$17:$B$31,0)))</f>
        <v>0</v>
      </c>
      <c r="H170" s="61">
        <f>IF(INDEX('01_INPUTS'!$E$17:$E$31,MATCH(H$23,'01_INPUTS'!$B$17:$B$31,0))=0,IF(SUMIFS($AD$3:$AD$870,$AC$3:$AC$870,H$23,$AE$3:$AE$870,"&lt;="&amp;$B170,$AF$3:$AF$870,"&gt;="&amp;$B170)=0,0,9.99),SUMIFS($AD$3:$AD$870,$AC$3:$AC$870,H$23,$AE$3:$AE$870,"&lt;="&amp;$B170,$AF$3:$AF$870,"&gt;="&amp;$B170)/INDEX('01_INPUTS'!$E$17:$E$31,MATCH(H$23,'01_INPUTS'!$B$17:$B$31,0)))</f>
        <v>0</v>
      </c>
      <c r="I170" s="61">
        <f>IF(INDEX('01_INPUTS'!$E$17:$E$31,MATCH(I$23,'01_INPUTS'!$B$17:$B$31,0))=0,IF(SUMIFS($AD$3:$AD$870,$AC$3:$AC$870,I$23,$AE$3:$AE$870,"&lt;="&amp;$B170,$AF$3:$AF$870,"&gt;="&amp;$B170)=0,0,9.99),SUMIFS($AD$3:$AD$870,$AC$3:$AC$870,I$23,$AE$3:$AE$870,"&lt;="&amp;$B170,$AF$3:$AF$870,"&gt;="&amp;$B170)/INDEX('01_INPUTS'!$E$17:$E$31,MATCH(I$23,'01_INPUTS'!$B$17:$B$31,0)))</f>
        <v>0</v>
      </c>
      <c r="J170" s="61">
        <f>IF(INDEX('01_INPUTS'!$E$17:$E$31,MATCH(J$23,'01_INPUTS'!$B$17:$B$31,0))=0,IF(SUMIFS($AD$3:$AD$870,$AC$3:$AC$870,J$23,$AE$3:$AE$870,"&lt;="&amp;$B170,$AF$3:$AF$870,"&gt;="&amp;$B170)=0,0,9.99),SUMIFS($AD$3:$AD$870,$AC$3:$AC$870,J$23,$AE$3:$AE$870,"&lt;="&amp;$B170,$AF$3:$AF$870,"&gt;="&amp;$B170)/INDEX('01_INPUTS'!$E$17:$E$31,MATCH(J$23,'01_INPUTS'!$B$17:$B$31,0)))</f>
        <v>0</v>
      </c>
      <c r="K170" s="61">
        <f>IF(INDEX('01_INPUTS'!$E$17:$E$31,MATCH(K$23,'01_INPUTS'!$B$17:$B$31,0))=0,IF(SUMIFS($AD$3:$AD$870,$AC$3:$AC$870,K$23,$AE$3:$AE$870,"&lt;="&amp;$B170,$AF$3:$AF$870,"&gt;="&amp;$B170)=0,0,9.99),SUMIFS($AD$3:$AD$870,$AC$3:$AC$870,K$23,$AE$3:$AE$870,"&lt;="&amp;$B170,$AF$3:$AF$870,"&gt;="&amp;$B170)/INDEX('01_INPUTS'!$E$17:$E$31,MATCH(K$23,'01_INPUTS'!$B$17:$B$31,0)))</f>
        <v>0</v>
      </c>
      <c r="L170" s="61">
        <f>IF(INDEX('01_INPUTS'!$E$17:$E$31,MATCH(L$23,'01_INPUTS'!$B$17:$B$31,0))=0,IF(SUMIFS($AD$3:$AD$870,$AC$3:$AC$870,L$23,$AE$3:$AE$870,"&lt;="&amp;$B170,$AF$3:$AF$870,"&gt;="&amp;$B170)=0,0,9.99),SUMIFS($AD$3:$AD$870,$AC$3:$AC$870,L$23,$AE$3:$AE$870,"&lt;="&amp;$B170,$AF$3:$AF$870,"&gt;="&amp;$B170)/INDEX('01_INPUTS'!$E$17:$E$31,MATCH(L$23,'01_INPUTS'!$B$17:$B$31,0)))</f>
        <v>0</v>
      </c>
      <c r="M170" s="61">
        <f>IF(INDEX('01_INPUTS'!$E$17:$E$31,MATCH(M$23,'01_INPUTS'!$B$17:$B$31,0))=0,IF(SUMIFS($AD$3:$AD$870,$AC$3:$AC$870,M$23,$AE$3:$AE$870,"&lt;="&amp;$B170,$AF$3:$AF$870,"&gt;="&amp;$B170)=0,0,9.99),SUMIFS($AD$3:$AD$870,$AC$3:$AC$870,M$23,$AE$3:$AE$870,"&lt;="&amp;$B170,$AF$3:$AF$870,"&gt;="&amp;$B170)/INDEX('01_INPUTS'!$E$17:$E$31,MATCH(M$23,'01_INPUTS'!$B$17:$B$31,0)))</f>
        <v>0</v>
      </c>
      <c r="N170" s="61">
        <f>IF(INDEX('01_INPUTS'!$E$17:$E$31,MATCH(N$23,'01_INPUTS'!$B$17:$B$31,0))=0,IF(SUMIFS($AD$3:$AD$870,$AC$3:$AC$870,N$23,$AE$3:$AE$870,"&lt;="&amp;$B170,$AF$3:$AF$870,"&gt;="&amp;$B170)=0,0,9.99),SUMIFS($AD$3:$AD$870,$AC$3:$AC$870,N$23,$AE$3:$AE$870,"&lt;="&amp;$B170,$AF$3:$AF$870,"&gt;="&amp;$B170)/INDEX('01_INPUTS'!$E$17:$E$31,MATCH(N$23,'01_INPUTS'!$B$17:$B$31,0)))</f>
        <v>0</v>
      </c>
      <c r="O170" s="61">
        <f>IF(INDEX('01_INPUTS'!$E$17:$E$31,MATCH(O$23,'01_INPUTS'!$B$17:$B$31,0))=0,IF(SUMIFS($AD$3:$AD$870,$AC$3:$AC$870,O$23,$AE$3:$AE$870,"&lt;="&amp;$B170,$AF$3:$AF$870,"&gt;="&amp;$B170)=0,0,9.99),SUMIFS($AD$3:$AD$870,$AC$3:$AC$870,O$23,$AE$3:$AE$870,"&lt;="&amp;$B170,$AF$3:$AF$870,"&gt;="&amp;$B170)/INDEX('01_INPUTS'!$E$17:$E$31,MATCH(O$23,'01_INPUTS'!$B$17:$B$31,0)))</f>
        <v>0</v>
      </c>
      <c r="P170" s="61">
        <f>IF(INDEX('01_INPUTS'!$E$17:$E$31,MATCH(P$23,'01_INPUTS'!$B$17:$B$31,0))=0,IF(SUMIFS($AD$3:$AD$870,$AC$3:$AC$870,P$23,$AE$3:$AE$870,"&lt;="&amp;$B170,$AF$3:$AF$870,"&gt;="&amp;$B170)=0,0,9.99),SUMIFS($AD$3:$AD$870,$AC$3:$AC$870,P$23,$AE$3:$AE$870,"&lt;="&amp;$B170,$AF$3:$AF$870,"&gt;="&amp;$B170)/INDEX('01_INPUTS'!$E$17:$E$31,MATCH(P$23,'01_INPUTS'!$B$17:$B$31,0)))</f>
        <v>0</v>
      </c>
      <c r="Q170" s="61">
        <f>IF(INDEX('01_INPUTS'!$E$17:$E$31,MATCH(Q$23,'01_INPUTS'!$B$17:$B$31,0))=0,IF(SUMIFS($AD$3:$AD$870,$AC$3:$AC$870,Q$23,$AE$3:$AE$870,"&lt;="&amp;$B170,$AF$3:$AF$870,"&gt;="&amp;$B170)=0,0,9.99),SUMIFS($AD$3:$AD$870,$AC$3:$AC$870,Q$23,$AE$3:$AE$870,"&lt;="&amp;$B170,$AF$3:$AF$870,"&gt;="&amp;$B170)/INDEX('01_INPUTS'!$E$17:$E$31,MATCH(Q$23,'01_INPUTS'!$B$17:$B$31,0)))</f>
        <v>0</v>
      </c>
      <c r="R170" s="61">
        <f>IF(INDEX('01_INPUTS'!$E$17:$E$31,MATCH(R$23,'01_INPUTS'!$B$17:$B$31,0))=0,IF(SUMIFS($AD$3:$AD$870,$AC$3:$AC$870,R$23,$AE$3:$AE$870,"&lt;="&amp;$B170,$AF$3:$AF$870,"&gt;="&amp;$B170)=0,0,9.99),SUMIFS($AD$3:$AD$870,$AC$3:$AC$870,R$23,$AE$3:$AE$870,"&lt;="&amp;$B170,$AF$3:$AF$870,"&gt;="&amp;$B170)/INDEX('01_INPUTS'!$E$17:$E$31,MATCH(R$23,'01_INPUTS'!$B$17:$B$31,0)))</f>
        <v>0</v>
      </c>
      <c r="S170">
        <f t="shared" si="19"/>
        <v>0</v>
      </c>
      <c r="T170">
        <f>SUM('01_INPUTS'!$E$17:$E$31)</f>
        <v>20</v>
      </c>
      <c r="U170" s="61">
        <f t="shared" si="20"/>
        <v>0</v>
      </c>
      <c r="V170">
        <f t="shared" si="21"/>
        <v>0</v>
      </c>
      <c r="W170" t="str">
        <f t="shared" si="22"/>
        <v>VERDE</v>
      </c>
      <c r="AA170" s="51" t="str">
        <f>'Sites Master'!$B$4</f>
        <v>Site 03</v>
      </c>
      <c r="AB170" s="51" t="str">
        <f>'Phase-Resource Allocation'!$B$107</f>
        <v>Go Live</v>
      </c>
      <c r="AC170" s="51" t="str">
        <f>'Phase-Resource Allocation'!$C$107</f>
        <v>Azure Lead</v>
      </c>
      <c r="AD170" s="60">
        <f>'Phase-Resource Allocation'!$D$107</f>
        <v>1</v>
      </c>
      <c r="AE170" s="51">
        <f>IFERROR(INDEX('02_SCHEDULE'!$K$5:$K$124,MATCH(AA170&amp;"|"&amp;AB170,'02_SCHEDULE'!$M$5:$M$124,0)),0)</f>
        <v>12</v>
      </c>
      <c r="AF170" s="51">
        <f>IFERROR(INDEX('02_SCHEDULE'!$L$5:$L$124,MATCH(AA170&amp;"|"&amp;AB170,'02_SCHEDULE'!$M$5:$M$124,0)),0)</f>
        <v>12</v>
      </c>
      <c r="AG170" s="51">
        <f t="shared" si="18"/>
        <v>1</v>
      </c>
    </row>
    <row r="171" spans="2:33" x14ac:dyDescent="0.3">
      <c r="B171">
        <f>148</f>
        <v>148</v>
      </c>
      <c r="C171" s="55">
        <f>'01_INPUTS'!$C$7+(148-1)*7</f>
        <v>47280</v>
      </c>
      <c r="D171" s="61">
        <f>IF(INDEX('01_INPUTS'!$E$17:$E$31,MATCH(D$23,'01_INPUTS'!$B$17:$B$31,0))=0,IF(SUMIFS($AD$3:$AD$870,$AC$3:$AC$870,D$23,$AE$3:$AE$870,"&lt;="&amp;$B171,$AF$3:$AF$870,"&gt;="&amp;$B171)=0,0,9.99),SUMIFS($AD$3:$AD$870,$AC$3:$AC$870,D$23,$AE$3:$AE$870,"&lt;="&amp;$B171,$AF$3:$AF$870,"&gt;="&amp;$B171)/INDEX('01_INPUTS'!$E$17:$E$31,MATCH(D$23,'01_INPUTS'!$B$17:$B$31,0)))</f>
        <v>0</v>
      </c>
      <c r="E171" s="61">
        <f>IF(INDEX('01_INPUTS'!$E$17:$E$31,MATCH(E$23,'01_INPUTS'!$B$17:$B$31,0))=0,IF(SUMIFS($AD$3:$AD$870,$AC$3:$AC$870,E$23,$AE$3:$AE$870,"&lt;="&amp;$B171,$AF$3:$AF$870,"&gt;="&amp;$B171)=0,0,9.99),SUMIFS($AD$3:$AD$870,$AC$3:$AC$870,E$23,$AE$3:$AE$870,"&lt;="&amp;$B171,$AF$3:$AF$870,"&gt;="&amp;$B171)/INDEX('01_INPUTS'!$E$17:$E$31,MATCH(E$23,'01_INPUTS'!$B$17:$B$31,0)))</f>
        <v>0</v>
      </c>
      <c r="F171" s="61">
        <f>IF(INDEX('01_INPUTS'!$E$17:$E$31,MATCH(F$23,'01_INPUTS'!$B$17:$B$31,0))=0,IF(SUMIFS($AD$3:$AD$870,$AC$3:$AC$870,F$23,$AE$3:$AE$870,"&lt;="&amp;$B171,$AF$3:$AF$870,"&gt;="&amp;$B171)=0,0,9.99),SUMIFS($AD$3:$AD$870,$AC$3:$AC$870,F$23,$AE$3:$AE$870,"&lt;="&amp;$B171,$AF$3:$AF$870,"&gt;="&amp;$B171)/INDEX('01_INPUTS'!$E$17:$E$31,MATCH(F$23,'01_INPUTS'!$B$17:$B$31,0)))</f>
        <v>0</v>
      </c>
      <c r="G171" s="61">
        <f>IF(INDEX('01_INPUTS'!$E$17:$E$31,MATCH(G$23,'01_INPUTS'!$B$17:$B$31,0))=0,IF(SUMIFS($AD$3:$AD$870,$AC$3:$AC$870,G$23,$AE$3:$AE$870,"&lt;="&amp;$B171,$AF$3:$AF$870,"&gt;="&amp;$B171)=0,0,9.99),SUMIFS($AD$3:$AD$870,$AC$3:$AC$870,G$23,$AE$3:$AE$870,"&lt;="&amp;$B171,$AF$3:$AF$870,"&gt;="&amp;$B171)/INDEX('01_INPUTS'!$E$17:$E$31,MATCH(G$23,'01_INPUTS'!$B$17:$B$31,0)))</f>
        <v>0</v>
      </c>
      <c r="H171" s="61">
        <f>IF(INDEX('01_INPUTS'!$E$17:$E$31,MATCH(H$23,'01_INPUTS'!$B$17:$B$31,0))=0,IF(SUMIFS($AD$3:$AD$870,$AC$3:$AC$870,H$23,$AE$3:$AE$870,"&lt;="&amp;$B171,$AF$3:$AF$870,"&gt;="&amp;$B171)=0,0,9.99),SUMIFS($AD$3:$AD$870,$AC$3:$AC$870,H$23,$AE$3:$AE$870,"&lt;="&amp;$B171,$AF$3:$AF$870,"&gt;="&amp;$B171)/INDEX('01_INPUTS'!$E$17:$E$31,MATCH(H$23,'01_INPUTS'!$B$17:$B$31,0)))</f>
        <v>0</v>
      </c>
      <c r="I171" s="61">
        <f>IF(INDEX('01_INPUTS'!$E$17:$E$31,MATCH(I$23,'01_INPUTS'!$B$17:$B$31,0))=0,IF(SUMIFS($AD$3:$AD$870,$AC$3:$AC$870,I$23,$AE$3:$AE$870,"&lt;="&amp;$B171,$AF$3:$AF$870,"&gt;="&amp;$B171)=0,0,9.99),SUMIFS($AD$3:$AD$870,$AC$3:$AC$870,I$23,$AE$3:$AE$870,"&lt;="&amp;$B171,$AF$3:$AF$870,"&gt;="&amp;$B171)/INDEX('01_INPUTS'!$E$17:$E$31,MATCH(I$23,'01_INPUTS'!$B$17:$B$31,0)))</f>
        <v>0</v>
      </c>
      <c r="J171" s="61">
        <f>IF(INDEX('01_INPUTS'!$E$17:$E$31,MATCH(J$23,'01_INPUTS'!$B$17:$B$31,0))=0,IF(SUMIFS($AD$3:$AD$870,$AC$3:$AC$870,J$23,$AE$3:$AE$870,"&lt;="&amp;$B171,$AF$3:$AF$870,"&gt;="&amp;$B171)=0,0,9.99),SUMIFS($AD$3:$AD$870,$AC$3:$AC$870,J$23,$AE$3:$AE$870,"&lt;="&amp;$B171,$AF$3:$AF$870,"&gt;="&amp;$B171)/INDEX('01_INPUTS'!$E$17:$E$31,MATCH(J$23,'01_INPUTS'!$B$17:$B$31,0)))</f>
        <v>0</v>
      </c>
      <c r="K171" s="61">
        <f>IF(INDEX('01_INPUTS'!$E$17:$E$31,MATCH(K$23,'01_INPUTS'!$B$17:$B$31,0))=0,IF(SUMIFS($AD$3:$AD$870,$AC$3:$AC$870,K$23,$AE$3:$AE$870,"&lt;="&amp;$B171,$AF$3:$AF$870,"&gt;="&amp;$B171)=0,0,9.99),SUMIFS($AD$3:$AD$870,$AC$3:$AC$870,K$23,$AE$3:$AE$870,"&lt;="&amp;$B171,$AF$3:$AF$870,"&gt;="&amp;$B171)/INDEX('01_INPUTS'!$E$17:$E$31,MATCH(K$23,'01_INPUTS'!$B$17:$B$31,0)))</f>
        <v>0</v>
      </c>
      <c r="L171" s="61">
        <f>IF(INDEX('01_INPUTS'!$E$17:$E$31,MATCH(L$23,'01_INPUTS'!$B$17:$B$31,0))=0,IF(SUMIFS($AD$3:$AD$870,$AC$3:$AC$870,L$23,$AE$3:$AE$870,"&lt;="&amp;$B171,$AF$3:$AF$870,"&gt;="&amp;$B171)=0,0,9.99),SUMIFS($AD$3:$AD$870,$AC$3:$AC$870,L$23,$AE$3:$AE$870,"&lt;="&amp;$B171,$AF$3:$AF$870,"&gt;="&amp;$B171)/INDEX('01_INPUTS'!$E$17:$E$31,MATCH(L$23,'01_INPUTS'!$B$17:$B$31,0)))</f>
        <v>0</v>
      </c>
      <c r="M171" s="61">
        <f>IF(INDEX('01_INPUTS'!$E$17:$E$31,MATCH(M$23,'01_INPUTS'!$B$17:$B$31,0))=0,IF(SUMIFS($AD$3:$AD$870,$AC$3:$AC$870,M$23,$AE$3:$AE$870,"&lt;="&amp;$B171,$AF$3:$AF$870,"&gt;="&amp;$B171)=0,0,9.99),SUMIFS($AD$3:$AD$870,$AC$3:$AC$870,M$23,$AE$3:$AE$870,"&lt;="&amp;$B171,$AF$3:$AF$870,"&gt;="&amp;$B171)/INDEX('01_INPUTS'!$E$17:$E$31,MATCH(M$23,'01_INPUTS'!$B$17:$B$31,0)))</f>
        <v>0</v>
      </c>
      <c r="N171" s="61">
        <f>IF(INDEX('01_INPUTS'!$E$17:$E$31,MATCH(N$23,'01_INPUTS'!$B$17:$B$31,0))=0,IF(SUMIFS($AD$3:$AD$870,$AC$3:$AC$870,N$23,$AE$3:$AE$870,"&lt;="&amp;$B171,$AF$3:$AF$870,"&gt;="&amp;$B171)=0,0,9.99),SUMIFS($AD$3:$AD$870,$AC$3:$AC$870,N$23,$AE$3:$AE$870,"&lt;="&amp;$B171,$AF$3:$AF$870,"&gt;="&amp;$B171)/INDEX('01_INPUTS'!$E$17:$E$31,MATCH(N$23,'01_INPUTS'!$B$17:$B$31,0)))</f>
        <v>0</v>
      </c>
      <c r="O171" s="61">
        <f>IF(INDEX('01_INPUTS'!$E$17:$E$31,MATCH(O$23,'01_INPUTS'!$B$17:$B$31,0))=0,IF(SUMIFS($AD$3:$AD$870,$AC$3:$AC$870,O$23,$AE$3:$AE$870,"&lt;="&amp;$B171,$AF$3:$AF$870,"&gt;="&amp;$B171)=0,0,9.99),SUMIFS($AD$3:$AD$870,$AC$3:$AC$870,O$23,$AE$3:$AE$870,"&lt;="&amp;$B171,$AF$3:$AF$870,"&gt;="&amp;$B171)/INDEX('01_INPUTS'!$E$17:$E$31,MATCH(O$23,'01_INPUTS'!$B$17:$B$31,0)))</f>
        <v>0</v>
      </c>
      <c r="P171" s="61">
        <f>IF(INDEX('01_INPUTS'!$E$17:$E$31,MATCH(P$23,'01_INPUTS'!$B$17:$B$31,0))=0,IF(SUMIFS($AD$3:$AD$870,$AC$3:$AC$870,P$23,$AE$3:$AE$870,"&lt;="&amp;$B171,$AF$3:$AF$870,"&gt;="&amp;$B171)=0,0,9.99),SUMIFS($AD$3:$AD$870,$AC$3:$AC$870,P$23,$AE$3:$AE$870,"&lt;="&amp;$B171,$AF$3:$AF$870,"&gt;="&amp;$B171)/INDEX('01_INPUTS'!$E$17:$E$31,MATCH(P$23,'01_INPUTS'!$B$17:$B$31,0)))</f>
        <v>0</v>
      </c>
      <c r="Q171" s="61">
        <f>IF(INDEX('01_INPUTS'!$E$17:$E$31,MATCH(Q$23,'01_INPUTS'!$B$17:$B$31,0))=0,IF(SUMIFS($AD$3:$AD$870,$AC$3:$AC$870,Q$23,$AE$3:$AE$870,"&lt;="&amp;$B171,$AF$3:$AF$870,"&gt;="&amp;$B171)=0,0,9.99),SUMIFS($AD$3:$AD$870,$AC$3:$AC$870,Q$23,$AE$3:$AE$870,"&lt;="&amp;$B171,$AF$3:$AF$870,"&gt;="&amp;$B171)/INDEX('01_INPUTS'!$E$17:$E$31,MATCH(Q$23,'01_INPUTS'!$B$17:$B$31,0)))</f>
        <v>0</v>
      </c>
      <c r="R171" s="61">
        <f>IF(INDEX('01_INPUTS'!$E$17:$E$31,MATCH(R$23,'01_INPUTS'!$B$17:$B$31,0))=0,IF(SUMIFS($AD$3:$AD$870,$AC$3:$AC$870,R$23,$AE$3:$AE$870,"&lt;="&amp;$B171,$AF$3:$AF$870,"&gt;="&amp;$B171)=0,0,9.99),SUMIFS($AD$3:$AD$870,$AC$3:$AC$870,R$23,$AE$3:$AE$870,"&lt;="&amp;$B171,$AF$3:$AF$870,"&gt;="&amp;$B171)/INDEX('01_INPUTS'!$E$17:$E$31,MATCH(R$23,'01_INPUTS'!$B$17:$B$31,0)))</f>
        <v>0</v>
      </c>
      <c r="S171">
        <f t="shared" si="19"/>
        <v>0</v>
      </c>
      <c r="T171">
        <f>SUM('01_INPUTS'!$E$17:$E$31)</f>
        <v>20</v>
      </c>
      <c r="U171" s="61">
        <f t="shared" si="20"/>
        <v>0</v>
      </c>
      <c r="V171">
        <f t="shared" si="21"/>
        <v>0</v>
      </c>
      <c r="W171" t="str">
        <f t="shared" si="22"/>
        <v>VERDE</v>
      </c>
      <c r="AA171" s="51" t="str">
        <f>'Sites Master'!$B$4</f>
        <v>Site 03</v>
      </c>
      <c r="AB171" s="51" t="str">
        <f>'Phase-Resource Allocation'!$B$108</f>
        <v>Go Live</v>
      </c>
      <c r="AC171" s="51" t="str">
        <f>'Phase-Resource Allocation'!$C$108</f>
        <v>Azure Specialist</v>
      </c>
      <c r="AD171" s="60">
        <f>'Phase-Resource Allocation'!$D$108</f>
        <v>1</v>
      </c>
      <c r="AE171" s="51">
        <f>IFERROR(INDEX('02_SCHEDULE'!$K$5:$K$124,MATCH(AA171&amp;"|"&amp;AB171,'02_SCHEDULE'!$M$5:$M$124,0)),0)</f>
        <v>12</v>
      </c>
      <c r="AF171" s="51">
        <f>IFERROR(INDEX('02_SCHEDULE'!$L$5:$L$124,MATCH(AA171&amp;"|"&amp;AB171,'02_SCHEDULE'!$M$5:$M$124,0)),0)</f>
        <v>12</v>
      </c>
      <c r="AG171" s="51">
        <f t="shared" si="18"/>
        <v>1</v>
      </c>
    </row>
    <row r="172" spans="2:33" x14ac:dyDescent="0.3">
      <c r="B172">
        <f>149</f>
        <v>149</v>
      </c>
      <c r="C172" s="55">
        <f>'01_INPUTS'!$C$7+(149-1)*7</f>
        <v>47287</v>
      </c>
      <c r="D172" s="61">
        <f>IF(INDEX('01_INPUTS'!$E$17:$E$31,MATCH(D$23,'01_INPUTS'!$B$17:$B$31,0))=0,IF(SUMIFS($AD$3:$AD$870,$AC$3:$AC$870,D$23,$AE$3:$AE$870,"&lt;="&amp;$B172,$AF$3:$AF$870,"&gt;="&amp;$B172)=0,0,9.99),SUMIFS($AD$3:$AD$870,$AC$3:$AC$870,D$23,$AE$3:$AE$870,"&lt;="&amp;$B172,$AF$3:$AF$870,"&gt;="&amp;$B172)/INDEX('01_INPUTS'!$E$17:$E$31,MATCH(D$23,'01_INPUTS'!$B$17:$B$31,0)))</f>
        <v>0</v>
      </c>
      <c r="E172" s="61">
        <f>IF(INDEX('01_INPUTS'!$E$17:$E$31,MATCH(E$23,'01_INPUTS'!$B$17:$B$31,0))=0,IF(SUMIFS($AD$3:$AD$870,$AC$3:$AC$870,E$23,$AE$3:$AE$870,"&lt;="&amp;$B172,$AF$3:$AF$870,"&gt;="&amp;$B172)=0,0,9.99),SUMIFS($AD$3:$AD$870,$AC$3:$AC$870,E$23,$AE$3:$AE$870,"&lt;="&amp;$B172,$AF$3:$AF$870,"&gt;="&amp;$B172)/INDEX('01_INPUTS'!$E$17:$E$31,MATCH(E$23,'01_INPUTS'!$B$17:$B$31,0)))</f>
        <v>0</v>
      </c>
      <c r="F172" s="61">
        <f>IF(INDEX('01_INPUTS'!$E$17:$E$31,MATCH(F$23,'01_INPUTS'!$B$17:$B$31,0))=0,IF(SUMIFS($AD$3:$AD$870,$AC$3:$AC$870,F$23,$AE$3:$AE$870,"&lt;="&amp;$B172,$AF$3:$AF$870,"&gt;="&amp;$B172)=0,0,9.99),SUMIFS($AD$3:$AD$870,$AC$3:$AC$870,F$23,$AE$3:$AE$870,"&lt;="&amp;$B172,$AF$3:$AF$870,"&gt;="&amp;$B172)/INDEX('01_INPUTS'!$E$17:$E$31,MATCH(F$23,'01_INPUTS'!$B$17:$B$31,0)))</f>
        <v>0</v>
      </c>
      <c r="G172" s="61">
        <f>IF(INDEX('01_INPUTS'!$E$17:$E$31,MATCH(G$23,'01_INPUTS'!$B$17:$B$31,0))=0,IF(SUMIFS($AD$3:$AD$870,$AC$3:$AC$870,G$23,$AE$3:$AE$870,"&lt;="&amp;$B172,$AF$3:$AF$870,"&gt;="&amp;$B172)=0,0,9.99),SUMIFS($AD$3:$AD$870,$AC$3:$AC$870,G$23,$AE$3:$AE$870,"&lt;="&amp;$B172,$AF$3:$AF$870,"&gt;="&amp;$B172)/INDEX('01_INPUTS'!$E$17:$E$31,MATCH(G$23,'01_INPUTS'!$B$17:$B$31,0)))</f>
        <v>0</v>
      </c>
      <c r="H172" s="61">
        <f>IF(INDEX('01_INPUTS'!$E$17:$E$31,MATCH(H$23,'01_INPUTS'!$B$17:$B$31,0))=0,IF(SUMIFS($AD$3:$AD$870,$AC$3:$AC$870,H$23,$AE$3:$AE$870,"&lt;="&amp;$B172,$AF$3:$AF$870,"&gt;="&amp;$B172)=0,0,9.99),SUMIFS($AD$3:$AD$870,$AC$3:$AC$870,H$23,$AE$3:$AE$870,"&lt;="&amp;$B172,$AF$3:$AF$870,"&gt;="&amp;$B172)/INDEX('01_INPUTS'!$E$17:$E$31,MATCH(H$23,'01_INPUTS'!$B$17:$B$31,0)))</f>
        <v>0</v>
      </c>
      <c r="I172" s="61">
        <f>IF(INDEX('01_INPUTS'!$E$17:$E$31,MATCH(I$23,'01_INPUTS'!$B$17:$B$31,0))=0,IF(SUMIFS($AD$3:$AD$870,$AC$3:$AC$870,I$23,$AE$3:$AE$870,"&lt;="&amp;$B172,$AF$3:$AF$870,"&gt;="&amp;$B172)=0,0,9.99),SUMIFS($AD$3:$AD$870,$AC$3:$AC$870,I$23,$AE$3:$AE$870,"&lt;="&amp;$B172,$AF$3:$AF$870,"&gt;="&amp;$B172)/INDEX('01_INPUTS'!$E$17:$E$31,MATCH(I$23,'01_INPUTS'!$B$17:$B$31,0)))</f>
        <v>0</v>
      </c>
      <c r="J172" s="61">
        <f>IF(INDEX('01_INPUTS'!$E$17:$E$31,MATCH(J$23,'01_INPUTS'!$B$17:$B$31,0))=0,IF(SUMIFS($AD$3:$AD$870,$AC$3:$AC$870,J$23,$AE$3:$AE$870,"&lt;="&amp;$B172,$AF$3:$AF$870,"&gt;="&amp;$B172)=0,0,9.99),SUMIFS($AD$3:$AD$870,$AC$3:$AC$870,J$23,$AE$3:$AE$870,"&lt;="&amp;$B172,$AF$3:$AF$870,"&gt;="&amp;$B172)/INDEX('01_INPUTS'!$E$17:$E$31,MATCH(J$23,'01_INPUTS'!$B$17:$B$31,0)))</f>
        <v>0</v>
      </c>
      <c r="K172" s="61">
        <f>IF(INDEX('01_INPUTS'!$E$17:$E$31,MATCH(K$23,'01_INPUTS'!$B$17:$B$31,0))=0,IF(SUMIFS($AD$3:$AD$870,$AC$3:$AC$870,K$23,$AE$3:$AE$870,"&lt;="&amp;$B172,$AF$3:$AF$870,"&gt;="&amp;$B172)=0,0,9.99),SUMIFS($AD$3:$AD$870,$AC$3:$AC$870,K$23,$AE$3:$AE$870,"&lt;="&amp;$B172,$AF$3:$AF$870,"&gt;="&amp;$B172)/INDEX('01_INPUTS'!$E$17:$E$31,MATCH(K$23,'01_INPUTS'!$B$17:$B$31,0)))</f>
        <v>0</v>
      </c>
      <c r="L172" s="61">
        <f>IF(INDEX('01_INPUTS'!$E$17:$E$31,MATCH(L$23,'01_INPUTS'!$B$17:$B$31,0))=0,IF(SUMIFS($AD$3:$AD$870,$AC$3:$AC$870,L$23,$AE$3:$AE$870,"&lt;="&amp;$B172,$AF$3:$AF$870,"&gt;="&amp;$B172)=0,0,9.99),SUMIFS($AD$3:$AD$870,$AC$3:$AC$870,L$23,$AE$3:$AE$870,"&lt;="&amp;$B172,$AF$3:$AF$870,"&gt;="&amp;$B172)/INDEX('01_INPUTS'!$E$17:$E$31,MATCH(L$23,'01_INPUTS'!$B$17:$B$31,0)))</f>
        <v>0</v>
      </c>
      <c r="M172" s="61">
        <f>IF(INDEX('01_INPUTS'!$E$17:$E$31,MATCH(M$23,'01_INPUTS'!$B$17:$B$31,0))=0,IF(SUMIFS($AD$3:$AD$870,$AC$3:$AC$870,M$23,$AE$3:$AE$870,"&lt;="&amp;$B172,$AF$3:$AF$870,"&gt;="&amp;$B172)=0,0,9.99),SUMIFS($AD$3:$AD$870,$AC$3:$AC$870,M$23,$AE$3:$AE$870,"&lt;="&amp;$B172,$AF$3:$AF$870,"&gt;="&amp;$B172)/INDEX('01_INPUTS'!$E$17:$E$31,MATCH(M$23,'01_INPUTS'!$B$17:$B$31,0)))</f>
        <v>0</v>
      </c>
      <c r="N172" s="61">
        <f>IF(INDEX('01_INPUTS'!$E$17:$E$31,MATCH(N$23,'01_INPUTS'!$B$17:$B$31,0))=0,IF(SUMIFS($AD$3:$AD$870,$AC$3:$AC$870,N$23,$AE$3:$AE$870,"&lt;="&amp;$B172,$AF$3:$AF$870,"&gt;="&amp;$B172)=0,0,9.99),SUMIFS($AD$3:$AD$870,$AC$3:$AC$870,N$23,$AE$3:$AE$870,"&lt;="&amp;$B172,$AF$3:$AF$870,"&gt;="&amp;$B172)/INDEX('01_INPUTS'!$E$17:$E$31,MATCH(N$23,'01_INPUTS'!$B$17:$B$31,0)))</f>
        <v>0</v>
      </c>
      <c r="O172" s="61">
        <f>IF(INDEX('01_INPUTS'!$E$17:$E$31,MATCH(O$23,'01_INPUTS'!$B$17:$B$31,0))=0,IF(SUMIFS($AD$3:$AD$870,$AC$3:$AC$870,O$23,$AE$3:$AE$870,"&lt;="&amp;$B172,$AF$3:$AF$870,"&gt;="&amp;$B172)=0,0,9.99),SUMIFS($AD$3:$AD$870,$AC$3:$AC$870,O$23,$AE$3:$AE$870,"&lt;="&amp;$B172,$AF$3:$AF$870,"&gt;="&amp;$B172)/INDEX('01_INPUTS'!$E$17:$E$31,MATCH(O$23,'01_INPUTS'!$B$17:$B$31,0)))</f>
        <v>0</v>
      </c>
      <c r="P172" s="61">
        <f>IF(INDEX('01_INPUTS'!$E$17:$E$31,MATCH(P$23,'01_INPUTS'!$B$17:$B$31,0))=0,IF(SUMIFS($AD$3:$AD$870,$AC$3:$AC$870,P$23,$AE$3:$AE$870,"&lt;="&amp;$B172,$AF$3:$AF$870,"&gt;="&amp;$B172)=0,0,9.99),SUMIFS($AD$3:$AD$870,$AC$3:$AC$870,P$23,$AE$3:$AE$870,"&lt;="&amp;$B172,$AF$3:$AF$870,"&gt;="&amp;$B172)/INDEX('01_INPUTS'!$E$17:$E$31,MATCH(P$23,'01_INPUTS'!$B$17:$B$31,0)))</f>
        <v>0</v>
      </c>
      <c r="Q172" s="61">
        <f>IF(INDEX('01_INPUTS'!$E$17:$E$31,MATCH(Q$23,'01_INPUTS'!$B$17:$B$31,0))=0,IF(SUMIFS($AD$3:$AD$870,$AC$3:$AC$870,Q$23,$AE$3:$AE$870,"&lt;="&amp;$B172,$AF$3:$AF$870,"&gt;="&amp;$B172)=0,0,9.99),SUMIFS($AD$3:$AD$870,$AC$3:$AC$870,Q$23,$AE$3:$AE$870,"&lt;="&amp;$B172,$AF$3:$AF$870,"&gt;="&amp;$B172)/INDEX('01_INPUTS'!$E$17:$E$31,MATCH(Q$23,'01_INPUTS'!$B$17:$B$31,0)))</f>
        <v>0</v>
      </c>
      <c r="R172" s="61">
        <f>IF(INDEX('01_INPUTS'!$E$17:$E$31,MATCH(R$23,'01_INPUTS'!$B$17:$B$31,0))=0,IF(SUMIFS($AD$3:$AD$870,$AC$3:$AC$870,R$23,$AE$3:$AE$870,"&lt;="&amp;$B172,$AF$3:$AF$870,"&gt;="&amp;$B172)=0,0,9.99),SUMIFS($AD$3:$AD$870,$AC$3:$AC$870,R$23,$AE$3:$AE$870,"&lt;="&amp;$B172,$AF$3:$AF$870,"&gt;="&amp;$B172)/INDEX('01_INPUTS'!$E$17:$E$31,MATCH(R$23,'01_INPUTS'!$B$17:$B$31,0)))</f>
        <v>0</v>
      </c>
      <c r="S172">
        <f t="shared" si="19"/>
        <v>0</v>
      </c>
      <c r="T172">
        <f>SUM('01_INPUTS'!$E$17:$E$31)</f>
        <v>20</v>
      </c>
      <c r="U172" s="61">
        <f t="shared" si="20"/>
        <v>0</v>
      </c>
      <c r="V172">
        <f t="shared" si="21"/>
        <v>0</v>
      </c>
      <c r="W172" t="str">
        <f t="shared" si="22"/>
        <v>VERDE</v>
      </c>
      <c r="AA172" s="51" t="str">
        <f>'Sites Master'!$B$4</f>
        <v>Site 03</v>
      </c>
      <c r="AB172" s="51" t="str">
        <f>'Phase-Resource Allocation'!$B$109</f>
        <v>Go Live</v>
      </c>
      <c r="AC172" s="51" t="str">
        <f>'Phase-Resource Allocation'!$C$109</f>
        <v>Functional Lead</v>
      </c>
      <c r="AD172" s="60">
        <f>'Phase-Resource Allocation'!$D$109</f>
        <v>1</v>
      </c>
      <c r="AE172" s="51">
        <f>IFERROR(INDEX('02_SCHEDULE'!$K$5:$K$124,MATCH(AA172&amp;"|"&amp;AB172,'02_SCHEDULE'!$M$5:$M$124,0)),0)</f>
        <v>12</v>
      </c>
      <c r="AF172" s="51">
        <f>IFERROR(INDEX('02_SCHEDULE'!$L$5:$L$124,MATCH(AA172&amp;"|"&amp;AB172,'02_SCHEDULE'!$M$5:$M$124,0)),0)</f>
        <v>12</v>
      </c>
      <c r="AG172" s="51">
        <f t="shared" si="18"/>
        <v>1</v>
      </c>
    </row>
    <row r="173" spans="2:33" x14ac:dyDescent="0.3">
      <c r="B173">
        <f>150</f>
        <v>150</v>
      </c>
      <c r="C173" s="55">
        <f>'01_INPUTS'!$C$7+(150-1)*7</f>
        <v>47294</v>
      </c>
      <c r="D173" s="61">
        <f>IF(INDEX('01_INPUTS'!$E$17:$E$31,MATCH(D$23,'01_INPUTS'!$B$17:$B$31,0))=0,IF(SUMIFS($AD$3:$AD$870,$AC$3:$AC$870,D$23,$AE$3:$AE$870,"&lt;="&amp;$B173,$AF$3:$AF$870,"&gt;="&amp;$B173)=0,0,9.99),SUMIFS($AD$3:$AD$870,$AC$3:$AC$870,D$23,$AE$3:$AE$870,"&lt;="&amp;$B173,$AF$3:$AF$870,"&gt;="&amp;$B173)/INDEX('01_INPUTS'!$E$17:$E$31,MATCH(D$23,'01_INPUTS'!$B$17:$B$31,0)))</f>
        <v>0</v>
      </c>
      <c r="E173" s="61">
        <f>IF(INDEX('01_INPUTS'!$E$17:$E$31,MATCH(E$23,'01_INPUTS'!$B$17:$B$31,0))=0,IF(SUMIFS($AD$3:$AD$870,$AC$3:$AC$870,E$23,$AE$3:$AE$870,"&lt;="&amp;$B173,$AF$3:$AF$870,"&gt;="&amp;$B173)=0,0,9.99),SUMIFS($AD$3:$AD$870,$AC$3:$AC$870,E$23,$AE$3:$AE$870,"&lt;="&amp;$B173,$AF$3:$AF$870,"&gt;="&amp;$B173)/INDEX('01_INPUTS'!$E$17:$E$31,MATCH(E$23,'01_INPUTS'!$B$17:$B$31,0)))</f>
        <v>0</v>
      </c>
      <c r="F173" s="61">
        <f>IF(INDEX('01_INPUTS'!$E$17:$E$31,MATCH(F$23,'01_INPUTS'!$B$17:$B$31,0))=0,IF(SUMIFS($AD$3:$AD$870,$AC$3:$AC$870,F$23,$AE$3:$AE$870,"&lt;="&amp;$B173,$AF$3:$AF$870,"&gt;="&amp;$B173)=0,0,9.99),SUMIFS($AD$3:$AD$870,$AC$3:$AC$870,F$23,$AE$3:$AE$870,"&lt;="&amp;$B173,$AF$3:$AF$870,"&gt;="&amp;$B173)/INDEX('01_INPUTS'!$E$17:$E$31,MATCH(F$23,'01_INPUTS'!$B$17:$B$31,0)))</f>
        <v>0</v>
      </c>
      <c r="G173" s="61">
        <f>IF(INDEX('01_INPUTS'!$E$17:$E$31,MATCH(G$23,'01_INPUTS'!$B$17:$B$31,0))=0,IF(SUMIFS($AD$3:$AD$870,$AC$3:$AC$870,G$23,$AE$3:$AE$870,"&lt;="&amp;$B173,$AF$3:$AF$870,"&gt;="&amp;$B173)=0,0,9.99),SUMIFS($AD$3:$AD$870,$AC$3:$AC$870,G$23,$AE$3:$AE$870,"&lt;="&amp;$B173,$AF$3:$AF$870,"&gt;="&amp;$B173)/INDEX('01_INPUTS'!$E$17:$E$31,MATCH(G$23,'01_INPUTS'!$B$17:$B$31,0)))</f>
        <v>0</v>
      </c>
      <c r="H173" s="61">
        <f>IF(INDEX('01_INPUTS'!$E$17:$E$31,MATCH(H$23,'01_INPUTS'!$B$17:$B$31,0))=0,IF(SUMIFS($AD$3:$AD$870,$AC$3:$AC$870,H$23,$AE$3:$AE$870,"&lt;="&amp;$B173,$AF$3:$AF$870,"&gt;="&amp;$B173)=0,0,9.99),SUMIFS($AD$3:$AD$870,$AC$3:$AC$870,H$23,$AE$3:$AE$870,"&lt;="&amp;$B173,$AF$3:$AF$870,"&gt;="&amp;$B173)/INDEX('01_INPUTS'!$E$17:$E$31,MATCH(H$23,'01_INPUTS'!$B$17:$B$31,0)))</f>
        <v>0</v>
      </c>
      <c r="I173" s="61">
        <f>IF(INDEX('01_INPUTS'!$E$17:$E$31,MATCH(I$23,'01_INPUTS'!$B$17:$B$31,0))=0,IF(SUMIFS($AD$3:$AD$870,$AC$3:$AC$870,I$23,$AE$3:$AE$870,"&lt;="&amp;$B173,$AF$3:$AF$870,"&gt;="&amp;$B173)=0,0,9.99),SUMIFS($AD$3:$AD$870,$AC$3:$AC$870,I$23,$AE$3:$AE$870,"&lt;="&amp;$B173,$AF$3:$AF$870,"&gt;="&amp;$B173)/INDEX('01_INPUTS'!$E$17:$E$31,MATCH(I$23,'01_INPUTS'!$B$17:$B$31,0)))</f>
        <v>0</v>
      </c>
      <c r="J173" s="61">
        <f>IF(INDEX('01_INPUTS'!$E$17:$E$31,MATCH(J$23,'01_INPUTS'!$B$17:$B$31,0))=0,IF(SUMIFS($AD$3:$AD$870,$AC$3:$AC$870,J$23,$AE$3:$AE$870,"&lt;="&amp;$B173,$AF$3:$AF$870,"&gt;="&amp;$B173)=0,0,9.99),SUMIFS($AD$3:$AD$870,$AC$3:$AC$870,J$23,$AE$3:$AE$870,"&lt;="&amp;$B173,$AF$3:$AF$870,"&gt;="&amp;$B173)/INDEX('01_INPUTS'!$E$17:$E$31,MATCH(J$23,'01_INPUTS'!$B$17:$B$31,0)))</f>
        <v>0</v>
      </c>
      <c r="K173" s="61">
        <f>IF(INDEX('01_INPUTS'!$E$17:$E$31,MATCH(K$23,'01_INPUTS'!$B$17:$B$31,0))=0,IF(SUMIFS($AD$3:$AD$870,$AC$3:$AC$870,K$23,$AE$3:$AE$870,"&lt;="&amp;$B173,$AF$3:$AF$870,"&gt;="&amp;$B173)=0,0,9.99),SUMIFS($AD$3:$AD$870,$AC$3:$AC$870,K$23,$AE$3:$AE$870,"&lt;="&amp;$B173,$AF$3:$AF$870,"&gt;="&amp;$B173)/INDEX('01_INPUTS'!$E$17:$E$31,MATCH(K$23,'01_INPUTS'!$B$17:$B$31,0)))</f>
        <v>0</v>
      </c>
      <c r="L173" s="61">
        <f>IF(INDEX('01_INPUTS'!$E$17:$E$31,MATCH(L$23,'01_INPUTS'!$B$17:$B$31,0))=0,IF(SUMIFS($AD$3:$AD$870,$AC$3:$AC$870,L$23,$AE$3:$AE$870,"&lt;="&amp;$B173,$AF$3:$AF$870,"&gt;="&amp;$B173)=0,0,9.99),SUMIFS($AD$3:$AD$870,$AC$3:$AC$870,L$23,$AE$3:$AE$870,"&lt;="&amp;$B173,$AF$3:$AF$870,"&gt;="&amp;$B173)/INDEX('01_INPUTS'!$E$17:$E$31,MATCH(L$23,'01_INPUTS'!$B$17:$B$31,0)))</f>
        <v>0</v>
      </c>
      <c r="M173" s="61">
        <f>IF(INDEX('01_INPUTS'!$E$17:$E$31,MATCH(M$23,'01_INPUTS'!$B$17:$B$31,0))=0,IF(SUMIFS($AD$3:$AD$870,$AC$3:$AC$870,M$23,$AE$3:$AE$870,"&lt;="&amp;$B173,$AF$3:$AF$870,"&gt;="&amp;$B173)=0,0,9.99),SUMIFS($AD$3:$AD$870,$AC$3:$AC$870,M$23,$AE$3:$AE$870,"&lt;="&amp;$B173,$AF$3:$AF$870,"&gt;="&amp;$B173)/INDEX('01_INPUTS'!$E$17:$E$31,MATCH(M$23,'01_INPUTS'!$B$17:$B$31,0)))</f>
        <v>0</v>
      </c>
      <c r="N173" s="61">
        <f>IF(INDEX('01_INPUTS'!$E$17:$E$31,MATCH(N$23,'01_INPUTS'!$B$17:$B$31,0))=0,IF(SUMIFS($AD$3:$AD$870,$AC$3:$AC$870,N$23,$AE$3:$AE$870,"&lt;="&amp;$B173,$AF$3:$AF$870,"&gt;="&amp;$B173)=0,0,9.99),SUMIFS($AD$3:$AD$870,$AC$3:$AC$870,N$23,$AE$3:$AE$870,"&lt;="&amp;$B173,$AF$3:$AF$870,"&gt;="&amp;$B173)/INDEX('01_INPUTS'!$E$17:$E$31,MATCH(N$23,'01_INPUTS'!$B$17:$B$31,0)))</f>
        <v>0</v>
      </c>
      <c r="O173" s="61">
        <f>IF(INDEX('01_INPUTS'!$E$17:$E$31,MATCH(O$23,'01_INPUTS'!$B$17:$B$31,0))=0,IF(SUMIFS($AD$3:$AD$870,$AC$3:$AC$870,O$23,$AE$3:$AE$870,"&lt;="&amp;$B173,$AF$3:$AF$870,"&gt;="&amp;$B173)=0,0,9.99),SUMIFS($AD$3:$AD$870,$AC$3:$AC$870,O$23,$AE$3:$AE$870,"&lt;="&amp;$B173,$AF$3:$AF$870,"&gt;="&amp;$B173)/INDEX('01_INPUTS'!$E$17:$E$31,MATCH(O$23,'01_INPUTS'!$B$17:$B$31,0)))</f>
        <v>0</v>
      </c>
      <c r="P173" s="61">
        <f>IF(INDEX('01_INPUTS'!$E$17:$E$31,MATCH(P$23,'01_INPUTS'!$B$17:$B$31,0))=0,IF(SUMIFS($AD$3:$AD$870,$AC$3:$AC$870,P$23,$AE$3:$AE$870,"&lt;="&amp;$B173,$AF$3:$AF$870,"&gt;="&amp;$B173)=0,0,9.99),SUMIFS($AD$3:$AD$870,$AC$3:$AC$870,P$23,$AE$3:$AE$870,"&lt;="&amp;$B173,$AF$3:$AF$870,"&gt;="&amp;$B173)/INDEX('01_INPUTS'!$E$17:$E$31,MATCH(P$23,'01_INPUTS'!$B$17:$B$31,0)))</f>
        <v>0</v>
      </c>
      <c r="Q173" s="61">
        <f>IF(INDEX('01_INPUTS'!$E$17:$E$31,MATCH(Q$23,'01_INPUTS'!$B$17:$B$31,0))=0,IF(SUMIFS($AD$3:$AD$870,$AC$3:$AC$870,Q$23,$AE$3:$AE$870,"&lt;="&amp;$B173,$AF$3:$AF$870,"&gt;="&amp;$B173)=0,0,9.99),SUMIFS($AD$3:$AD$870,$AC$3:$AC$870,Q$23,$AE$3:$AE$870,"&lt;="&amp;$B173,$AF$3:$AF$870,"&gt;="&amp;$B173)/INDEX('01_INPUTS'!$E$17:$E$31,MATCH(Q$23,'01_INPUTS'!$B$17:$B$31,0)))</f>
        <v>0</v>
      </c>
      <c r="R173" s="61">
        <f>IF(INDEX('01_INPUTS'!$E$17:$E$31,MATCH(R$23,'01_INPUTS'!$B$17:$B$31,0))=0,IF(SUMIFS($AD$3:$AD$870,$AC$3:$AC$870,R$23,$AE$3:$AE$870,"&lt;="&amp;$B173,$AF$3:$AF$870,"&gt;="&amp;$B173)=0,0,9.99),SUMIFS($AD$3:$AD$870,$AC$3:$AC$870,R$23,$AE$3:$AE$870,"&lt;="&amp;$B173,$AF$3:$AF$870,"&gt;="&amp;$B173)/INDEX('01_INPUTS'!$E$17:$E$31,MATCH(R$23,'01_INPUTS'!$B$17:$B$31,0)))</f>
        <v>0</v>
      </c>
      <c r="S173">
        <f t="shared" si="19"/>
        <v>0</v>
      </c>
      <c r="T173">
        <f>SUM('01_INPUTS'!$E$17:$E$31)</f>
        <v>20</v>
      </c>
      <c r="U173" s="61">
        <f t="shared" si="20"/>
        <v>0</v>
      </c>
      <c r="V173">
        <f t="shared" si="21"/>
        <v>0</v>
      </c>
      <c r="W173" t="str">
        <f t="shared" si="22"/>
        <v>VERDE</v>
      </c>
      <c r="AA173" s="51" t="str">
        <f>'Sites Master'!$B$4</f>
        <v>Site 03</v>
      </c>
      <c r="AB173" s="51" t="str">
        <f>'Phase-Resource Allocation'!$B$110</f>
        <v>Go Live</v>
      </c>
      <c r="AC173" s="51" t="str">
        <f>'Phase-Resource Allocation'!$C$110</f>
        <v>Trainers</v>
      </c>
      <c r="AD173" s="60">
        <f>'Phase-Resource Allocation'!$D$110</f>
        <v>1</v>
      </c>
      <c r="AE173" s="51">
        <f>IFERROR(INDEX('02_SCHEDULE'!$K$5:$K$124,MATCH(AA173&amp;"|"&amp;AB173,'02_SCHEDULE'!$M$5:$M$124,0)),0)</f>
        <v>12</v>
      </c>
      <c r="AF173" s="51">
        <f>IFERROR(INDEX('02_SCHEDULE'!$L$5:$L$124,MATCH(AA173&amp;"|"&amp;AB173,'02_SCHEDULE'!$M$5:$M$124,0)),0)</f>
        <v>12</v>
      </c>
      <c r="AG173" s="51">
        <f t="shared" si="18"/>
        <v>1</v>
      </c>
    </row>
    <row r="174" spans="2:33" x14ac:dyDescent="0.3">
      <c r="AA174" s="51" t="str">
        <f>'Sites Master'!$B$4</f>
        <v>Site 03</v>
      </c>
      <c r="AB174" s="51" t="str">
        <f>'Phase-Resource Allocation'!$B$111</f>
        <v>Go Live</v>
      </c>
      <c r="AC174" s="51" t="str">
        <f>'Phase-Resource Allocation'!$C$111</f>
        <v>Infrastructure Lead</v>
      </c>
      <c r="AD174" s="60">
        <f>'Phase-Resource Allocation'!$D$111</f>
        <v>1</v>
      </c>
      <c r="AE174" s="51">
        <f>IFERROR(INDEX('02_SCHEDULE'!$K$5:$K$124,MATCH(AA174&amp;"|"&amp;AB174,'02_SCHEDULE'!$M$5:$M$124,0)),0)</f>
        <v>12</v>
      </c>
      <c r="AF174" s="51">
        <f>IFERROR(INDEX('02_SCHEDULE'!$L$5:$L$124,MATCH(AA174&amp;"|"&amp;AB174,'02_SCHEDULE'!$M$5:$M$124,0)),0)</f>
        <v>12</v>
      </c>
      <c r="AG174" s="51">
        <f t="shared" si="18"/>
        <v>1</v>
      </c>
    </row>
    <row r="175" spans="2:33" x14ac:dyDescent="0.3">
      <c r="AA175" s="51" t="str">
        <f>'Sites Master'!$B$4</f>
        <v>Site 03</v>
      </c>
      <c r="AB175" s="51" t="str">
        <f>'Phase-Resource Allocation'!$B$112</f>
        <v>Go Live</v>
      </c>
      <c r="AC175" s="51" t="str">
        <f>'Phase-Resource Allocation'!$C$112</f>
        <v>Functional Lead Vendor A</v>
      </c>
      <c r="AD175" s="60">
        <f>'Phase-Resource Allocation'!$D$112</f>
        <v>1</v>
      </c>
      <c r="AE175" s="51">
        <f>IFERROR(INDEX('02_SCHEDULE'!$K$5:$K$124,MATCH(AA175&amp;"|"&amp;AB175,'02_SCHEDULE'!$M$5:$M$124,0)),0)</f>
        <v>12</v>
      </c>
      <c r="AF175" s="51">
        <f>IFERROR(INDEX('02_SCHEDULE'!$L$5:$L$124,MATCH(AA175&amp;"|"&amp;AB175,'02_SCHEDULE'!$M$5:$M$124,0)),0)</f>
        <v>12</v>
      </c>
      <c r="AG175" s="51">
        <f t="shared" si="18"/>
        <v>1</v>
      </c>
    </row>
    <row r="176" spans="2:33" x14ac:dyDescent="0.3">
      <c r="B176" s="125" t="s">
        <v>176</v>
      </c>
      <c r="C176" s="125"/>
      <c r="D176" s="125"/>
      <c r="E176" s="125"/>
      <c r="AA176" s="51" t="str">
        <f>'Sites Master'!$B$4</f>
        <v>Site 03</v>
      </c>
      <c r="AB176" s="51" t="str">
        <f>'Phase-Resource Allocation'!$B$113</f>
        <v>Hypercare</v>
      </c>
      <c r="AC176" s="51" t="str">
        <f>'Phase-Resource Allocation'!$C$113</f>
        <v>Solution Architect</v>
      </c>
      <c r="AD176" s="60">
        <f>'Phase-Resource Allocation'!$D$113</f>
        <v>0.5</v>
      </c>
      <c r="AE176" s="51">
        <f>IFERROR(INDEX('02_SCHEDULE'!$K$5:$K$124,MATCH(AA176&amp;"|"&amp;AB176,'02_SCHEDULE'!$M$5:$M$124,0)),0)</f>
        <v>13</v>
      </c>
      <c r="AF176" s="51">
        <f>IFERROR(INDEX('02_SCHEDULE'!$L$5:$L$124,MATCH(AA176&amp;"|"&amp;AB176,'02_SCHEDULE'!$M$5:$M$124,0)),0)</f>
        <v>16</v>
      </c>
      <c r="AG176" s="51">
        <f t="shared" si="18"/>
        <v>2</v>
      </c>
    </row>
    <row r="177" spans="2:33" x14ac:dyDescent="0.3">
      <c r="B177" s="39" t="s">
        <v>139</v>
      </c>
      <c r="C177" s="39" t="s">
        <v>1</v>
      </c>
      <c r="D177" s="39" t="s">
        <v>177</v>
      </c>
      <c r="AA177" s="51" t="str">
        <f>'Sites Master'!$B$4</f>
        <v>Site 03</v>
      </c>
      <c r="AB177" s="51" t="str">
        <f>'Phase-Resource Allocation'!$B$114</f>
        <v>Hypercare</v>
      </c>
      <c r="AC177" s="51" t="str">
        <f>'Phase-Resource Allocation'!$C$114</f>
        <v>Change Management Lead</v>
      </c>
      <c r="AD177" s="60">
        <f>'Phase-Resource Allocation'!$D$114</f>
        <v>1</v>
      </c>
      <c r="AE177" s="51">
        <f>IFERROR(INDEX('02_SCHEDULE'!$K$5:$K$124,MATCH(AA177&amp;"|"&amp;AB177,'02_SCHEDULE'!$M$5:$M$124,0)),0)</f>
        <v>13</v>
      </c>
      <c r="AF177" s="51">
        <f>IFERROR(INDEX('02_SCHEDULE'!$L$5:$L$124,MATCH(AA177&amp;"|"&amp;AB177,'02_SCHEDULE'!$M$5:$M$124,0)),0)</f>
        <v>16</v>
      </c>
      <c r="AG177" s="51">
        <f t="shared" si="18"/>
        <v>4</v>
      </c>
    </row>
    <row r="178" spans="2:33" x14ac:dyDescent="0.3">
      <c r="B178" s="41" t="str">
        <f>'Sites Master'!$B$2</f>
        <v>Site 01</v>
      </c>
      <c r="C178" s="41">
        <f>'Sites Master'!$C$2</f>
        <v>2</v>
      </c>
      <c r="D178" s="41">
        <f t="shared" ref="D178:D192" si="23">SUMIF($AA$3:$AA$870,B178,$AG$3:$AG$870)</f>
        <v>92</v>
      </c>
      <c r="AA178" s="51" t="str">
        <f>'Sites Master'!$B$4</f>
        <v>Site 03</v>
      </c>
      <c r="AB178" s="51" t="str">
        <f>'Phase-Resource Allocation'!$B$115</f>
        <v>Hypercare</v>
      </c>
      <c r="AC178" s="51" t="str">
        <f>'Phase-Resource Allocation'!$C$115</f>
        <v>SAP Integrations Lead</v>
      </c>
      <c r="AD178" s="60">
        <f>'Phase-Resource Allocation'!$D$115</f>
        <v>0.5</v>
      </c>
      <c r="AE178" s="51">
        <f>IFERROR(INDEX('02_SCHEDULE'!$K$5:$K$124,MATCH(AA178&amp;"|"&amp;AB178,'02_SCHEDULE'!$M$5:$M$124,0)),0)</f>
        <v>13</v>
      </c>
      <c r="AF178" s="51">
        <f>IFERROR(INDEX('02_SCHEDULE'!$L$5:$L$124,MATCH(AA178&amp;"|"&amp;AB178,'02_SCHEDULE'!$M$5:$M$124,0)),0)</f>
        <v>16</v>
      </c>
      <c r="AG178" s="51">
        <f t="shared" si="18"/>
        <v>2</v>
      </c>
    </row>
    <row r="179" spans="2:33" x14ac:dyDescent="0.3">
      <c r="B179" s="41" t="str">
        <f>'Sites Master'!$B$3</f>
        <v>Site 02</v>
      </c>
      <c r="C179" s="41">
        <f>'Sites Master'!$C$3</f>
        <v>2</v>
      </c>
      <c r="D179" s="41">
        <f t="shared" si="23"/>
        <v>92</v>
      </c>
      <c r="AA179" s="51" t="str">
        <f>'Sites Master'!$B$4</f>
        <v>Site 03</v>
      </c>
      <c r="AB179" s="51" t="str">
        <f>'Phase-Resource Allocation'!$B$116</f>
        <v>Hypercare</v>
      </c>
      <c r="AC179" s="51" t="str">
        <f>'Phase-Resource Allocation'!$C$116</f>
        <v>SAP Integrations Specialist</v>
      </c>
      <c r="AD179" s="60">
        <f>'Phase-Resource Allocation'!$D$116</f>
        <v>0.5</v>
      </c>
      <c r="AE179" s="51">
        <f>IFERROR(INDEX('02_SCHEDULE'!$K$5:$K$124,MATCH(AA179&amp;"|"&amp;AB179,'02_SCHEDULE'!$M$5:$M$124,0)),0)</f>
        <v>13</v>
      </c>
      <c r="AF179" s="51">
        <f>IFERROR(INDEX('02_SCHEDULE'!$L$5:$L$124,MATCH(AA179&amp;"|"&amp;AB179,'02_SCHEDULE'!$M$5:$M$124,0)),0)</f>
        <v>16</v>
      </c>
      <c r="AG179" s="51">
        <f t="shared" si="18"/>
        <v>2</v>
      </c>
    </row>
    <row r="180" spans="2:33" x14ac:dyDescent="0.3">
      <c r="B180" s="41" t="str">
        <f>'Sites Master'!$B$4</f>
        <v>Site 03</v>
      </c>
      <c r="C180" s="41">
        <f>'Sites Master'!$C$4</f>
        <v>2</v>
      </c>
      <c r="D180" s="41">
        <f t="shared" si="23"/>
        <v>92</v>
      </c>
      <c r="AA180" s="51" t="str">
        <f>'Sites Master'!$B$4</f>
        <v>Site 03</v>
      </c>
      <c r="AB180" s="51" t="str">
        <f>'Phase-Resource Allocation'!$B$117</f>
        <v>Hypercare</v>
      </c>
      <c r="AC180" s="51" t="str">
        <f>'Phase-Resource Allocation'!$C$117</f>
        <v>Azure Lead</v>
      </c>
      <c r="AD180" s="60">
        <f>'Phase-Resource Allocation'!$D$117</f>
        <v>0.5</v>
      </c>
      <c r="AE180" s="51">
        <f>IFERROR(INDEX('02_SCHEDULE'!$K$5:$K$124,MATCH(AA180&amp;"|"&amp;AB180,'02_SCHEDULE'!$M$5:$M$124,0)),0)</f>
        <v>13</v>
      </c>
      <c r="AF180" s="51">
        <f>IFERROR(INDEX('02_SCHEDULE'!$L$5:$L$124,MATCH(AA180&amp;"|"&amp;AB180,'02_SCHEDULE'!$M$5:$M$124,0)),0)</f>
        <v>16</v>
      </c>
      <c r="AG180" s="51">
        <f t="shared" si="18"/>
        <v>2</v>
      </c>
    </row>
    <row r="181" spans="2:33" x14ac:dyDescent="0.3">
      <c r="B181" s="41" t="str">
        <f>'Sites Master'!$B$5</f>
        <v>Site 04</v>
      </c>
      <c r="C181" s="41">
        <f>'Sites Master'!$C$5</f>
        <v>2</v>
      </c>
      <c r="D181" s="41">
        <f t="shared" si="23"/>
        <v>92</v>
      </c>
      <c r="AA181" s="51" t="str">
        <f>'Sites Master'!$B$4</f>
        <v>Site 03</v>
      </c>
      <c r="AB181" s="51" t="str">
        <f>'Phase-Resource Allocation'!$B$118</f>
        <v>Hypercare</v>
      </c>
      <c r="AC181" s="51" t="str">
        <f>'Phase-Resource Allocation'!$C$118</f>
        <v>Azure Specialist</v>
      </c>
      <c r="AD181" s="60">
        <f>'Phase-Resource Allocation'!$D$118</f>
        <v>0.5</v>
      </c>
      <c r="AE181" s="51">
        <f>IFERROR(INDEX('02_SCHEDULE'!$K$5:$K$124,MATCH(AA181&amp;"|"&amp;AB181,'02_SCHEDULE'!$M$5:$M$124,0)),0)</f>
        <v>13</v>
      </c>
      <c r="AF181" s="51">
        <f>IFERROR(INDEX('02_SCHEDULE'!$L$5:$L$124,MATCH(AA181&amp;"|"&amp;AB181,'02_SCHEDULE'!$M$5:$M$124,0)),0)</f>
        <v>16</v>
      </c>
      <c r="AG181" s="51">
        <f t="shared" si="18"/>
        <v>2</v>
      </c>
    </row>
    <row r="182" spans="2:33" x14ac:dyDescent="0.3">
      <c r="B182" s="41" t="str">
        <f>'Sites Master'!$B$6</f>
        <v>Site 05</v>
      </c>
      <c r="C182" s="41">
        <f>'Sites Master'!$C$6</f>
        <v>3</v>
      </c>
      <c r="D182" s="41">
        <f t="shared" si="23"/>
        <v>86</v>
      </c>
      <c r="AA182" s="51" t="str">
        <f>'Sites Master'!$B$4</f>
        <v>Site 03</v>
      </c>
      <c r="AB182" s="51" t="str">
        <f>'Phase-Resource Allocation'!$B$119</f>
        <v>Hypercare</v>
      </c>
      <c r="AC182" s="51" t="str">
        <f>'Phase-Resource Allocation'!$C$119</f>
        <v>Functional Lead</v>
      </c>
      <c r="AD182" s="60">
        <f>'Phase-Resource Allocation'!$D$119</f>
        <v>1</v>
      </c>
      <c r="AE182" s="51">
        <f>IFERROR(INDEX('02_SCHEDULE'!$K$5:$K$124,MATCH(AA182&amp;"|"&amp;AB182,'02_SCHEDULE'!$M$5:$M$124,0)),0)</f>
        <v>13</v>
      </c>
      <c r="AF182" s="51">
        <f>IFERROR(INDEX('02_SCHEDULE'!$L$5:$L$124,MATCH(AA182&amp;"|"&amp;AB182,'02_SCHEDULE'!$M$5:$M$124,0)),0)</f>
        <v>16</v>
      </c>
      <c r="AG182" s="51">
        <f t="shared" si="18"/>
        <v>4</v>
      </c>
    </row>
    <row r="183" spans="2:33" x14ac:dyDescent="0.3">
      <c r="B183" s="41" t="str">
        <f>'Sites Master'!$B$7</f>
        <v>Site 06</v>
      </c>
      <c r="C183" s="41">
        <f>'Sites Master'!$C$7</f>
        <v>1</v>
      </c>
      <c r="D183" s="41">
        <f t="shared" si="23"/>
        <v>103.5</v>
      </c>
      <c r="AA183" s="51" t="str">
        <f>'Sites Master'!$B$4</f>
        <v>Site 03</v>
      </c>
      <c r="AB183" s="51" t="str">
        <f>'Phase-Resource Allocation'!$B$120</f>
        <v>Hypercare</v>
      </c>
      <c r="AC183" s="51" t="str">
        <f>'Phase-Resource Allocation'!$C$120</f>
        <v>Functional Lead</v>
      </c>
      <c r="AD183" s="60">
        <f>'Phase-Resource Allocation'!$D$120</f>
        <v>1</v>
      </c>
      <c r="AE183" s="51">
        <f>IFERROR(INDEX('02_SCHEDULE'!$K$5:$K$124,MATCH(AA183&amp;"|"&amp;AB183,'02_SCHEDULE'!$M$5:$M$124,0)),0)</f>
        <v>13</v>
      </c>
      <c r="AF183" s="51">
        <f>IFERROR(INDEX('02_SCHEDULE'!$L$5:$L$124,MATCH(AA183&amp;"|"&amp;AB183,'02_SCHEDULE'!$M$5:$M$124,0)),0)</f>
        <v>16</v>
      </c>
      <c r="AG183" s="51">
        <f t="shared" si="18"/>
        <v>4</v>
      </c>
    </row>
    <row r="184" spans="2:33" x14ac:dyDescent="0.3">
      <c r="B184" s="41" t="str">
        <f>'Sites Master'!$B$8</f>
        <v>Site 07</v>
      </c>
      <c r="C184" s="41">
        <f>'Sites Master'!$C$8</f>
        <v>2</v>
      </c>
      <c r="D184" s="41">
        <f t="shared" si="23"/>
        <v>92</v>
      </c>
      <c r="AA184" s="51" t="str">
        <f>'Sites Master'!$B$4</f>
        <v>Site 03</v>
      </c>
      <c r="AB184" s="51" t="str">
        <f>'Phase-Resource Allocation'!$B$121</f>
        <v>Hypercare</v>
      </c>
      <c r="AC184" s="51" t="str">
        <f>'Phase-Resource Allocation'!$C$121</f>
        <v>Trainers</v>
      </c>
      <c r="AD184" s="60">
        <f>'Phase-Resource Allocation'!$D$121</f>
        <v>1</v>
      </c>
      <c r="AE184" s="51">
        <f>IFERROR(INDEX('02_SCHEDULE'!$K$5:$K$124,MATCH(AA184&amp;"|"&amp;AB184,'02_SCHEDULE'!$M$5:$M$124,0)),0)</f>
        <v>13</v>
      </c>
      <c r="AF184" s="51">
        <f>IFERROR(INDEX('02_SCHEDULE'!$L$5:$L$124,MATCH(AA184&amp;"|"&amp;AB184,'02_SCHEDULE'!$M$5:$M$124,0)),0)</f>
        <v>16</v>
      </c>
      <c r="AG184" s="51">
        <f t="shared" si="18"/>
        <v>4</v>
      </c>
    </row>
    <row r="185" spans="2:33" x14ac:dyDescent="0.3">
      <c r="B185" s="41" t="str">
        <f>'Sites Master'!$B$9</f>
        <v>Site 08</v>
      </c>
      <c r="C185" s="41">
        <f>'Sites Master'!$C$9</f>
        <v>1</v>
      </c>
      <c r="D185" s="41">
        <f t="shared" si="23"/>
        <v>103.5</v>
      </c>
      <c r="AA185" s="51" t="str">
        <f>'Sites Master'!$B$4</f>
        <v>Site 03</v>
      </c>
      <c r="AB185" s="51" t="str">
        <f>'Phase-Resource Allocation'!$B$122</f>
        <v>Hypercare</v>
      </c>
      <c r="AC185" s="51" t="str">
        <f>'Phase-Resource Allocation'!$C$122</f>
        <v>Trainers</v>
      </c>
      <c r="AD185" s="60">
        <f>'Phase-Resource Allocation'!$D$122</f>
        <v>1</v>
      </c>
      <c r="AE185" s="51">
        <f>IFERROR(INDEX('02_SCHEDULE'!$K$5:$K$124,MATCH(AA185&amp;"|"&amp;AB185,'02_SCHEDULE'!$M$5:$M$124,0)),0)</f>
        <v>13</v>
      </c>
      <c r="AF185" s="51">
        <f>IFERROR(INDEX('02_SCHEDULE'!$L$5:$L$124,MATCH(AA185&amp;"|"&amp;AB185,'02_SCHEDULE'!$M$5:$M$124,0)),0)</f>
        <v>16</v>
      </c>
      <c r="AG185" s="51">
        <f t="shared" si="18"/>
        <v>4</v>
      </c>
    </row>
    <row r="186" spans="2:33" x14ac:dyDescent="0.3">
      <c r="B186" s="41" t="str">
        <f>'Sites Master'!$B$10</f>
        <v>Site 09</v>
      </c>
      <c r="C186" s="41">
        <f>'Sites Master'!$C$10</f>
        <v>2</v>
      </c>
      <c r="D186" s="41">
        <f t="shared" si="23"/>
        <v>92</v>
      </c>
      <c r="AA186" s="51" t="str">
        <f>'Sites Master'!$B$4</f>
        <v>Site 03</v>
      </c>
      <c r="AB186" s="51" t="str">
        <f>'Phase-Resource Allocation'!$B$123</f>
        <v>Hypercare</v>
      </c>
      <c r="AC186" s="51" t="str">
        <f>'Phase-Resource Allocation'!$C$123</f>
        <v>Trainers</v>
      </c>
      <c r="AD186" s="60">
        <f>'Phase-Resource Allocation'!$D$123</f>
        <v>1</v>
      </c>
      <c r="AE186" s="51">
        <f>IFERROR(INDEX('02_SCHEDULE'!$K$5:$K$124,MATCH(AA186&amp;"|"&amp;AB186,'02_SCHEDULE'!$M$5:$M$124,0)),0)</f>
        <v>13</v>
      </c>
      <c r="AF186" s="51">
        <f>IFERROR(INDEX('02_SCHEDULE'!$L$5:$L$124,MATCH(AA186&amp;"|"&amp;AB186,'02_SCHEDULE'!$M$5:$M$124,0)),0)</f>
        <v>16</v>
      </c>
      <c r="AG186" s="51">
        <f t="shared" si="18"/>
        <v>4</v>
      </c>
    </row>
    <row r="187" spans="2:33" x14ac:dyDescent="0.3">
      <c r="B187" s="41" t="str">
        <f>'Sites Master'!$B$11</f>
        <v>Site 10</v>
      </c>
      <c r="C187" s="41">
        <f>'Sites Master'!$C$11</f>
        <v>1</v>
      </c>
      <c r="D187" s="41">
        <f t="shared" si="23"/>
        <v>103.5</v>
      </c>
      <c r="AA187" s="51" t="str">
        <f>'Sites Master'!$B$4</f>
        <v>Site 03</v>
      </c>
      <c r="AB187" s="51" t="str">
        <f>'Phase-Resource Allocation'!$B$124</f>
        <v>Hypercare</v>
      </c>
      <c r="AC187" s="51" t="str">
        <f>'Phase-Resource Allocation'!$C$124</f>
        <v>Infrastructure Lead</v>
      </c>
      <c r="AD187" s="60">
        <f>'Phase-Resource Allocation'!$D$124</f>
        <v>1</v>
      </c>
      <c r="AE187" s="51">
        <f>IFERROR(INDEX('02_SCHEDULE'!$K$5:$K$124,MATCH(AA187&amp;"|"&amp;AB187,'02_SCHEDULE'!$M$5:$M$124,0)),0)</f>
        <v>13</v>
      </c>
      <c r="AF187" s="51">
        <f>IFERROR(INDEX('02_SCHEDULE'!$L$5:$L$124,MATCH(AA187&amp;"|"&amp;AB187,'02_SCHEDULE'!$M$5:$M$124,0)),0)</f>
        <v>16</v>
      </c>
      <c r="AG187" s="51">
        <f t="shared" si="18"/>
        <v>4</v>
      </c>
    </row>
    <row r="188" spans="2:33" x14ac:dyDescent="0.3">
      <c r="B188" s="41" t="str">
        <f>'Sites Master'!$B$12</f>
        <v>Site 11</v>
      </c>
      <c r="C188" s="41">
        <f>'Sites Master'!$C$12</f>
        <v>3</v>
      </c>
      <c r="D188" s="41">
        <f t="shared" si="23"/>
        <v>86</v>
      </c>
      <c r="AA188" s="51" t="str">
        <f>'Sites Master'!$B$4</f>
        <v>Site 03</v>
      </c>
      <c r="AB188" s="51" t="str">
        <f>'Phase-Resource Allocation'!$B$125</f>
        <v>Hypercare</v>
      </c>
      <c r="AC188" s="51" t="str">
        <f>'Phase-Resource Allocation'!$C$125</f>
        <v>Functional Lead Vendor A</v>
      </c>
      <c r="AD188" s="60">
        <f>'Phase-Resource Allocation'!$D$125</f>
        <v>0.5</v>
      </c>
      <c r="AE188" s="51">
        <f>IFERROR(INDEX('02_SCHEDULE'!$K$5:$K$124,MATCH(AA188&amp;"|"&amp;AB188,'02_SCHEDULE'!$M$5:$M$124,0)),0)</f>
        <v>13</v>
      </c>
      <c r="AF188" s="51">
        <f>IFERROR(INDEX('02_SCHEDULE'!$L$5:$L$124,MATCH(AA188&amp;"|"&amp;AB188,'02_SCHEDULE'!$M$5:$M$124,0)),0)</f>
        <v>16</v>
      </c>
      <c r="AG188" s="51">
        <f t="shared" si="18"/>
        <v>2</v>
      </c>
    </row>
    <row r="189" spans="2:33" x14ac:dyDescent="0.3">
      <c r="B189" s="41" t="str">
        <f>'Sites Master'!$B$13</f>
        <v>Site 12</v>
      </c>
      <c r="C189" s="41">
        <f>'Sites Master'!$C$13</f>
        <v>4</v>
      </c>
      <c r="D189" s="41">
        <f t="shared" si="23"/>
        <v>0</v>
      </c>
      <c r="AA189" s="51" t="str">
        <f>'Sites Master'!$B$5</f>
        <v>Site 04</v>
      </c>
      <c r="AB189" s="51" t="str">
        <f>'Phase-Resource Allocation'!$B$64</f>
        <v>Site Readiness</v>
      </c>
      <c r="AC189" s="51" t="str">
        <f>'Phase-Resource Allocation'!$C$64</f>
        <v>Infrastructure Lead</v>
      </c>
      <c r="AD189" s="60">
        <f>'Phase-Resource Allocation'!$D$64</f>
        <v>1</v>
      </c>
      <c r="AE189" s="51">
        <f>IFERROR(INDEX('02_SCHEDULE'!$K$5:$K$124,MATCH(AA189&amp;"|"&amp;AB189,'02_SCHEDULE'!$M$5:$M$124,0)),0)</f>
        <v>17</v>
      </c>
      <c r="AF189" s="51">
        <f>IFERROR(INDEX('02_SCHEDULE'!$L$5:$L$124,MATCH(AA189&amp;"|"&amp;AB189,'02_SCHEDULE'!$M$5:$M$124,0)),0)</f>
        <v>20</v>
      </c>
      <c r="AG189" s="51">
        <f t="shared" si="18"/>
        <v>4</v>
      </c>
    </row>
    <row r="190" spans="2:33" x14ac:dyDescent="0.3">
      <c r="B190" s="41" t="str">
        <f>'Sites Master'!$B$14</f>
        <v>Site 13</v>
      </c>
      <c r="C190" s="41">
        <f>'Sites Master'!$C$14</f>
        <v>1</v>
      </c>
      <c r="D190" s="41">
        <f t="shared" si="23"/>
        <v>103.5</v>
      </c>
      <c r="AA190" s="51" t="str">
        <f>'Sites Master'!$B$5</f>
        <v>Site 04</v>
      </c>
      <c r="AB190" s="51" t="str">
        <f>'Phase-Resource Allocation'!$B$65</f>
        <v>Site Readiness</v>
      </c>
      <c r="AC190" s="51" t="str">
        <f>'Phase-Resource Allocation'!$C$65</f>
        <v>SAP Integrations Lead</v>
      </c>
      <c r="AD190" s="60">
        <f>'Phase-Resource Allocation'!$D$65</f>
        <v>0.5</v>
      </c>
      <c r="AE190" s="51">
        <f>IFERROR(INDEX('02_SCHEDULE'!$K$5:$K$124,MATCH(AA190&amp;"|"&amp;AB190,'02_SCHEDULE'!$M$5:$M$124,0)),0)</f>
        <v>17</v>
      </c>
      <c r="AF190" s="51">
        <f>IFERROR(INDEX('02_SCHEDULE'!$L$5:$L$124,MATCH(AA190&amp;"|"&amp;AB190,'02_SCHEDULE'!$M$5:$M$124,0)),0)</f>
        <v>20</v>
      </c>
      <c r="AG190" s="51">
        <f t="shared" si="18"/>
        <v>2</v>
      </c>
    </row>
    <row r="191" spans="2:33" x14ac:dyDescent="0.3">
      <c r="B191" s="41" t="str">
        <f>'Sites Master'!$B$15</f>
        <v>Site 14</v>
      </c>
      <c r="C191" s="41">
        <f>'Sites Master'!$C$15</f>
        <v>1</v>
      </c>
      <c r="D191" s="41">
        <f t="shared" si="23"/>
        <v>103.5</v>
      </c>
      <c r="AA191" s="51" t="str">
        <f>'Sites Master'!$B$5</f>
        <v>Site 04</v>
      </c>
      <c r="AB191" s="51" t="str">
        <f>'Phase-Resource Allocation'!$B$66</f>
        <v>Design Adaptation</v>
      </c>
      <c r="AC191" s="51" t="str">
        <f>'Phase-Resource Allocation'!$C$66</f>
        <v>Solution Architect</v>
      </c>
      <c r="AD191" s="60">
        <f>'Phase-Resource Allocation'!$D$66</f>
        <v>1</v>
      </c>
      <c r="AE191" s="51">
        <f>IFERROR(INDEX('02_SCHEDULE'!$K$5:$K$124,MATCH(AA191&amp;"|"&amp;AB191,'02_SCHEDULE'!$M$5:$M$124,0)),0)</f>
        <v>21</v>
      </c>
      <c r="AF191" s="51">
        <f>IFERROR(INDEX('02_SCHEDULE'!$L$5:$L$124,MATCH(AA191&amp;"|"&amp;AB191,'02_SCHEDULE'!$M$5:$M$124,0)),0)</f>
        <v>21</v>
      </c>
      <c r="AG191" s="51">
        <f t="shared" si="18"/>
        <v>1</v>
      </c>
    </row>
    <row r="192" spans="2:33" x14ac:dyDescent="0.3">
      <c r="B192" s="41" t="str">
        <f>'Sites Master'!$B$16</f>
        <v>Site 15</v>
      </c>
      <c r="C192" s="41">
        <f>'Sites Master'!$C$16</f>
        <v>2</v>
      </c>
      <c r="D192" s="41">
        <f t="shared" si="23"/>
        <v>92</v>
      </c>
      <c r="AA192" s="51" t="str">
        <f>'Sites Master'!$B$5</f>
        <v>Site 04</v>
      </c>
      <c r="AB192" s="51" t="str">
        <f>'Phase-Resource Allocation'!$B$67</f>
        <v>Design Adaptation</v>
      </c>
      <c r="AC192" s="51" t="str">
        <f>'Phase-Resource Allocation'!$C$67</f>
        <v>SAP Integrations Lead</v>
      </c>
      <c r="AD192" s="60">
        <f>'Phase-Resource Allocation'!$D$67</f>
        <v>0.5</v>
      </c>
      <c r="AE192" s="51">
        <f>IFERROR(INDEX('02_SCHEDULE'!$K$5:$K$124,MATCH(AA192&amp;"|"&amp;AB192,'02_SCHEDULE'!$M$5:$M$124,0)),0)</f>
        <v>21</v>
      </c>
      <c r="AF192" s="51">
        <f>IFERROR(INDEX('02_SCHEDULE'!$L$5:$L$124,MATCH(AA192&amp;"|"&amp;AB192,'02_SCHEDULE'!$M$5:$M$124,0)),0)</f>
        <v>21</v>
      </c>
      <c r="AG192" s="51">
        <f t="shared" si="18"/>
        <v>0.5</v>
      </c>
    </row>
    <row r="193" spans="2:33" x14ac:dyDescent="0.3">
      <c r="AA193" s="51" t="str">
        <f>'Sites Master'!$B$5</f>
        <v>Site 04</v>
      </c>
      <c r="AB193" s="51" t="str">
        <f>'Phase-Resource Allocation'!$B$68</f>
        <v>Design Adaptation</v>
      </c>
      <c r="AC193" s="51" t="str">
        <f>'Phase-Resource Allocation'!$C$68</f>
        <v>SAP Integrations Specialist</v>
      </c>
      <c r="AD193" s="60">
        <f>'Phase-Resource Allocation'!$D$68</f>
        <v>0.5</v>
      </c>
      <c r="AE193" s="51">
        <f>IFERROR(INDEX('02_SCHEDULE'!$K$5:$K$124,MATCH(AA193&amp;"|"&amp;AB193,'02_SCHEDULE'!$M$5:$M$124,0)),0)</f>
        <v>21</v>
      </c>
      <c r="AF193" s="51">
        <f>IFERROR(INDEX('02_SCHEDULE'!$L$5:$L$124,MATCH(AA193&amp;"|"&amp;AB193,'02_SCHEDULE'!$M$5:$M$124,0)),0)</f>
        <v>21</v>
      </c>
      <c r="AG193" s="51">
        <f t="shared" si="18"/>
        <v>0.5</v>
      </c>
    </row>
    <row r="194" spans="2:33" x14ac:dyDescent="0.3">
      <c r="F194" s="125" t="s">
        <v>178</v>
      </c>
      <c r="G194" s="125"/>
      <c r="H194" s="125"/>
      <c r="AA194" s="51" t="str">
        <f>'Sites Master'!$B$5</f>
        <v>Site 04</v>
      </c>
      <c r="AB194" s="51" t="str">
        <f>'Phase-Resource Allocation'!$B$69</f>
        <v>Design Adaptation</v>
      </c>
      <c r="AC194" s="51" t="str">
        <f>'Phase-Resource Allocation'!$C$69</f>
        <v>Azure Lead</v>
      </c>
      <c r="AD194" s="60">
        <f>'Phase-Resource Allocation'!$D$69</f>
        <v>0.5</v>
      </c>
      <c r="AE194" s="51">
        <f>IFERROR(INDEX('02_SCHEDULE'!$K$5:$K$124,MATCH(AA194&amp;"|"&amp;AB194,'02_SCHEDULE'!$M$5:$M$124,0)),0)</f>
        <v>21</v>
      </c>
      <c r="AF194" s="51">
        <f>IFERROR(INDEX('02_SCHEDULE'!$L$5:$L$124,MATCH(AA194&amp;"|"&amp;AB194,'02_SCHEDULE'!$M$5:$M$124,0)),0)</f>
        <v>21</v>
      </c>
      <c r="AG194" s="51">
        <f t="shared" si="18"/>
        <v>0.5</v>
      </c>
    </row>
    <row r="195" spans="2:33" x14ac:dyDescent="0.3">
      <c r="F195" s="39" t="s">
        <v>148</v>
      </c>
      <c r="G195" s="39" t="s">
        <v>177</v>
      </c>
      <c r="AA195" s="51" t="str">
        <f>'Sites Master'!$B$5</f>
        <v>Site 04</v>
      </c>
      <c r="AB195" s="51" t="str">
        <f>'Phase-Resource Allocation'!$B$70</f>
        <v>Design Adaptation</v>
      </c>
      <c r="AC195" s="51" t="str">
        <f>'Phase-Resource Allocation'!$C$70</f>
        <v>Azure Specialist</v>
      </c>
      <c r="AD195" s="60">
        <f>'Phase-Resource Allocation'!$D$70</f>
        <v>0.5</v>
      </c>
      <c r="AE195" s="51">
        <f>IFERROR(INDEX('02_SCHEDULE'!$K$5:$K$124,MATCH(AA195&amp;"|"&amp;AB195,'02_SCHEDULE'!$M$5:$M$124,0)),0)</f>
        <v>21</v>
      </c>
      <c r="AF195" s="51">
        <f>IFERROR(INDEX('02_SCHEDULE'!$L$5:$L$124,MATCH(AA195&amp;"|"&amp;AB195,'02_SCHEDULE'!$M$5:$M$124,0)),0)</f>
        <v>21</v>
      </c>
      <c r="AG195" s="51">
        <f t="shared" ref="AG195:AG258" si="24">AD195*(AF195-AE195+1)</f>
        <v>0.5</v>
      </c>
    </row>
    <row r="196" spans="2:33" x14ac:dyDescent="0.3">
      <c r="F196" s="41" t="str">
        <f>INDEX('Implementation Phases'!$B$2:$B$9,1)</f>
        <v>Site Readiness</v>
      </c>
      <c r="G196" s="41">
        <f t="shared" ref="G196:G203" si="25">SUMIF($AB$3:$AB$870,F196,$AG$3:$AG$870)</f>
        <v>91.5</v>
      </c>
      <c r="AA196" s="51" t="str">
        <f>'Sites Master'!$B$5</f>
        <v>Site 04</v>
      </c>
      <c r="AB196" s="51" t="str">
        <f>'Phase-Resource Allocation'!$B$71</f>
        <v>Design Adaptation</v>
      </c>
      <c r="AC196" s="51" t="str">
        <f>'Phase-Resource Allocation'!$C$71</f>
        <v>Testing Lead</v>
      </c>
      <c r="AD196" s="60">
        <f>'Phase-Resource Allocation'!$D$71</f>
        <v>1</v>
      </c>
      <c r="AE196" s="51">
        <f>IFERROR(INDEX('02_SCHEDULE'!$K$5:$K$124,MATCH(AA196&amp;"|"&amp;AB196,'02_SCHEDULE'!$M$5:$M$124,0)),0)</f>
        <v>21</v>
      </c>
      <c r="AF196" s="51">
        <f>IFERROR(INDEX('02_SCHEDULE'!$L$5:$L$124,MATCH(AA196&amp;"|"&amp;AB196,'02_SCHEDULE'!$M$5:$M$124,0)),0)</f>
        <v>21</v>
      </c>
      <c r="AG196" s="51">
        <f t="shared" si="24"/>
        <v>1</v>
      </c>
    </row>
    <row r="197" spans="2:33" x14ac:dyDescent="0.3">
      <c r="F197" s="41" t="str">
        <f>INDEX('Implementation Phases'!$B$2:$B$9,2)</f>
        <v>Design Adaptation</v>
      </c>
      <c r="G197" s="41">
        <f t="shared" si="25"/>
        <v>152</v>
      </c>
      <c r="AA197" s="51" t="str">
        <f>'Sites Master'!$B$5</f>
        <v>Site 04</v>
      </c>
      <c r="AB197" s="51" t="str">
        <f>'Phase-Resource Allocation'!$B$72</f>
        <v>Design Adaptation</v>
      </c>
      <c r="AC197" s="51" t="str">
        <f>'Phase-Resource Allocation'!$C$72</f>
        <v>Functional Lead</v>
      </c>
      <c r="AD197" s="60">
        <f>'Phase-Resource Allocation'!$D$72</f>
        <v>1</v>
      </c>
      <c r="AE197" s="51">
        <f>IFERROR(INDEX('02_SCHEDULE'!$K$5:$K$124,MATCH(AA197&amp;"|"&amp;AB197,'02_SCHEDULE'!$M$5:$M$124,0)),0)</f>
        <v>21</v>
      </c>
      <c r="AF197" s="51">
        <f>IFERROR(INDEX('02_SCHEDULE'!$L$5:$L$124,MATCH(AA197&amp;"|"&amp;AB197,'02_SCHEDULE'!$M$5:$M$124,0)),0)</f>
        <v>21</v>
      </c>
      <c r="AG197" s="51">
        <f t="shared" si="24"/>
        <v>1</v>
      </c>
    </row>
    <row r="198" spans="2:33" x14ac:dyDescent="0.3">
      <c r="F198" s="41" t="str">
        <f>INDEX('Implementation Phases'!$B$2:$B$9,3)</f>
        <v>Functional Review</v>
      </c>
      <c r="G198" s="41">
        <f t="shared" si="25"/>
        <v>84</v>
      </c>
      <c r="AA198" s="51" t="str">
        <f>'Sites Master'!$B$5</f>
        <v>Site 04</v>
      </c>
      <c r="AB198" s="51" t="str">
        <f>'Phase-Resource Allocation'!$B$73</f>
        <v>Design Adaptation</v>
      </c>
      <c r="AC198" s="51" t="str">
        <f>'Phase-Resource Allocation'!$C$73</f>
        <v>Trainers</v>
      </c>
      <c r="AD198" s="60">
        <f>'Phase-Resource Allocation'!$D$73</f>
        <v>1</v>
      </c>
      <c r="AE198" s="51">
        <f>IFERROR(INDEX('02_SCHEDULE'!$K$5:$K$124,MATCH(AA198&amp;"|"&amp;AB198,'02_SCHEDULE'!$M$5:$M$124,0)),0)</f>
        <v>21</v>
      </c>
      <c r="AF198" s="51">
        <f>IFERROR(INDEX('02_SCHEDULE'!$L$5:$L$124,MATCH(AA198&amp;"|"&amp;AB198,'02_SCHEDULE'!$M$5:$M$124,0)),0)</f>
        <v>21</v>
      </c>
      <c r="AG198" s="51">
        <f t="shared" si="24"/>
        <v>1</v>
      </c>
    </row>
    <row r="199" spans="2:33" x14ac:dyDescent="0.3">
      <c r="F199" s="41" t="str">
        <f>INDEX('Implementation Phases'!$B$2:$B$9,4)</f>
        <v>UAT</v>
      </c>
      <c r="G199" s="41">
        <f t="shared" si="25"/>
        <v>156</v>
      </c>
      <c r="AA199" s="51" t="str">
        <f>'Sites Master'!$B$5</f>
        <v>Site 04</v>
      </c>
      <c r="AB199" s="51" t="str">
        <f>'Phase-Resource Allocation'!$B$74</f>
        <v>Design Adaptation</v>
      </c>
      <c r="AC199" s="51" t="str">
        <f>'Phase-Resource Allocation'!$C$74</f>
        <v>Infrastructure Lead</v>
      </c>
      <c r="AD199" s="60">
        <f>'Phase-Resource Allocation'!$D$74</f>
        <v>1</v>
      </c>
      <c r="AE199" s="51">
        <f>IFERROR(INDEX('02_SCHEDULE'!$K$5:$K$124,MATCH(AA199&amp;"|"&amp;AB199,'02_SCHEDULE'!$M$5:$M$124,0)),0)</f>
        <v>21</v>
      </c>
      <c r="AF199" s="51">
        <f>IFERROR(INDEX('02_SCHEDULE'!$L$5:$L$124,MATCH(AA199&amp;"|"&amp;AB199,'02_SCHEDULE'!$M$5:$M$124,0)),0)</f>
        <v>21</v>
      </c>
      <c r="AG199" s="51">
        <f t="shared" si="24"/>
        <v>1</v>
      </c>
    </row>
    <row r="200" spans="2:33" x14ac:dyDescent="0.3">
      <c r="F200" s="41" t="str">
        <f>INDEX('Implementation Phases'!$B$2:$B$9,5)</f>
        <v>Training</v>
      </c>
      <c r="G200" s="41">
        <f t="shared" si="25"/>
        <v>66</v>
      </c>
      <c r="AA200" s="51" t="str">
        <f>'Sites Master'!$B$5</f>
        <v>Site 04</v>
      </c>
      <c r="AB200" s="51" t="str">
        <f>'Phase-Resource Allocation'!$B$75</f>
        <v>Design Adaptation</v>
      </c>
      <c r="AC200" s="51" t="str">
        <f>'Phase-Resource Allocation'!$C$75</f>
        <v>Functional Lead Vendor A</v>
      </c>
      <c r="AD200" s="60">
        <f>'Phase-Resource Allocation'!$D$75</f>
        <v>1</v>
      </c>
      <c r="AE200" s="51">
        <f>IFERROR(INDEX('02_SCHEDULE'!$K$5:$K$124,MATCH(AA200&amp;"|"&amp;AB200,'02_SCHEDULE'!$M$5:$M$124,0)),0)</f>
        <v>21</v>
      </c>
      <c r="AF200" s="51">
        <f>IFERROR(INDEX('02_SCHEDULE'!$L$5:$L$124,MATCH(AA200&amp;"|"&amp;AB200,'02_SCHEDULE'!$M$5:$M$124,0)),0)</f>
        <v>21</v>
      </c>
      <c r="AG200" s="51">
        <f t="shared" si="24"/>
        <v>1</v>
      </c>
    </row>
    <row r="201" spans="2:33" x14ac:dyDescent="0.3">
      <c r="F201" s="41" t="str">
        <f>INDEX('Implementation Phases'!$B$2:$B$9,6)</f>
        <v>DIALT</v>
      </c>
      <c r="G201" s="41">
        <f t="shared" si="25"/>
        <v>84</v>
      </c>
      <c r="AA201" s="51" t="str">
        <f>'Sites Master'!$B$5</f>
        <v>Site 04</v>
      </c>
      <c r="AB201" s="51" t="str">
        <f>'Phase-Resource Allocation'!$B$76</f>
        <v>Functional Review</v>
      </c>
      <c r="AC201" s="51" t="str">
        <f>'Phase-Resource Allocation'!$C$76</f>
        <v>Solution Architect</v>
      </c>
      <c r="AD201" s="60">
        <f>'Phase-Resource Allocation'!$D$76</f>
        <v>0.5</v>
      </c>
      <c r="AE201" s="51">
        <f>IFERROR(INDEX('02_SCHEDULE'!$K$5:$K$124,MATCH(AA201&amp;"|"&amp;AB201,'02_SCHEDULE'!$M$5:$M$124,0)),0)</f>
        <v>22</v>
      </c>
      <c r="AF201" s="51">
        <f>IFERROR(INDEX('02_SCHEDULE'!$L$5:$L$124,MATCH(AA201&amp;"|"&amp;AB201,'02_SCHEDULE'!$M$5:$M$124,0)),0)</f>
        <v>22</v>
      </c>
      <c r="AG201" s="51">
        <f t="shared" si="24"/>
        <v>0.5</v>
      </c>
    </row>
    <row r="202" spans="2:33" x14ac:dyDescent="0.3">
      <c r="F202" s="41" t="str">
        <f>INDEX('Implementation Phases'!$B$2:$B$9,7)</f>
        <v>Go Live</v>
      </c>
      <c r="G202" s="41">
        <f t="shared" si="25"/>
        <v>140</v>
      </c>
      <c r="AA202" s="51" t="str">
        <f>'Sites Master'!$B$5</f>
        <v>Site 04</v>
      </c>
      <c r="AB202" s="51" t="str">
        <f>'Phase-Resource Allocation'!$B$77</f>
        <v>Functional Review</v>
      </c>
      <c r="AC202" s="51" t="str">
        <f>'Phase-Resource Allocation'!$C$77</f>
        <v>Change Management Lead</v>
      </c>
      <c r="AD202" s="60">
        <f>'Phase-Resource Allocation'!$D$77</f>
        <v>1</v>
      </c>
      <c r="AE202" s="51">
        <f>IFERROR(INDEX('02_SCHEDULE'!$K$5:$K$124,MATCH(AA202&amp;"|"&amp;AB202,'02_SCHEDULE'!$M$5:$M$124,0)),0)</f>
        <v>22</v>
      </c>
      <c r="AF202" s="51">
        <f>IFERROR(INDEX('02_SCHEDULE'!$L$5:$L$124,MATCH(AA202&amp;"|"&amp;AB202,'02_SCHEDULE'!$M$5:$M$124,0)),0)</f>
        <v>22</v>
      </c>
      <c r="AG202" s="51">
        <f t="shared" si="24"/>
        <v>1</v>
      </c>
    </row>
    <row r="203" spans="2:33" x14ac:dyDescent="0.3">
      <c r="F203" s="41" t="str">
        <f>INDEX('Implementation Phases'!$B$2:$B$9,8)</f>
        <v>Hypercare</v>
      </c>
      <c r="G203" s="41">
        <f t="shared" si="25"/>
        <v>560</v>
      </c>
      <c r="AA203" s="51" t="str">
        <f>'Sites Master'!$B$5</f>
        <v>Site 04</v>
      </c>
      <c r="AB203" s="51" t="str">
        <f>'Phase-Resource Allocation'!$B$78</f>
        <v>Functional Review</v>
      </c>
      <c r="AC203" s="51" t="str">
        <f>'Phase-Resource Allocation'!$C$78</f>
        <v>SAP Integrations Lead</v>
      </c>
      <c r="AD203" s="60">
        <f>'Phase-Resource Allocation'!$D$78</f>
        <v>0.5</v>
      </c>
      <c r="AE203" s="51">
        <f>IFERROR(INDEX('02_SCHEDULE'!$K$5:$K$124,MATCH(AA203&amp;"|"&amp;AB203,'02_SCHEDULE'!$M$5:$M$124,0)),0)</f>
        <v>22</v>
      </c>
      <c r="AF203" s="51">
        <f>IFERROR(INDEX('02_SCHEDULE'!$L$5:$L$124,MATCH(AA203&amp;"|"&amp;AB203,'02_SCHEDULE'!$M$5:$M$124,0)),0)</f>
        <v>22</v>
      </c>
      <c r="AG203" s="51">
        <f t="shared" si="24"/>
        <v>0.5</v>
      </c>
    </row>
    <row r="204" spans="2:33" x14ac:dyDescent="0.3">
      <c r="AA204" s="51" t="str">
        <f>'Sites Master'!$B$5</f>
        <v>Site 04</v>
      </c>
      <c r="AB204" s="51" t="str">
        <f>'Phase-Resource Allocation'!$B$79</f>
        <v>Functional Review</v>
      </c>
      <c r="AC204" s="51" t="str">
        <f>'Phase-Resource Allocation'!$C$79</f>
        <v>SAP Integrations Specialist</v>
      </c>
      <c r="AD204" s="60">
        <f>'Phase-Resource Allocation'!$D$79</f>
        <v>0.5</v>
      </c>
      <c r="AE204" s="51">
        <f>IFERROR(INDEX('02_SCHEDULE'!$K$5:$K$124,MATCH(AA204&amp;"|"&amp;AB204,'02_SCHEDULE'!$M$5:$M$124,0)),0)</f>
        <v>22</v>
      </c>
      <c r="AF204" s="51">
        <f>IFERROR(INDEX('02_SCHEDULE'!$L$5:$L$124,MATCH(AA204&amp;"|"&amp;AB204,'02_SCHEDULE'!$M$5:$M$124,0)),0)</f>
        <v>22</v>
      </c>
      <c r="AG204" s="51">
        <f t="shared" si="24"/>
        <v>0.5</v>
      </c>
    </row>
    <row r="205" spans="2:33" x14ac:dyDescent="0.3">
      <c r="B205" s="125" t="s">
        <v>179</v>
      </c>
      <c r="C205" s="125"/>
      <c r="D205" s="125"/>
      <c r="E205" s="125"/>
      <c r="AA205" s="51" t="str">
        <f>'Sites Master'!$B$5</f>
        <v>Site 04</v>
      </c>
      <c r="AB205" s="51" t="str">
        <f>'Phase-Resource Allocation'!$B$80</f>
        <v>Functional Review</v>
      </c>
      <c r="AC205" s="51" t="str">
        <f>'Phase-Resource Allocation'!$C$80</f>
        <v>Azure Lead</v>
      </c>
      <c r="AD205" s="60">
        <f>'Phase-Resource Allocation'!$D$80</f>
        <v>0.5</v>
      </c>
      <c r="AE205" s="51">
        <f>IFERROR(INDEX('02_SCHEDULE'!$K$5:$K$124,MATCH(AA205&amp;"|"&amp;AB205,'02_SCHEDULE'!$M$5:$M$124,0)),0)</f>
        <v>22</v>
      </c>
      <c r="AF205" s="51">
        <f>IFERROR(INDEX('02_SCHEDULE'!$L$5:$L$124,MATCH(AA205&amp;"|"&amp;AB205,'02_SCHEDULE'!$M$5:$M$124,0)),0)</f>
        <v>22</v>
      </c>
      <c r="AG205" s="51">
        <f t="shared" si="24"/>
        <v>0.5</v>
      </c>
    </row>
    <row r="206" spans="2:33" x14ac:dyDescent="0.3">
      <c r="B206" s="39" t="s">
        <v>134</v>
      </c>
      <c r="C206" s="62" t="s">
        <v>180</v>
      </c>
      <c r="D206" s="39" t="s">
        <v>181</v>
      </c>
      <c r="AA206" s="51" t="str">
        <f>'Sites Master'!$B$5</f>
        <v>Site 04</v>
      </c>
      <c r="AB206" s="51" t="str">
        <f>'Phase-Resource Allocation'!$B$81</f>
        <v>Functional Review</v>
      </c>
      <c r="AC206" s="51" t="str">
        <f>'Phase-Resource Allocation'!$C$81</f>
        <v>Azure Specialist</v>
      </c>
      <c r="AD206" s="60">
        <f>'Phase-Resource Allocation'!$D$81</f>
        <v>0.5</v>
      </c>
      <c r="AE206" s="51">
        <f>IFERROR(INDEX('02_SCHEDULE'!$K$5:$K$124,MATCH(AA206&amp;"|"&amp;AB206,'02_SCHEDULE'!$M$5:$M$124,0)),0)</f>
        <v>22</v>
      </c>
      <c r="AF206" s="51">
        <f>IFERROR(INDEX('02_SCHEDULE'!$L$5:$L$124,MATCH(AA206&amp;"|"&amp;AB206,'02_SCHEDULE'!$M$5:$M$124,0)),0)</f>
        <v>22</v>
      </c>
      <c r="AG206" s="51">
        <f t="shared" si="24"/>
        <v>0.5</v>
      </c>
    </row>
    <row r="207" spans="2:33" x14ac:dyDescent="0.3">
      <c r="B207" s="41" t="str">
        <f>D$23</f>
        <v>Solution Architect</v>
      </c>
      <c r="C207" s="63">
        <f>MAX(D$24:D$173)</f>
        <v>3</v>
      </c>
      <c r="D207" s="41">
        <f>IFERROR(INDEX($B$24:$B$173,MATCH(C207,D$24:D$173,0)),"-")</f>
        <v>5</v>
      </c>
      <c r="AA207" s="51" t="str">
        <f>'Sites Master'!$B$5</f>
        <v>Site 04</v>
      </c>
      <c r="AB207" s="51" t="str">
        <f>'Phase-Resource Allocation'!$B$82</f>
        <v>Functional Review</v>
      </c>
      <c r="AC207" s="51" t="str">
        <f>'Phase-Resource Allocation'!$C$82</f>
        <v>Testing Lead</v>
      </c>
      <c r="AD207" s="60">
        <f>'Phase-Resource Allocation'!$D$82</f>
        <v>0.5</v>
      </c>
      <c r="AE207" s="51">
        <f>IFERROR(INDEX('02_SCHEDULE'!$K$5:$K$124,MATCH(AA207&amp;"|"&amp;AB207,'02_SCHEDULE'!$M$5:$M$124,0)),0)</f>
        <v>22</v>
      </c>
      <c r="AF207" s="51">
        <f>IFERROR(INDEX('02_SCHEDULE'!$L$5:$L$124,MATCH(AA207&amp;"|"&amp;AB207,'02_SCHEDULE'!$M$5:$M$124,0)),0)</f>
        <v>22</v>
      </c>
      <c r="AG207" s="51">
        <f t="shared" si="24"/>
        <v>0.5</v>
      </c>
    </row>
    <row r="208" spans="2:33" x14ac:dyDescent="0.3">
      <c r="B208" s="41" t="str">
        <f>E$23</f>
        <v>Warehouse Manager Org A</v>
      </c>
      <c r="C208" s="63">
        <f>MAX(E$24:E$173)</f>
        <v>0</v>
      </c>
      <c r="D208" s="41">
        <f>IFERROR(INDEX($B$24:$B$173,MATCH(C208,E$24:E$173,0)),"-")</f>
        <v>1</v>
      </c>
      <c r="AA208" s="51" t="str">
        <f>'Sites Master'!$B$5</f>
        <v>Site 04</v>
      </c>
      <c r="AB208" s="51" t="str">
        <f>'Phase-Resource Allocation'!$B$83</f>
        <v>Functional Review</v>
      </c>
      <c r="AC208" s="51" t="str">
        <f>'Phase-Resource Allocation'!$C$83</f>
        <v>Functional Lead</v>
      </c>
      <c r="AD208" s="60">
        <f>'Phase-Resource Allocation'!$D$83</f>
        <v>1</v>
      </c>
      <c r="AE208" s="51">
        <f>IFERROR(INDEX('02_SCHEDULE'!$K$5:$K$124,MATCH(AA208&amp;"|"&amp;AB208,'02_SCHEDULE'!$M$5:$M$124,0)),0)</f>
        <v>22</v>
      </c>
      <c r="AF208" s="51">
        <f>IFERROR(INDEX('02_SCHEDULE'!$L$5:$L$124,MATCH(AA208&amp;"|"&amp;AB208,'02_SCHEDULE'!$M$5:$M$124,0)),0)</f>
        <v>22</v>
      </c>
      <c r="AG208" s="51">
        <f t="shared" si="24"/>
        <v>1</v>
      </c>
    </row>
    <row r="209" spans="2:33" x14ac:dyDescent="0.3">
      <c r="B209" s="41" t="str">
        <f>F$23</f>
        <v>Project Manager Country B</v>
      </c>
      <c r="C209" s="63">
        <f>MAX(F$24:F$173)</f>
        <v>0</v>
      </c>
      <c r="D209" s="41">
        <f>IFERROR(INDEX($B$24:$B$173,MATCH(C209,F$24:F$173,0)),"-")</f>
        <v>1</v>
      </c>
      <c r="AA209" s="51" t="str">
        <f>'Sites Master'!$B$5</f>
        <v>Site 04</v>
      </c>
      <c r="AB209" s="51" t="str">
        <f>'Phase-Resource Allocation'!$B$84</f>
        <v>Functional Review</v>
      </c>
      <c r="AC209" s="51" t="str">
        <f>'Phase-Resource Allocation'!$C$84</f>
        <v>Trainers</v>
      </c>
      <c r="AD209" s="60">
        <f>'Phase-Resource Allocation'!$D$84</f>
        <v>1</v>
      </c>
      <c r="AE209" s="51">
        <f>IFERROR(INDEX('02_SCHEDULE'!$K$5:$K$124,MATCH(AA209&amp;"|"&amp;AB209,'02_SCHEDULE'!$M$5:$M$124,0)),0)</f>
        <v>22</v>
      </c>
      <c r="AF209" s="51">
        <f>IFERROR(INDEX('02_SCHEDULE'!$L$5:$L$124,MATCH(AA209&amp;"|"&amp;AB209,'02_SCHEDULE'!$M$5:$M$124,0)),0)</f>
        <v>22</v>
      </c>
      <c r="AG209" s="51">
        <f t="shared" si="24"/>
        <v>1</v>
      </c>
    </row>
    <row r="210" spans="2:33" x14ac:dyDescent="0.3">
      <c r="B210" s="41" t="str">
        <f>G$23</f>
        <v>Project Manager Country A</v>
      </c>
      <c r="C210" s="63">
        <f>MAX(G$24:G$173)</f>
        <v>0</v>
      </c>
      <c r="D210" s="41">
        <f>IFERROR(INDEX($B$24:$B$173,MATCH(C210,G$24:G$173,0)),"-")</f>
        <v>1</v>
      </c>
      <c r="AA210" s="51" t="str">
        <f>'Sites Master'!$B$5</f>
        <v>Site 04</v>
      </c>
      <c r="AB210" s="51" t="str">
        <f>'Phase-Resource Allocation'!$B$85</f>
        <v>UAT</v>
      </c>
      <c r="AC210" s="51" t="str">
        <f>'Phase-Resource Allocation'!$C$85</f>
        <v>Solution Architect</v>
      </c>
      <c r="AD210" s="60">
        <f>'Phase-Resource Allocation'!$D$85</f>
        <v>0.5</v>
      </c>
      <c r="AE210" s="51">
        <f>IFERROR(INDEX('02_SCHEDULE'!$K$5:$K$124,MATCH(AA210&amp;"|"&amp;AB210,'02_SCHEDULE'!$M$5:$M$124,0)),0)</f>
        <v>23</v>
      </c>
      <c r="AF210" s="51">
        <f>IFERROR(INDEX('02_SCHEDULE'!$L$5:$L$124,MATCH(AA210&amp;"|"&amp;AB210,'02_SCHEDULE'!$M$5:$M$124,0)),0)</f>
        <v>24</v>
      </c>
      <c r="AG210" s="51">
        <f t="shared" si="24"/>
        <v>1</v>
      </c>
    </row>
    <row r="211" spans="2:33" x14ac:dyDescent="0.3">
      <c r="B211" s="41" t="str">
        <f>H$23</f>
        <v>Change Management Lead</v>
      </c>
      <c r="C211" s="63">
        <f>MAX(H$24:H$173)</f>
        <v>1.5</v>
      </c>
      <c r="D211" s="41">
        <f>IFERROR(INDEX($B$24:$B$173,MATCH(C211,H$24:H$173,0)),"-")</f>
        <v>6</v>
      </c>
      <c r="AA211" s="51" t="str">
        <f>'Sites Master'!$B$5</f>
        <v>Site 04</v>
      </c>
      <c r="AB211" s="51" t="str">
        <f>'Phase-Resource Allocation'!$B$86</f>
        <v>UAT</v>
      </c>
      <c r="AC211" s="51" t="str">
        <f>'Phase-Resource Allocation'!$C$86</f>
        <v>Change Management Lead</v>
      </c>
      <c r="AD211" s="60">
        <f>'Phase-Resource Allocation'!$D$86</f>
        <v>1</v>
      </c>
      <c r="AE211" s="51">
        <f>IFERROR(INDEX('02_SCHEDULE'!$K$5:$K$124,MATCH(AA211&amp;"|"&amp;AB211,'02_SCHEDULE'!$M$5:$M$124,0)),0)</f>
        <v>23</v>
      </c>
      <c r="AF211" s="51">
        <f>IFERROR(INDEX('02_SCHEDULE'!$L$5:$L$124,MATCH(AA211&amp;"|"&amp;AB211,'02_SCHEDULE'!$M$5:$M$124,0)),0)</f>
        <v>24</v>
      </c>
      <c r="AG211" s="51">
        <f t="shared" si="24"/>
        <v>2</v>
      </c>
    </row>
    <row r="212" spans="2:33" x14ac:dyDescent="0.3">
      <c r="B212" s="41" t="str">
        <f>I$23</f>
        <v>Infrastructure Lead</v>
      </c>
      <c r="C212" s="63">
        <f>MAX(I$24:I$173)</f>
        <v>1.5</v>
      </c>
      <c r="D212" s="41">
        <f>IFERROR(INDEX($B$24:$B$173,MATCH(C212,I$24:I$173,0)),"-")</f>
        <v>1</v>
      </c>
      <c r="AA212" s="51" t="str">
        <f>'Sites Master'!$B$5</f>
        <v>Site 04</v>
      </c>
      <c r="AB212" s="51" t="str">
        <f>'Phase-Resource Allocation'!$B$87</f>
        <v>UAT</v>
      </c>
      <c r="AC212" s="51" t="str">
        <f>'Phase-Resource Allocation'!$C$87</f>
        <v>SAP Integrations Lead</v>
      </c>
      <c r="AD212" s="60">
        <f>'Phase-Resource Allocation'!$D$87</f>
        <v>0.5</v>
      </c>
      <c r="AE212" s="51">
        <f>IFERROR(INDEX('02_SCHEDULE'!$K$5:$K$124,MATCH(AA212&amp;"|"&amp;AB212,'02_SCHEDULE'!$M$5:$M$124,0)),0)</f>
        <v>23</v>
      </c>
      <c r="AF212" s="51">
        <f>IFERROR(INDEX('02_SCHEDULE'!$L$5:$L$124,MATCH(AA212&amp;"|"&amp;AB212,'02_SCHEDULE'!$M$5:$M$124,0)),0)</f>
        <v>24</v>
      </c>
      <c r="AG212" s="51">
        <f t="shared" si="24"/>
        <v>1</v>
      </c>
    </row>
    <row r="213" spans="2:33" x14ac:dyDescent="0.3">
      <c r="B213" s="41" t="str">
        <f>J$23</f>
        <v>Functional Lead</v>
      </c>
      <c r="C213" s="63">
        <f>MAX(J$24:J$173)</f>
        <v>3</v>
      </c>
      <c r="D213" s="41">
        <f>IFERROR(INDEX($B$24:$B$173,MATCH(C213,J$24:J$173,0)),"-")</f>
        <v>13</v>
      </c>
      <c r="AA213" s="51" t="str">
        <f>'Sites Master'!$B$5</f>
        <v>Site 04</v>
      </c>
      <c r="AB213" s="51" t="str">
        <f>'Phase-Resource Allocation'!$B$88</f>
        <v>UAT</v>
      </c>
      <c r="AC213" s="51" t="str">
        <f>'Phase-Resource Allocation'!$C$88</f>
        <v>SAP Integrations Specialist</v>
      </c>
      <c r="AD213" s="60">
        <f>'Phase-Resource Allocation'!$D$88</f>
        <v>0.5</v>
      </c>
      <c r="AE213" s="51">
        <f>IFERROR(INDEX('02_SCHEDULE'!$K$5:$K$124,MATCH(AA213&amp;"|"&amp;AB213,'02_SCHEDULE'!$M$5:$M$124,0)),0)</f>
        <v>23</v>
      </c>
      <c r="AF213" s="51">
        <f>IFERROR(INDEX('02_SCHEDULE'!$L$5:$L$124,MATCH(AA213&amp;"|"&amp;AB213,'02_SCHEDULE'!$M$5:$M$124,0)),0)</f>
        <v>24</v>
      </c>
      <c r="AG213" s="51">
        <f t="shared" si="24"/>
        <v>1</v>
      </c>
    </row>
    <row r="214" spans="2:33" x14ac:dyDescent="0.3">
      <c r="B214" s="41" t="str">
        <f>K$23</f>
        <v>SAP Integrations Lead</v>
      </c>
      <c r="C214" s="63">
        <f>MAX(K$24:K$173)</f>
        <v>3</v>
      </c>
      <c r="D214" s="41">
        <f>IFERROR(INDEX($B$24:$B$173,MATCH(C214,K$24:K$173,0)),"-")</f>
        <v>12</v>
      </c>
      <c r="AA214" s="51" t="str">
        <f>'Sites Master'!$B$5</f>
        <v>Site 04</v>
      </c>
      <c r="AB214" s="51" t="str">
        <f>'Phase-Resource Allocation'!$B$89</f>
        <v>UAT</v>
      </c>
      <c r="AC214" s="51" t="str">
        <f>'Phase-Resource Allocation'!$C$89</f>
        <v>Azure Lead</v>
      </c>
      <c r="AD214" s="60">
        <f>'Phase-Resource Allocation'!$D$89</f>
        <v>0.5</v>
      </c>
      <c r="AE214" s="51">
        <f>IFERROR(INDEX('02_SCHEDULE'!$K$5:$K$124,MATCH(AA214&amp;"|"&amp;AB214,'02_SCHEDULE'!$M$5:$M$124,0)),0)</f>
        <v>23</v>
      </c>
      <c r="AF214" s="51">
        <f>IFERROR(INDEX('02_SCHEDULE'!$L$5:$L$124,MATCH(AA214&amp;"|"&amp;AB214,'02_SCHEDULE'!$M$5:$M$124,0)),0)</f>
        <v>24</v>
      </c>
      <c r="AG214" s="51">
        <f t="shared" si="24"/>
        <v>1</v>
      </c>
    </row>
    <row r="215" spans="2:33" x14ac:dyDescent="0.3">
      <c r="B215" s="41" t="str">
        <f>L$23</f>
        <v>SAP Integrations Specialist</v>
      </c>
      <c r="C215" s="63">
        <f>MAX(L$24:L$173)</f>
        <v>3</v>
      </c>
      <c r="D215" s="41">
        <f>IFERROR(INDEX($B$24:$B$173,MATCH(C215,L$24:L$173,0)),"-")</f>
        <v>12</v>
      </c>
      <c r="AA215" s="51" t="str">
        <f>'Sites Master'!$B$5</f>
        <v>Site 04</v>
      </c>
      <c r="AB215" s="51" t="str">
        <f>'Phase-Resource Allocation'!$B$90</f>
        <v>UAT</v>
      </c>
      <c r="AC215" s="51" t="str">
        <f>'Phase-Resource Allocation'!$C$90</f>
        <v>Azure Specialist</v>
      </c>
      <c r="AD215" s="60">
        <f>'Phase-Resource Allocation'!$D$90</f>
        <v>0.5</v>
      </c>
      <c r="AE215" s="51">
        <f>IFERROR(INDEX('02_SCHEDULE'!$K$5:$K$124,MATCH(AA215&amp;"|"&amp;AB215,'02_SCHEDULE'!$M$5:$M$124,0)),0)</f>
        <v>23</v>
      </c>
      <c r="AF215" s="51">
        <f>IFERROR(INDEX('02_SCHEDULE'!$L$5:$L$124,MATCH(AA215&amp;"|"&amp;AB215,'02_SCHEDULE'!$M$5:$M$124,0)),0)</f>
        <v>24</v>
      </c>
      <c r="AG215" s="51">
        <f t="shared" si="24"/>
        <v>1</v>
      </c>
    </row>
    <row r="216" spans="2:33" x14ac:dyDescent="0.3">
      <c r="B216" s="41" t="str">
        <f>M$23</f>
        <v>Azure Lead</v>
      </c>
      <c r="C216" s="63">
        <f>MAX(M$24:M$173)</f>
        <v>3</v>
      </c>
      <c r="D216" s="41">
        <f>IFERROR(INDEX($B$24:$B$173,MATCH(C216,M$24:M$173,0)),"-")</f>
        <v>12</v>
      </c>
      <c r="AA216" s="51" t="str">
        <f>'Sites Master'!$B$5</f>
        <v>Site 04</v>
      </c>
      <c r="AB216" s="51" t="str">
        <f>'Phase-Resource Allocation'!$B$91</f>
        <v>UAT</v>
      </c>
      <c r="AC216" s="51" t="str">
        <f>'Phase-Resource Allocation'!$C$91</f>
        <v>Testing Lead</v>
      </c>
      <c r="AD216" s="60">
        <f>'Phase-Resource Allocation'!$D$91</f>
        <v>0.5</v>
      </c>
      <c r="AE216" s="51">
        <f>IFERROR(INDEX('02_SCHEDULE'!$K$5:$K$124,MATCH(AA216&amp;"|"&amp;AB216,'02_SCHEDULE'!$M$5:$M$124,0)),0)</f>
        <v>23</v>
      </c>
      <c r="AF216" s="51">
        <f>IFERROR(INDEX('02_SCHEDULE'!$L$5:$L$124,MATCH(AA216&amp;"|"&amp;AB216,'02_SCHEDULE'!$M$5:$M$124,0)),0)</f>
        <v>24</v>
      </c>
      <c r="AG216" s="51">
        <f t="shared" si="24"/>
        <v>1</v>
      </c>
    </row>
    <row r="217" spans="2:33" x14ac:dyDescent="0.3">
      <c r="B217" s="41" t="str">
        <f>N$23</f>
        <v>Azure Specialist</v>
      </c>
      <c r="C217" s="63">
        <f>MAX(N$24:N$173)</f>
        <v>3</v>
      </c>
      <c r="D217" s="41">
        <f>IFERROR(INDEX($B$24:$B$173,MATCH(C217,N$24:N$173,0)),"-")</f>
        <v>12</v>
      </c>
      <c r="AA217" s="51" t="str">
        <f>'Sites Master'!$B$5</f>
        <v>Site 04</v>
      </c>
      <c r="AB217" s="51" t="str">
        <f>'Phase-Resource Allocation'!$B$92</f>
        <v>UAT</v>
      </c>
      <c r="AC217" s="51" t="str">
        <f>'Phase-Resource Allocation'!$C$92</f>
        <v>Functional Lead</v>
      </c>
      <c r="AD217" s="60">
        <f>'Phase-Resource Allocation'!$D$92</f>
        <v>1</v>
      </c>
      <c r="AE217" s="51">
        <f>IFERROR(INDEX('02_SCHEDULE'!$K$5:$K$124,MATCH(AA217&amp;"|"&amp;AB217,'02_SCHEDULE'!$M$5:$M$124,0)),0)</f>
        <v>23</v>
      </c>
      <c r="AF217" s="51">
        <f>IFERROR(INDEX('02_SCHEDULE'!$L$5:$L$124,MATCH(AA217&amp;"|"&amp;AB217,'02_SCHEDULE'!$M$5:$M$124,0)),0)</f>
        <v>24</v>
      </c>
      <c r="AG217" s="51">
        <f t="shared" si="24"/>
        <v>2</v>
      </c>
    </row>
    <row r="218" spans="2:33" x14ac:dyDescent="0.3">
      <c r="B218" s="41" t="str">
        <f>O$23</f>
        <v>Testing Lead</v>
      </c>
      <c r="C218" s="63">
        <f>MAX(O$24:O$173)</f>
        <v>3</v>
      </c>
      <c r="D218" s="41">
        <f>IFERROR(INDEX($B$24:$B$173,MATCH(C218,O$24:O$173,0)),"-")</f>
        <v>5</v>
      </c>
      <c r="AA218" s="51" t="str">
        <f>'Sites Master'!$B$5</f>
        <v>Site 04</v>
      </c>
      <c r="AB218" s="51" t="str">
        <f>'Phase-Resource Allocation'!$B$93</f>
        <v>UAT</v>
      </c>
      <c r="AC218" s="51" t="str">
        <f>'Phase-Resource Allocation'!$C$93</f>
        <v>Trainers</v>
      </c>
      <c r="AD218" s="60">
        <f>'Phase-Resource Allocation'!$D$93</f>
        <v>1</v>
      </c>
      <c r="AE218" s="51">
        <f>IFERROR(INDEX('02_SCHEDULE'!$K$5:$K$124,MATCH(AA218&amp;"|"&amp;AB218,'02_SCHEDULE'!$M$5:$M$124,0)),0)</f>
        <v>23</v>
      </c>
      <c r="AF218" s="51">
        <f>IFERROR(INDEX('02_SCHEDULE'!$L$5:$L$124,MATCH(AA218&amp;"|"&amp;AB218,'02_SCHEDULE'!$M$5:$M$124,0)),0)</f>
        <v>24</v>
      </c>
      <c r="AG218" s="51">
        <f t="shared" si="24"/>
        <v>2</v>
      </c>
    </row>
    <row r="219" spans="2:33" x14ac:dyDescent="0.3">
      <c r="B219" s="41" t="str">
        <f>P$23</f>
        <v>Trainers</v>
      </c>
      <c r="C219" s="63">
        <f>MAX(P$24:P$173)</f>
        <v>9</v>
      </c>
      <c r="D219" s="41">
        <f>IFERROR(INDEX($B$24:$B$173,MATCH(C219,P$24:P$173,0)),"-")</f>
        <v>13</v>
      </c>
      <c r="AA219" s="51" t="str">
        <f>'Sites Master'!$B$5</f>
        <v>Site 04</v>
      </c>
      <c r="AB219" s="51" t="str">
        <f>'Phase-Resource Allocation'!$B$94</f>
        <v>Training</v>
      </c>
      <c r="AC219" s="51" t="str">
        <f>'Phase-Resource Allocation'!$C$94</f>
        <v>Change Management Lead</v>
      </c>
      <c r="AD219" s="60">
        <f>'Phase-Resource Allocation'!$D$94</f>
        <v>1</v>
      </c>
      <c r="AE219" s="51">
        <f>IFERROR(INDEX('02_SCHEDULE'!$K$5:$K$124,MATCH(AA219&amp;"|"&amp;AB219,'02_SCHEDULE'!$M$5:$M$124,0)),0)</f>
        <v>25</v>
      </c>
      <c r="AF219" s="51">
        <f>IFERROR(INDEX('02_SCHEDULE'!$L$5:$L$124,MATCH(AA219&amp;"|"&amp;AB219,'02_SCHEDULE'!$M$5:$M$124,0)),0)</f>
        <v>26</v>
      </c>
      <c r="AG219" s="51">
        <f t="shared" si="24"/>
        <v>2</v>
      </c>
    </row>
    <row r="220" spans="2:33" x14ac:dyDescent="0.3">
      <c r="B220" s="41" t="str">
        <f>Q$23</f>
        <v>Functional Lead Vendor A</v>
      </c>
      <c r="C220" s="63">
        <f>MAX(Q$24:Q$173)</f>
        <v>1.5</v>
      </c>
      <c r="D220" s="41">
        <f>IFERROR(INDEX($B$24:$B$173,MATCH(C220,Q$24:Q$173,0)),"-")</f>
        <v>5</v>
      </c>
      <c r="AA220" s="51" t="str">
        <f>'Sites Master'!$B$5</f>
        <v>Site 04</v>
      </c>
      <c r="AB220" s="51" t="str">
        <f>'Phase-Resource Allocation'!$B$95</f>
        <v>Training</v>
      </c>
      <c r="AC220" s="51" t="str">
        <f>'Phase-Resource Allocation'!$C$95</f>
        <v>Trainers</v>
      </c>
      <c r="AD220" s="60">
        <f>'Phase-Resource Allocation'!$D$95</f>
        <v>1</v>
      </c>
      <c r="AE220" s="51">
        <f>IFERROR(INDEX('02_SCHEDULE'!$K$5:$K$124,MATCH(AA220&amp;"|"&amp;AB220,'02_SCHEDULE'!$M$5:$M$124,0)),0)</f>
        <v>25</v>
      </c>
      <c r="AF220" s="51">
        <f>IFERROR(INDEX('02_SCHEDULE'!$L$5:$L$124,MATCH(AA220&amp;"|"&amp;AB220,'02_SCHEDULE'!$M$5:$M$124,0)),0)</f>
        <v>26</v>
      </c>
      <c r="AG220" s="51">
        <f t="shared" si="24"/>
        <v>2</v>
      </c>
    </row>
    <row r="221" spans="2:33" x14ac:dyDescent="0.3">
      <c r="B221" s="41" t="str">
        <f>R$23</f>
        <v>Support Lead</v>
      </c>
      <c r="C221" s="63">
        <f>MAX(R$24:R$173)</f>
        <v>0</v>
      </c>
      <c r="D221" s="41">
        <f>IFERROR(INDEX($B$24:$B$173,MATCH(C221,R$24:R$173,0)),"-")</f>
        <v>1</v>
      </c>
      <c r="AA221" s="51" t="str">
        <f>'Sites Master'!$B$5</f>
        <v>Site 04</v>
      </c>
      <c r="AB221" s="51" t="str">
        <f>'Phase-Resource Allocation'!$B$96</f>
        <v>DIALT</v>
      </c>
      <c r="AC221" s="51" t="str">
        <f>'Phase-Resource Allocation'!$C$96</f>
        <v>Solution Architect</v>
      </c>
      <c r="AD221" s="60">
        <f>'Phase-Resource Allocation'!$D$96</f>
        <v>0.5</v>
      </c>
      <c r="AE221" s="51">
        <f>IFERROR(INDEX('02_SCHEDULE'!$K$5:$K$124,MATCH(AA221&amp;"|"&amp;AB221,'02_SCHEDULE'!$M$5:$M$124,0)),0)</f>
        <v>27</v>
      </c>
      <c r="AF221" s="51">
        <f>IFERROR(INDEX('02_SCHEDULE'!$L$5:$L$124,MATCH(AA221&amp;"|"&amp;AB221,'02_SCHEDULE'!$M$5:$M$124,0)),0)</f>
        <v>27</v>
      </c>
      <c r="AG221" s="51">
        <f t="shared" si="24"/>
        <v>0.5</v>
      </c>
    </row>
    <row r="222" spans="2:33" x14ac:dyDescent="0.3">
      <c r="AA222" s="51" t="str">
        <f>'Sites Master'!$B$5</f>
        <v>Site 04</v>
      </c>
      <c r="AB222" s="51" t="str">
        <f>'Phase-Resource Allocation'!$B$97</f>
        <v>DIALT</v>
      </c>
      <c r="AC222" s="51" t="str">
        <f>'Phase-Resource Allocation'!$C$97</f>
        <v>Change Management Lead</v>
      </c>
      <c r="AD222" s="60">
        <f>'Phase-Resource Allocation'!$D$97</f>
        <v>1</v>
      </c>
      <c r="AE222" s="51">
        <f>IFERROR(INDEX('02_SCHEDULE'!$K$5:$K$124,MATCH(AA222&amp;"|"&amp;AB222,'02_SCHEDULE'!$M$5:$M$124,0)),0)</f>
        <v>27</v>
      </c>
      <c r="AF222" s="51">
        <f>IFERROR(INDEX('02_SCHEDULE'!$L$5:$L$124,MATCH(AA222&amp;"|"&amp;AB222,'02_SCHEDULE'!$M$5:$M$124,0)),0)</f>
        <v>27</v>
      </c>
      <c r="AG222" s="51">
        <f t="shared" si="24"/>
        <v>1</v>
      </c>
    </row>
    <row r="223" spans="2:33" x14ac:dyDescent="0.3">
      <c r="B223" s="46" t="s">
        <v>182</v>
      </c>
      <c r="C223" s="64" t="str">
        <f>INDEX($B$207:$B$221,MATCH(MAX($C$207:$C$221),$C$207:$C$221,0))</f>
        <v>Trainers</v>
      </c>
      <c r="D223" s="46" t="s">
        <v>183</v>
      </c>
      <c r="E223" s="65">
        <f>MAX($C$207:$C$221)</f>
        <v>9</v>
      </c>
      <c r="AA223" s="51" t="str">
        <f>'Sites Master'!$B$5</f>
        <v>Site 04</v>
      </c>
      <c r="AB223" s="51" t="str">
        <f>'Phase-Resource Allocation'!$B$98</f>
        <v>DIALT</v>
      </c>
      <c r="AC223" s="51" t="str">
        <f>'Phase-Resource Allocation'!$C$98</f>
        <v>Azure Lead</v>
      </c>
      <c r="AD223" s="60">
        <f>'Phase-Resource Allocation'!$D$98</f>
        <v>0.75</v>
      </c>
      <c r="AE223" s="51">
        <f>IFERROR(INDEX('02_SCHEDULE'!$K$5:$K$124,MATCH(AA223&amp;"|"&amp;AB223,'02_SCHEDULE'!$M$5:$M$124,0)),0)</f>
        <v>27</v>
      </c>
      <c r="AF223" s="51">
        <f>IFERROR(INDEX('02_SCHEDULE'!$L$5:$L$124,MATCH(AA223&amp;"|"&amp;AB223,'02_SCHEDULE'!$M$5:$M$124,0)),0)</f>
        <v>27</v>
      </c>
      <c r="AG223" s="51">
        <f t="shared" si="24"/>
        <v>0.75</v>
      </c>
    </row>
    <row r="224" spans="2:33" x14ac:dyDescent="0.3">
      <c r="AA224" s="51" t="str">
        <f>'Sites Master'!$B$5</f>
        <v>Site 04</v>
      </c>
      <c r="AB224" s="51" t="str">
        <f>'Phase-Resource Allocation'!$B$99</f>
        <v>DIALT</v>
      </c>
      <c r="AC224" s="51" t="str">
        <f>'Phase-Resource Allocation'!$C$99</f>
        <v>Azure Specialist</v>
      </c>
      <c r="AD224" s="60">
        <f>'Phase-Resource Allocation'!$D$99</f>
        <v>0.75</v>
      </c>
      <c r="AE224" s="51">
        <f>IFERROR(INDEX('02_SCHEDULE'!$K$5:$K$124,MATCH(AA224&amp;"|"&amp;AB224,'02_SCHEDULE'!$M$5:$M$124,0)),0)</f>
        <v>27</v>
      </c>
      <c r="AF224" s="51">
        <f>IFERROR(INDEX('02_SCHEDULE'!$L$5:$L$124,MATCH(AA224&amp;"|"&amp;AB224,'02_SCHEDULE'!$M$5:$M$124,0)),0)</f>
        <v>27</v>
      </c>
      <c r="AG224" s="51">
        <f t="shared" si="24"/>
        <v>0.75</v>
      </c>
    </row>
    <row r="225" spans="27:33" x14ac:dyDescent="0.3">
      <c r="AA225" s="51" t="str">
        <f>'Sites Master'!$B$5</f>
        <v>Site 04</v>
      </c>
      <c r="AB225" s="51" t="str">
        <f>'Phase-Resource Allocation'!$B$100</f>
        <v>DIALT</v>
      </c>
      <c r="AC225" s="51" t="str">
        <f>'Phase-Resource Allocation'!$C$100</f>
        <v>Functional Lead</v>
      </c>
      <c r="AD225" s="60">
        <f>'Phase-Resource Allocation'!$D$100</f>
        <v>1</v>
      </c>
      <c r="AE225" s="51">
        <f>IFERROR(INDEX('02_SCHEDULE'!$K$5:$K$124,MATCH(AA225&amp;"|"&amp;AB225,'02_SCHEDULE'!$M$5:$M$124,0)),0)</f>
        <v>27</v>
      </c>
      <c r="AF225" s="51">
        <f>IFERROR(INDEX('02_SCHEDULE'!$L$5:$L$124,MATCH(AA225&amp;"|"&amp;AB225,'02_SCHEDULE'!$M$5:$M$124,0)),0)</f>
        <v>27</v>
      </c>
      <c r="AG225" s="51">
        <f t="shared" si="24"/>
        <v>1</v>
      </c>
    </row>
    <row r="226" spans="27:33" x14ac:dyDescent="0.3">
      <c r="AA226" s="51" t="str">
        <f>'Sites Master'!$B$5</f>
        <v>Site 04</v>
      </c>
      <c r="AB226" s="51" t="str">
        <f>'Phase-Resource Allocation'!$B$101</f>
        <v>DIALT</v>
      </c>
      <c r="AC226" s="51" t="str">
        <f>'Phase-Resource Allocation'!$C$101</f>
        <v>Trainers</v>
      </c>
      <c r="AD226" s="60">
        <f>'Phase-Resource Allocation'!$D$101</f>
        <v>1</v>
      </c>
      <c r="AE226" s="51">
        <f>IFERROR(INDEX('02_SCHEDULE'!$K$5:$K$124,MATCH(AA226&amp;"|"&amp;AB226,'02_SCHEDULE'!$M$5:$M$124,0)),0)</f>
        <v>27</v>
      </c>
      <c r="AF226" s="51">
        <f>IFERROR(INDEX('02_SCHEDULE'!$L$5:$L$124,MATCH(AA226&amp;"|"&amp;AB226,'02_SCHEDULE'!$M$5:$M$124,0)),0)</f>
        <v>27</v>
      </c>
      <c r="AG226" s="51">
        <f t="shared" si="24"/>
        <v>1</v>
      </c>
    </row>
    <row r="227" spans="27:33" x14ac:dyDescent="0.3">
      <c r="AA227" s="51" t="str">
        <f>'Sites Master'!$B$5</f>
        <v>Site 04</v>
      </c>
      <c r="AB227" s="51" t="str">
        <f>'Phase-Resource Allocation'!$B$102</f>
        <v>DIALT</v>
      </c>
      <c r="AC227" s="51" t="str">
        <f>'Phase-Resource Allocation'!$C$102</f>
        <v>Functional Lead Vendor A</v>
      </c>
      <c r="AD227" s="60">
        <f>'Phase-Resource Allocation'!$D$102</f>
        <v>1</v>
      </c>
      <c r="AE227" s="51">
        <f>IFERROR(INDEX('02_SCHEDULE'!$K$5:$K$124,MATCH(AA227&amp;"|"&amp;AB227,'02_SCHEDULE'!$M$5:$M$124,0)),0)</f>
        <v>27</v>
      </c>
      <c r="AF227" s="51">
        <f>IFERROR(INDEX('02_SCHEDULE'!$L$5:$L$124,MATCH(AA227&amp;"|"&amp;AB227,'02_SCHEDULE'!$M$5:$M$124,0)),0)</f>
        <v>27</v>
      </c>
      <c r="AG227" s="51">
        <f t="shared" si="24"/>
        <v>1</v>
      </c>
    </row>
    <row r="228" spans="27:33" x14ac:dyDescent="0.3">
      <c r="AA228" s="51" t="str">
        <f>'Sites Master'!$B$5</f>
        <v>Site 04</v>
      </c>
      <c r="AB228" s="51" t="str">
        <f>'Phase-Resource Allocation'!$B$103</f>
        <v>Go Live</v>
      </c>
      <c r="AC228" s="51" t="str">
        <f>'Phase-Resource Allocation'!$C$103</f>
        <v>Solution Architect</v>
      </c>
      <c r="AD228" s="60">
        <f>'Phase-Resource Allocation'!$D$103</f>
        <v>1</v>
      </c>
      <c r="AE228" s="51">
        <f>IFERROR(INDEX('02_SCHEDULE'!$K$5:$K$124,MATCH(AA228&amp;"|"&amp;AB228,'02_SCHEDULE'!$M$5:$M$124,0)),0)</f>
        <v>28</v>
      </c>
      <c r="AF228" s="51">
        <f>IFERROR(INDEX('02_SCHEDULE'!$L$5:$L$124,MATCH(AA228&amp;"|"&amp;AB228,'02_SCHEDULE'!$M$5:$M$124,0)),0)</f>
        <v>28</v>
      </c>
      <c r="AG228" s="51">
        <f t="shared" si="24"/>
        <v>1</v>
      </c>
    </row>
    <row r="229" spans="27:33" x14ac:dyDescent="0.3">
      <c r="AA229" s="51" t="str">
        <f>'Sites Master'!$B$5</f>
        <v>Site 04</v>
      </c>
      <c r="AB229" s="51" t="str">
        <f>'Phase-Resource Allocation'!$B$104</f>
        <v>Go Live</v>
      </c>
      <c r="AC229" s="51" t="str">
        <f>'Phase-Resource Allocation'!$C$104</f>
        <v>Change Management Lead</v>
      </c>
      <c r="AD229" s="60">
        <f>'Phase-Resource Allocation'!$D$104</f>
        <v>1</v>
      </c>
      <c r="AE229" s="51">
        <f>IFERROR(INDEX('02_SCHEDULE'!$K$5:$K$124,MATCH(AA229&amp;"|"&amp;AB229,'02_SCHEDULE'!$M$5:$M$124,0)),0)</f>
        <v>28</v>
      </c>
      <c r="AF229" s="51">
        <f>IFERROR(INDEX('02_SCHEDULE'!$L$5:$L$124,MATCH(AA229&amp;"|"&amp;AB229,'02_SCHEDULE'!$M$5:$M$124,0)),0)</f>
        <v>28</v>
      </c>
      <c r="AG229" s="51">
        <f t="shared" si="24"/>
        <v>1</v>
      </c>
    </row>
    <row r="230" spans="27:33" x14ac:dyDescent="0.3">
      <c r="AA230" s="51" t="str">
        <f>'Sites Master'!$B$5</f>
        <v>Site 04</v>
      </c>
      <c r="AB230" s="51" t="str">
        <f>'Phase-Resource Allocation'!$B$105</f>
        <v>Go Live</v>
      </c>
      <c r="AC230" s="51" t="str">
        <f>'Phase-Resource Allocation'!$C$105</f>
        <v>SAP Integrations Lead</v>
      </c>
      <c r="AD230" s="60">
        <f>'Phase-Resource Allocation'!$D$105</f>
        <v>1</v>
      </c>
      <c r="AE230" s="51">
        <f>IFERROR(INDEX('02_SCHEDULE'!$K$5:$K$124,MATCH(AA230&amp;"|"&amp;AB230,'02_SCHEDULE'!$M$5:$M$124,0)),0)</f>
        <v>28</v>
      </c>
      <c r="AF230" s="51">
        <f>IFERROR(INDEX('02_SCHEDULE'!$L$5:$L$124,MATCH(AA230&amp;"|"&amp;AB230,'02_SCHEDULE'!$M$5:$M$124,0)),0)</f>
        <v>28</v>
      </c>
      <c r="AG230" s="51">
        <f t="shared" si="24"/>
        <v>1</v>
      </c>
    </row>
    <row r="231" spans="27:33" x14ac:dyDescent="0.3">
      <c r="AA231" s="51" t="str">
        <f>'Sites Master'!$B$5</f>
        <v>Site 04</v>
      </c>
      <c r="AB231" s="51" t="str">
        <f>'Phase-Resource Allocation'!$B$106</f>
        <v>Go Live</v>
      </c>
      <c r="AC231" s="51" t="str">
        <f>'Phase-Resource Allocation'!$C$106</f>
        <v>SAP Integrations Specialist</v>
      </c>
      <c r="AD231" s="60">
        <f>'Phase-Resource Allocation'!$D$106</f>
        <v>1</v>
      </c>
      <c r="AE231" s="51">
        <f>IFERROR(INDEX('02_SCHEDULE'!$K$5:$K$124,MATCH(AA231&amp;"|"&amp;AB231,'02_SCHEDULE'!$M$5:$M$124,0)),0)</f>
        <v>28</v>
      </c>
      <c r="AF231" s="51">
        <f>IFERROR(INDEX('02_SCHEDULE'!$L$5:$L$124,MATCH(AA231&amp;"|"&amp;AB231,'02_SCHEDULE'!$M$5:$M$124,0)),0)</f>
        <v>28</v>
      </c>
      <c r="AG231" s="51">
        <f t="shared" si="24"/>
        <v>1</v>
      </c>
    </row>
    <row r="232" spans="27:33" x14ac:dyDescent="0.3">
      <c r="AA232" s="51" t="str">
        <f>'Sites Master'!$B$5</f>
        <v>Site 04</v>
      </c>
      <c r="AB232" s="51" t="str">
        <f>'Phase-Resource Allocation'!$B$107</f>
        <v>Go Live</v>
      </c>
      <c r="AC232" s="51" t="str">
        <f>'Phase-Resource Allocation'!$C$107</f>
        <v>Azure Lead</v>
      </c>
      <c r="AD232" s="60">
        <f>'Phase-Resource Allocation'!$D$107</f>
        <v>1</v>
      </c>
      <c r="AE232" s="51">
        <f>IFERROR(INDEX('02_SCHEDULE'!$K$5:$K$124,MATCH(AA232&amp;"|"&amp;AB232,'02_SCHEDULE'!$M$5:$M$124,0)),0)</f>
        <v>28</v>
      </c>
      <c r="AF232" s="51">
        <f>IFERROR(INDEX('02_SCHEDULE'!$L$5:$L$124,MATCH(AA232&amp;"|"&amp;AB232,'02_SCHEDULE'!$M$5:$M$124,0)),0)</f>
        <v>28</v>
      </c>
      <c r="AG232" s="51">
        <f t="shared" si="24"/>
        <v>1</v>
      </c>
    </row>
    <row r="233" spans="27:33" x14ac:dyDescent="0.3">
      <c r="AA233" s="51" t="str">
        <f>'Sites Master'!$B$5</f>
        <v>Site 04</v>
      </c>
      <c r="AB233" s="51" t="str">
        <f>'Phase-Resource Allocation'!$B$108</f>
        <v>Go Live</v>
      </c>
      <c r="AC233" s="51" t="str">
        <f>'Phase-Resource Allocation'!$C$108</f>
        <v>Azure Specialist</v>
      </c>
      <c r="AD233" s="60">
        <f>'Phase-Resource Allocation'!$D$108</f>
        <v>1</v>
      </c>
      <c r="AE233" s="51">
        <f>IFERROR(INDEX('02_SCHEDULE'!$K$5:$K$124,MATCH(AA233&amp;"|"&amp;AB233,'02_SCHEDULE'!$M$5:$M$124,0)),0)</f>
        <v>28</v>
      </c>
      <c r="AF233" s="51">
        <f>IFERROR(INDEX('02_SCHEDULE'!$L$5:$L$124,MATCH(AA233&amp;"|"&amp;AB233,'02_SCHEDULE'!$M$5:$M$124,0)),0)</f>
        <v>28</v>
      </c>
      <c r="AG233" s="51">
        <f t="shared" si="24"/>
        <v>1</v>
      </c>
    </row>
    <row r="234" spans="27:33" x14ac:dyDescent="0.3">
      <c r="AA234" s="51" t="str">
        <f>'Sites Master'!$B$5</f>
        <v>Site 04</v>
      </c>
      <c r="AB234" s="51" t="str">
        <f>'Phase-Resource Allocation'!$B$109</f>
        <v>Go Live</v>
      </c>
      <c r="AC234" s="51" t="str">
        <f>'Phase-Resource Allocation'!$C$109</f>
        <v>Functional Lead</v>
      </c>
      <c r="AD234" s="60">
        <f>'Phase-Resource Allocation'!$D$109</f>
        <v>1</v>
      </c>
      <c r="AE234" s="51">
        <f>IFERROR(INDEX('02_SCHEDULE'!$K$5:$K$124,MATCH(AA234&amp;"|"&amp;AB234,'02_SCHEDULE'!$M$5:$M$124,0)),0)</f>
        <v>28</v>
      </c>
      <c r="AF234" s="51">
        <f>IFERROR(INDEX('02_SCHEDULE'!$L$5:$L$124,MATCH(AA234&amp;"|"&amp;AB234,'02_SCHEDULE'!$M$5:$M$124,0)),0)</f>
        <v>28</v>
      </c>
      <c r="AG234" s="51">
        <f t="shared" si="24"/>
        <v>1</v>
      </c>
    </row>
    <row r="235" spans="27:33" x14ac:dyDescent="0.3">
      <c r="AA235" s="51" t="str">
        <f>'Sites Master'!$B$5</f>
        <v>Site 04</v>
      </c>
      <c r="AB235" s="51" t="str">
        <f>'Phase-Resource Allocation'!$B$110</f>
        <v>Go Live</v>
      </c>
      <c r="AC235" s="51" t="str">
        <f>'Phase-Resource Allocation'!$C$110</f>
        <v>Trainers</v>
      </c>
      <c r="AD235" s="60">
        <f>'Phase-Resource Allocation'!$D$110</f>
        <v>1</v>
      </c>
      <c r="AE235" s="51">
        <f>IFERROR(INDEX('02_SCHEDULE'!$K$5:$K$124,MATCH(AA235&amp;"|"&amp;AB235,'02_SCHEDULE'!$M$5:$M$124,0)),0)</f>
        <v>28</v>
      </c>
      <c r="AF235" s="51">
        <f>IFERROR(INDEX('02_SCHEDULE'!$L$5:$L$124,MATCH(AA235&amp;"|"&amp;AB235,'02_SCHEDULE'!$M$5:$M$124,0)),0)</f>
        <v>28</v>
      </c>
      <c r="AG235" s="51">
        <f t="shared" si="24"/>
        <v>1</v>
      </c>
    </row>
    <row r="236" spans="27:33" x14ac:dyDescent="0.3">
      <c r="AA236" s="51" t="str">
        <f>'Sites Master'!$B$5</f>
        <v>Site 04</v>
      </c>
      <c r="AB236" s="51" t="str">
        <f>'Phase-Resource Allocation'!$B$111</f>
        <v>Go Live</v>
      </c>
      <c r="AC236" s="51" t="str">
        <f>'Phase-Resource Allocation'!$C$111</f>
        <v>Infrastructure Lead</v>
      </c>
      <c r="AD236" s="60">
        <f>'Phase-Resource Allocation'!$D$111</f>
        <v>1</v>
      </c>
      <c r="AE236" s="51">
        <f>IFERROR(INDEX('02_SCHEDULE'!$K$5:$K$124,MATCH(AA236&amp;"|"&amp;AB236,'02_SCHEDULE'!$M$5:$M$124,0)),0)</f>
        <v>28</v>
      </c>
      <c r="AF236" s="51">
        <f>IFERROR(INDEX('02_SCHEDULE'!$L$5:$L$124,MATCH(AA236&amp;"|"&amp;AB236,'02_SCHEDULE'!$M$5:$M$124,0)),0)</f>
        <v>28</v>
      </c>
      <c r="AG236" s="51">
        <f t="shared" si="24"/>
        <v>1</v>
      </c>
    </row>
    <row r="237" spans="27:33" x14ac:dyDescent="0.3">
      <c r="AA237" s="51" t="str">
        <f>'Sites Master'!$B$5</f>
        <v>Site 04</v>
      </c>
      <c r="AB237" s="51" t="str">
        <f>'Phase-Resource Allocation'!$B$112</f>
        <v>Go Live</v>
      </c>
      <c r="AC237" s="51" t="str">
        <f>'Phase-Resource Allocation'!$C$112</f>
        <v>Functional Lead Vendor A</v>
      </c>
      <c r="AD237" s="60">
        <f>'Phase-Resource Allocation'!$D$112</f>
        <v>1</v>
      </c>
      <c r="AE237" s="51">
        <f>IFERROR(INDEX('02_SCHEDULE'!$K$5:$K$124,MATCH(AA237&amp;"|"&amp;AB237,'02_SCHEDULE'!$M$5:$M$124,0)),0)</f>
        <v>28</v>
      </c>
      <c r="AF237" s="51">
        <f>IFERROR(INDEX('02_SCHEDULE'!$L$5:$L$124,MATCH(AA237&amp;"|"&amp;AB237,'02_SCHEDULE'!$M$5:$M$124,0)),0)</f>
        <v>28</v>
      </c>
      <c r="AG237" s="51">
        <f t="shared" si="24"/>
        <v>1</v>
      </c>
    </row>
    <row r="238" spans="27:33" x14ac:dyDescent="0.3">
      <c r="AA238" s="51" t="str">
        <f>'Sites Master'!$B$5</f>
        <v>Site 04</v>
      </c>
      <c r="AB238" s="51" t="str">
        <f>'Phase-Resource Allocation'!$B$113</f>
        <v>Hypercare</v>
      </c>
      <c r="AC238" s="51" t="str">
        <f>'Phase-Resource Allocation'!$C$113</f>
        <v>Solution Architect</v>
      </c>
      <c r="AD238" s="60">
        <f>'Phase-Resource Allocation'!$D$113</f>
        <v>0.5</v>
      </c>
      <c r="AE238" s="51">
        <f>IFERROR(INDEX('02_SCHEDULE'!$K$5:$K$124,MATCH(AA238&amp;"|"&amp;AB238,'02_SCHEDULE'!$M$5:$M$124,0)),0)</f>
        <v>29</v>
      </c>
      <c r="AF238" s="51">
        <f>IFERROR(INDEX('02_SCHEDULE'!$L$5:$L$124,MATCH(AA238&amp;"|"&amp;AB238,'02_SCHEDULE'!$M$5:$M$124,0)),0)</f>
        <v>32</v>
      </c>
      <c r="AG238" s="51">
        <f t="shared" si="24"/>
        <v>2</v>
      </c>
    </row>
    <row r="239" spans="27:33" x14ac:dyDescent="0.3">
      <c r="AA239" s="51" t="str">
        <f>'Sites Master'!$B$5</f>
        <v>Site 04</v>
      </c>
      <c r="AB239" s="51" t="str">
        <f>'Phase-Resource Allocation'!$B$114</f>
        <v>Hypercare</v>
      </c>
      <c r="AC239" s="51" t="str">
        <f>'Phase-Resource Allocation'!$C$114</f>
        <v>Change Management Lead</v>
      </c>
      <c r="AD239" s="60">
        <f>'Phase-Resource Allocation'!$D$114</f>
        <v>1</v>
      </c>
      <c r="AE239" s="51">
        <f>IFERROR(INDEX('02_SCHEDULE'!$K$5:$K$124,MATCH(AA239&amp;"|"&amp;AB239,'02_SCHEDULE'!$M$5:$M$124,0)),0)</f>
        <v>29</v>
      </c>
      <c r="AF239" s="51">
        <f>IFERROR(INDEX('02_SCHEDULE'!$L$5:$L$124,MATCH(AA239&amp;"|"&amp;AB239,'02_SCHEDULE'!$M$5:$M$124,0)),0)</f>
        <v>32</v>
      </c>
      <c r="AG239" s="51">
        <f t="shared" si="24"/>
        <v>4</v>
      </c>
    </row>
    <row r="240" spans="27:33" x14ac:dyDescent="0.3">
      <c r="AA240" s="51" t="str">
        <f>'Sites Master'!$B$5</f>
        <v>Site 04</v>
      </c>
      <c r="AB240" s="51" t="str">
        <f>'Phase-Resource Allocation'!$B$115</f>
        <v>Hypercare</v>
      </c>
      <c r="AC240" s="51" t="str">
        <f>'Phase-Resource Allocation'!$C$115</f>
        <v>SAP Integrations Lead</v>
      </c>
      <c r="AD240" s="60">
        <f>'Phase-Resource Allocation'!$D$115</f>
        <v>0.5</v>
      </c>
      <c r="AE240" s="51">
        <f>IFERROR(INDEX('02_SCHEDULE'!$K$5:$K$124,MATCH(AA240&amp;"|"&amp;AB240,'02_SCHEDULE'!$M$5:$M$124,0)),0)</f>
        <v>29</v>
      </c>
      <c r="AF240" s="51">
        <f>IFERROR(INDEX('02_SCHEDULE'!$L$5:$L$124,MATCH(AA240&amp;"|"&amp;AB240,'02_SCHEDULE'!$M$5:$M$124,0)),0)</f>
        <v>32</v>
      </c>
      <c r="AG240" s="51">
        <f t="shared" si="24"/>
        <v>2</v>
      </c>
    </row>
    <row r="241" spans="27:33" x14ac:dyDescent="0.3">
      <c r="AA241" s="51" t="str">
        <f>'Sites Master'!$B$5</f>
        <v>Site 04</v>
      </c>
      <c r="AB241" s="51" t="str">
        <f>'Phase-Resource Allocation'!$B$116</f>
        <v>Hypercare</v>
      </c>
      <c r="AC241" s="51" t="str">
        <f>'Phase-Resource Allocation'!$C$116</f>
        <v>SAP Integrations Specialist</v>
      </c>
      <c r="AD241" s="60">
        <f>'Phase-Resource Allocation'!$D$116</f>
        <v>0.5</v>
      </c>
      <c r="AE241" s="51">
        <f>IFERROR(INDEX('02_SCHEDULE'!$K$5:$K$124,MATCH(AA241&amp;"|"&amp;AB241,'02_SCHEDULE'!$M$5:$M$124,0)),0)</f>
        <v>29</v>
      </c>
      <c r="AF241" s="51">
        <f>IFERROR(INDEX('02_SCHEDULE'!$L$5:$L$124,MATCH(AA241&amp;"|"&amp;AB241,'02_SCHEDULE'!$M$5:$M$124,0)),0)</f>
        <v>32</v>
      </c>
      <c r="AG241" s="51">
        <f t="shared" si="24"/>
        <v>2</v>
      </c>
    </row>
    <row r="242" spans="27:33" x14ac:dyDescent="0.3">
      <c r="AA242" s="51" t="str">
        <f>'Sites Master'!$B$5</f>
        <v>Site 04</v>
      </c>
      <c r="AB242" s="51" t="str">
        <f>'Phase-Resource Allocation'!$B$117</f>
        <v>Hypercare</v>
      </c>
      <c r="AC242" s="51" t="str">
        <f>'Phase-Resource Allocation'!$C$117</f>
        <v>Azure Lead</v>
      </c>
      <c r="AD242" s="60">
        <f>'Phase-Resource Allocation'!$D$117</f>
        <v>0.5</v>
      </c>
      <c r="AE242" s="51">
        <f>IFERROR(INDEX('02_SCHEDULE'!$K$5:$K$124,MATCH(AA242&amp;"|"&amp;AB242,'02_SCHEDULE'!$M$5:$M$124,0)),0)</f>
        <v>29</v>
      </c>
      <c r="AF242" s="51">
        <f>IFERROR(INDEX('02_SCHEDULE'!$L$5:$L$124,MATCH(AA242&amp;"|"&amp;AB242,'02_SCHEDULE'!$M$5:$M$124,0)),0)</f>
        <v>32</v>
      </c>
      <c r="AG242" s="51">
        <f t="shared" si="24"/>
        <v>2</v>
      </c>
    </row>
    <row r="243" spans="27:33" x14ac:dyDescent="0.3">
      <c r="AA243" s="51" t="str">
        <f>'Sites Master'!$B$5</f>
        <v>Site 04</v>
      </c>
      <c r="AB243" s="51" t="str">
        <f>'Phase-Resource Allocation'!$B$118</f>
        <v>Hypercare</v>
      </c>
      <c r="AC243" s="51" t="str">
        <f>'Phase-Resource Allocation'!$C$118</f>
        <v>Azure Specialist</v>
      </c>
      <c r="AD243" s="60">
        <f>'Phase-Resource Allocation'!$D$118</f>
        <v>0.5</v>
      </c>
      <c r="AE243" s="51">
        <f>IFERROR(INDEX('02_SCHEDULE'!$K$5:$K$124,MATCH(AA243&amp;"|"&amp;AB243,'02_SCHEDULE'!$M$5:$M$124,0)),0)</f>
        <v>29</v>
      </c>
      <c r="AF243" s="51">
        <f>IFERROR(INDEX('02_SCHEDULE'!$L$5:$L$124,MATCH(AA243&amp;"|"&amp;AB243,'02_SCHEDULE'!$M$5:$M$124,0)),0)</f>
        <v>32</v>
      </c>
      <c r="AG243" s="51">
        <f t="shared" si="24"/>
        <v>2</v>
      </c>
    </row>
    <row r="244" spans="27:33" x14ac:dyDescent="0.3">
      <c r="AA244" s="51" t="str">
        <f>'Sites Master'!$B$5</f>
        <v>Site 04</v>
      </c>
      <c r="AB244" s="51" t="str">
        <f>'Phase-Resource Allocation'!$B$119</f>
        <v>Hypercare</v>
      </c>
      <c r="AC244" s="51" t="str">
        <f>'Phase-Resource Allocation'!$C$119</f>
        <v>Functional Lead</v>
      </c>
      <c r="AD244" s="60">
        <f>'Phase-Resource Allocation'!$D$119</f>
        <v>1</v>
      </c>
      <c r="AE244" s="51">
        <f>IFERROR(INDEX('02_SCHEDULE'!$K$5:$K$124,MATCH(AA244&amp;"|"&amp;AB244,'02_SCHEDULE'!$M$5:$M$124,0)),0)</f>
        <v>29</v>
      </c>
      <c r="AF244" s="51">
        <f>IFERROR(INDEX('02_SCHEDULE'!$L$5:$L$124,MATCH(AA244&amp;"|"&amp;AB244,'02_SCHEDULE'!$M$5:$M$124,0)),0)</f>
        <v>32</v>
      </c>
      <c r="AG244" s="51">
        <f t="shared" si="24"/>
        <v>4</v>
      </c>
    </row>
    <row r="245" spans="27:33" x14ac:dyDescent="0.3">
      <c r="AA245" s="51" t="str">
        <f>'Sites Master'!$B$5</f>
        <v>Site 04</v>
      </c>
      <c r="AB245" s="51" t="str">
        <f>'Phase-Resource Allocation'!$B$120</f>
        <v>Hypercare</v>
      </c>
      <c r="AC245" s="51" t="str">
        <f>'Phase-Resource Allocation'!$C$120</f>
        <v>Functional Lead</v>
      </c>
      <c r="AD245" s="60">
        <f>'Phase-Resource Allocation'!$D$120</f>
        <v>1</v>
      </c>
      <c r="AE245" s="51">
        <f>IFERROR(INDEX('02_SCHEDULE'!$K$5:$K$124,MATCH(AA245&amp;"|"&amp;AB245,'02_SCHEDULE'!$M$5:$M$124,0)),0)</f>
        <v>29</v>
      </c>
      <c r="AF245" s="51">
        <f>IFERROR(INDEX('02_SCHEDULE'!$L$5:$L$124,MATCH(AA245&amp;"|"&amp;AB245,'02_SCHEDULE'!$M$5:$M$124,0)),0)</f>
        <v>32</v>
      </c>
      <c r="AG245" s="51">
        <f t="shared" si="24"/>
        <v>4</v>
      </c>
    </row>
    <row r="246" spans="27:33" x14ac:dyDescent="0.3">
      <c r="AA246" s="51" t="str">
        <f>'Sites Master'!$B$5</f>
        <v>Site 04</v>
      </c>
      <c r="AB246" s="51" t="str">
        <f>'Phase-Resource Allocation'!$B$121</f>
        <v>Hypercare</v>
      </c>
      <c r="AC246" s="51" t="str">
        <f>'Phase-Resource Allocation'!$C$121</f>
        <v>Trainers</v>
      </c>
      <c r="AD246" s="60">
        <f>'Phase-Resource Allocation'!$D$121</f>
        <v>1</v>
      </c>
      <c r="AE246" s="51">
        <f>IFERROR(INDEX('02_SCHEDULE'!$K$5:$K$124,MATCH(AA246&amp;"|"&amp;AB246,'02_SCHEDULE'!$M$5:$M$124,0)),0)</f>
        <v>29</v>
      </c>
      <c r="AF246" s="51">
        <f>IFERROR(INDEX('02_SCHEDULE'!$L$5:$L$124,MATCH(AA246&amp;"|"&amp;AB246,'02_SCHEDULE'!$M$5:$M$124,0)),0)</f>
        <v>32</v>
      </c>
      <c r="AG246" s="51">
        <f t="shared" si="24"/>
        <v>4</v>
      </c>
    </row>
    <row r="247" spans="27:33" x14ac:dyDescent="0.3">
      <c r="AA247" s="51" t="str">
        <f>'Sites Master'!$B$5</f>
        <v>Site 04</v>
      </c>
      <c r="AB247" s="51" t="str">
        <f>'Phase-Resource Allocation'!$B$122</f>
        <v>Hypercare</v>
      </c>
      <c r="AC247" s="51" t="str">
        <f>'Phase-Resource Allocation'!$C$122</f>
        <v>Trainers</v>
      </c>
      <c r="AD247" s="60">
        <f>'Phase-Resource Allocation'!$D$122</f>
        <v>1</v>
      </c>
      <c r="AE247" s="51">
        <f>IFERROR(INDEX('02_SCHEDULE'!$K$5:$K$124,MATCH(AA247&amp;"|"&amp;AB247,'02_SCHEDULE'!$M$5:$M$124,0)),0)</f>
        <v>29</v>
      </c>
      <c r="AF247" s="51">
        <f>IFERROR(INDEX('02_SCHEDULE'!$L$5:$L$124,MATCH(AA247&amp;"|"&amp;AB247,'02_SCHEDULE'!$M$5:$M$124,0)),0)</f>
        <v>32</v>
      </c>
      <c r="AG247" s="51">
        <f t="shared" si="24"/>
        <v>4</v>
      </c>
    </row>
    <row r="248" spans="27:33" x14ac:dyDescent="0.3">
      <c r="AA248" s="51" t="str">
        <f>'Sites Master'!$B$5</f>
        <v>Site 04</v>
      </c>
      <c r="AB248" s="51" t="str">
        <f>'Phase-Resource Allocation'!$B$123</f>
        <v>Hypercare</v>
      </c>
      <c r="AC248" s="51" t="str">
        <f>'Phase-Resource Allocation'!$C$123</f>
        <v>Trainers</v>
      </c>
      <c r="AD248" s="60">
        <f>'Phase-Resource Allocation'!$D$123</f>
        <v>1</v>
      </c>
      <c r="AE248" s="51">
        <f>IFERROR(INDEX('02_SCHEDULE'!$K$5:$K$124,MATCH(AA248&amp;"|"&amp;AB248,'02_SCHEDULE'!$M$5:$M$124,0)),0)</f>
        <v>29</v>
      </c>
      <c r="AF248" s="51">
        <f>IFERROR(INDEX('02_SCHEDULE'!$L$5:$L$124,MATCH(AA248&amp;"|"&amp;AB248,'02_SCHEDULE'!$M$5:$M$124,0)),0)</f>
        <v>32</v>
      </c>
      <c r="AG248" s="51">
        <f t="shared" si="24"/>
        <v>4</v>
      </c>
    </row>
    <row r="249" spans="27:33" x14ac:dyDescent="0.3">
      <c r="AA249" s="51" t="str">
        <f>'Sites Master'!$B$5</f>
        <v>Site 04</v>
      </c>
      <c r="AB249" s="51" t="str">
        <f>'Phase-Resource Allocation'!$B$124</f>
        <v>Hypercare</v>
      </c>
      <c r="AC249" s="51" t="str">
        <f>'Phase-Resource Allocation'!$C$124</f>
        <v>Infrastructure Lead</v>
      </c>
      <c r="AD249" s="60">
        <f>'Phase-Resource Allocation'!$D$124</f>
        <v>1</v>
      </c>
      <c r="AE249" s="51">
        <f>IFERROR(INDEX('02_SCHEDULE'!$K$5:$K$124,MATCH(AA249&amp;"|"&amp;AB249,'02_SCHEDULE'!$M$5:$M$124,0)),0)</f>
        <v>29</v>
      </c>
      <c r="AF249" s="51">
        <f>IFERROR(INDEX('02_SCHEDULE'!$L$5:$L$124,MATCH(AA249&amp;"|"&amp;AB249,'02_SCHEDULE'!$M$5:$M$124,0)),0)</f>
        <v>32</v>
      </c>
      <c r="AG249" s="51">
        <f t="shared" si="24"/>
        <v>4</v>
      </c>
    </row>
    <row r="250" spans="27:33" x14ac:dyDescent="0.3">
      <c r="AA250" s="51" t="str">
        <f>'Sites Master'!$B$5</f>
        <v>Site 04</v>
      </c>
      <c r="AB250" s="51" t="str">
        <f>'Phase-Resource Allocation'!$B$125</f>
        <v>Hypercare</v>
      </c>
      <c r="AC250" s="51" t="str">
        <f>'Phase-Resource Allocation'!$C$125</f>
        <v>Functional Lead Vendor A</v>
      </c>
      <c r="AD250" s="60">
        <f>'Phase-Resource Allocation'!$D$125</f>
        <v>0.5</v>
      </c>
      <c r="AE250" s="51">
        <f>IFERROR(INDEX('02_SCHEDULE'!$K$5:$K$124,MATCH(AA250&amp;"|"&amp;AB250,'02_SCHEDULE'!$M$5:$M$124,0)),0)</f>
        <v>29</v>
      </c>
      <c r="AF250" s="51">
        <f>IFERROR(INDEX('02_SCHEDULE'!$L$5:$L$124,MATCH(AA250&amp;"|"&amp;AB250,'02_SCHEDULE'!$M$5:$M$124,0)),0)</f>
        <v>32</v>
      </c>
      <c r="AG250" s="51">
        <f t="shared" si="24"/>
        <v>2</v>
      </c>
    </row>
    <row r="251" spans="27:33" x14ac:dyDescent="0.3">
      <c r="AA251" s="51" t="str">
        <f>'Sites Master'!$B$6</f>
        <v>Site 05</v>
      </c>
      <c r="AB251" s="51" t="str">
        <f>'Phase-Resource Allocation'!$B$126</f>
        <v>Site Readiness</v>
      </c>
      <c r="AC251" s="51" t="str">
        <f>'Phase-Resource Allocation'!$C$126</f>
        <v>Infrastructure Lead</v>
      </c>
      <c r="AD251" s="60">
        <f>'Phase-Resource Allocation'!$D$126</f>
        <v>1</v>
      </c>
      <c r="AE251" s="51">
        <f>IFERROR(INDEX('02_SCHEDULE'!$K$5:$K$124,MATCH(AA251&amp;"|"&amp;AB251,'02_SCHEDULE'!$M$5:$M$124,0)),0)</f>
        <v>17</v>
      </c>
      <c r="AF251" s="51">
        <f>IFERROR(INDEX('02_SCHEDULE'!$L$5:$L$124,MATCH(AA251&amp;"|"&amp;AB251,'02_SCHEDULE'!$M$5:$M$124,0)),0)</f>
        <v>20</v>
      </c>
      <c r="AG251" s="51">
        <f t="shared" si="24"/>
        <v>4</v>
      </c>
    </row>
    <row r="252" spans="27:33" x14ac:dyDescent="0.3">
      <c r="AA252" s="51" t="str">
        <f>'Sites Master'!$B$6</f>
        <v>Site 05</v>
      </c>
      <c r="AB252" s="51" t="str">
        <f>'Phase-Resource Allocation'!$B$127</f>
        <v>Site Readiness</v>
      </c>
      <c r="AC252" s="51" t="str">
        <f>'Phase-Resource Allocation'!$C$127</f>
        <v>SAP Integrations Lead</v>
      </c>
      <c r="AD252" s="60">
        <f>'Phase-Resource Allocation'!$D$127</f>
        <v>0.5</v>
      </c>
      <c r="AE252" s="51">
        <f>IFERROR(INDEX('02_SCHEDULE'!$K$5:$K$124,MATCH(AA252&amp;"|"&amp;AB252,'02_SCHEDULE'!$M$5:$M$124,0)),0)</f>
        <v>17</v>
      </c>
      <c r="AF252" s="51">
        <f>IFERROR(INDEX('02_SCHEDULE'!$L$5:$L$124,MATCH(AA252&amp;"|"&amp;AB252,'02_SCHEDULE'!$M$5:$M$124,0)),0)</f>
        <v>20</v>
      </c>
      <c r="AG252" s="51">
        <f t="shared" si="24"/>
        <v>2</v>
      </c>
    </row>
    <row r="253" spans="27:33" x14ac:dyDescent="0.3">
      <c r="AA253" s="51" t="str">
        <f>'Sites Master'!$B$6</f>
        <v>Site 05</v>
      </c>
      <c r="AB253" s="51" t="str">
        <f>'Phase-Resource Allocation'!$B$128</f>
        <v>Design Adaptation</v>
      </c>
      <c r="AC253" s="51" t="str">
        <f>'Phase-Resource Allocation'!$C$128</f>
        <v>Solution Architect</v>
      </c>
      <c r="AD253" s="60">
        <f>'Phase-Resource Allocation'!$D$128</f>
        <v>1</v>
      </c>
      <c r="AE253" s="51">
        <f>IFERROR(INDEX('02_SCHEDULE'!$K$5:$K$124,MATCH(AA253&amp;"|"&amp;AB253,'02_SCHEDULE'!$M$5:$M$124,0)),0)</f>
        <v>21</v>
      </c>
      <c r="AF253" s="51">
        <f>IFERROR(INDEX('02_SCHEDULE'!$L$5:$L$124,MATCH(AA253&amp;"|"&amp;AB253,'02_SCHEDULE'!$M$5:$M$124,0)),0)</f>
        <v>21</v>
      </c>
      <c r="AG253" s="51">
        <f t="shared" si="24"/>
        <v>1</v>
      </c>
    </row>
    <row r="254" spans="27:33" x14ac:dyDescent="0.3">
      <c r="AA254" s="51" t="str">
        <f>'Sites Master'!$B$6</f>
        <v>Site 05</v>
      </c>
      <c r="AB254" s="51" t="str">
        <f>'Phase-Resource Allocation'!$B$129</f>
        <v>Design Adaptation</v>
      </c>
      <c r="AC254" s="51" t="str">
        <f>'Phase-Resource Allocation'!$C$129</f>
        <v>SAP Integrations Lead</v>
      </c>
      <c r="AD254" s="60">
        <f>'Phase-Resource Allocation'!$D$129</f>
        <v>0.5</v>
      </c>
      <c r="AE254" s="51">
        <f>IFERROR(INDEX('02_SCHEDULE'!$K$5:$K$124,MATCH(AA254&amp;"|"&amp;AB254,'02_SCHEDULE'!$M$5:$M$124,0)),0)</f>
        <v>21</v>
      </c>
      <c r="AF254" s="51">
        <f>IFERROR(INDEX('02_SCHEDULE'!$L$5:$L$124,MATCH(AA254&amp;"|"&amp;AB254,'02_SCHEDULE'!$M$5:$M$124,0)),0)</f>
        <v>21</v>
      </c>
      <c r="AG254" s="51">
        <f t="shared" si="24"/>
        <v>0.5</v>
      </c>
    </row>
    <row r="255" spans="27:33" x14ac:dyDescent="0.3">
      <c r="AA255" s="51" t="str">
        <f>'Sites Master'!$B$6</f>
        <v>Site 05</v>
      </c>
      <c r="AB255" s="51" t="str">
        <f>'Phase-Resource Allocation'!$B$130</f>
        <v>Design Adaptation</v>
      </c>
      <c r="AC255" s="51" t="str">
        <f>'Phase-Resource Allocation'!$C$130</f>
        <v>SAP Integrations Specialist</v>
      </c>
      <c r="AD255" s="60">
        <f>'Phase-Resource Allocation'!$D$130</f>
        <v>0.5</v>
      </c>
      <c r="AE255" s="51">
        <f>IFERROR(INDEX('02_SCHEDULE'!$K$5:$K$124,MATCH(AA255&amp;"|"&amp;AB255,'02_SCHEDULE'!$M$5:$M$124,0)),0)</f>
        <v>21</v>
      </c>
      <c r="AF255" s="51">
        <f>IFERROR(INDEX('02_SCHEDULE'!$L$5:$L$124,MATCH(AA255&amp;"|"&amp;AB255,'02_SCHEDULE'!$M$5:$M$124,0)),0)</f>
        <v>21</v>
      </c>
      <c r="AG255" s="51">
        <f t="shared" si="24"/>
        <v>0.5</v>
      </c>
    </row>
    <row r="256" spans="27:33" x14ac:dyDescent="0.3">
      <c r="AA256" s="51" t="str">
        <f>'Sites Master'!$B$6</f>
        <v>Site 05</v>
      </c>
      <c r="AB256" s="51" t="str">
        <f>'Phase-Resource Allocation'!$B$131</f>
        <v>Design Adaptation</v>
      </c>
      <c r="AC256" s="51" t="str">
        <f>'Phase-Resource Allocation'!$C$131</f>
        <v>Azure Lead</v>
      </c>
      <c r="AD256" s="60">
        <f>'Phase-Resource Allocation'!$D$131</f>
        <v>0.5</v>
      </c>
      <c r="AE256" s="51">
        <f>IFERROR(INDEX('02_SCHEDULE'!$K$5:$K$124,MATCH(AA256&amp;"|"&amp;AB256,'02_SCHEDULE'!$M$5:$M$124,0)),0)</f>
        <v>21</v>
      </c>
      <c r="AF256" s="51">
        <f>IFERROR(INDEX('02_SCHEDULE'!$L$5:$L$124,MATCH(AA256&amp;"|"&amp;AB256,'02_SCHEDULE'!$M$5:$M$124,0)),0)</f>
        <v>21</v>
      </c>
      <c r="AG256" s="51">
        <f t="shared" si="24"/>
        <v>0.5</v>
      </c>
    </row>
    <row r="257" spans="27:33" x14ac:dyDescent="0.3">
      <c r="AA257" s="51" t="str">
        <f>'Sites Master'!$B$6</f>
        <v>Site 05</v>
      </c>
      <c r="AB257" s="51" t="str">
        <f>'Phase-Resource Allocation'!$B$132</f>
        <v>Design Adaptation</v>
      </c>
      <c r="AC257" s="51" t="str">
        <f>'Phase-Resource Allocation'!$C$132</f>
        <v>Azure Specialist</v>
      </c>
      <c r="AD257" s="60">
        <f>'Phase-Resource Allocation'!$D$132</f>
        <v>0.5</v>
      </c>
      <c r="AE257" s="51">
        <f>IFERROR(INDEX('02_SCHEDULE'!$K$5:$K$124,MATCH(AA257&amp;"|"&amp;AB257,'02_SCHEDULE'!$M$5:$M$124,0)),0)</f>
        <v>21</v>
      </c>
      <c r="AF257" s="51">
        <f>IFERROR(INDEX('02_SCHEDULE'!$L$5:$L$124,MATCH(AA257&amp;"|"&amp;AB257,'02_SCHEDULE'!$M$5:$M$124,0)),0)</f>
        <v>21</v>
      </c>
      <c r="AG257" s="51">
        <f t="shared" si="24"/>
        <v>0.5</v>
      </c>
    </row>
    <row r="258" spans="27:33" x14ac:dyDescent="0.3">
      <c r="AA258" s="51" t="str">
        <f>'Sites Master'!$B$6</f>
        <v>Site 05</v>
      </c>
      <c r="AB258" s="51" t="str">
        <f>'Phase-Resource Allocation'!$B$133</f>
        <v>Design Adaptation</v>
      </c>
      <c r="AC258" s="51" t="str">
        <f>'Phase-Resource Allocation'!$C$133</f>
        <v>Testing Lead</v>
      </c>
      <c r="AD258" s="60">
        <f>'Phase-Resource Allocation'!$D$133</f>
        <v>1</v>
      </c>
      <c r="AE258" s="51">
        <f>IFERROR(INDEX('02_SCHEDULE'!$K$5:$K$124,MATCH(AA258&amp;"|"&amp;AB258,'02_SCHEDULE'!$M$5:$M$124,0)),0)</f>
        <v>21</v>
      </c>
      <c r="AF258" s="51">
        <f>IFERROR(INDEX('02_SCHEDULE'!$L$5:$L$124,MATCH(AA258&amp;"|"&amp;AB258,'02_SCHEDULE'!$M$5:$M$124,0)),0)</f>
        <v>21</v>
      </c>
      <c r="AG258" s="51">
        <f t="shared" si="24"/>
        <v>1</v>
      </c>
    </row>
    <row r="259" spans="27:33" x14ac:dyDescent="0.3">
      <c r="AA259" s="51" t="str">
        <f>'Sites Master'!$B$6</f>
        <v>Site 05</v>
      </c>
      <c r="AB259" s="51" t="str">
        <f>'Phase-Resource Allocation'!$B$134</f>
        <v>Design Adaptation</v>
      </c>
      <c r="AC259" s="51" t="str">
        <f>'Phase-Resource Allocation'!$C$134</f>
        <v>Functional Lead</v>
      </c>
      <c r="AD259" s="60">
        <f>'Phase-Resource Allocation'!$D$134</f>
        <v>1</v>
      </c>
      <c r="AE259" s="51">
        <f>IFERROR(INDEX('02_SCHEDULE'!$K$5:$K$124,MATCH(AA259&amp;"|"&amp;AB259,'02_SCHEDULE'!$M$5:$M$124,0)),0)</f>
        <v>21</v>
      </c>
      <c r="AF259" s="51">
        <f>IFERROR(INDEX('02_SCHEDULE'!$L$5:$L$124,MATCH(AA259&amp;"|"&amp;AB259,'02_SCHEDULE'!$M$5:$M$124,0)),0)</f>
        <v>21</v>
      </c>
      <c r="AG259" s="51">
        <f t="shared" ref="AG259:AG322" si="26">AD259*(AF259-AE259+1)</f>
        <v>1</v>
      </c>
    </row>
    <row r="260" spans="27:33" x14ac:dyDescent="0.3">
      <c r="AA260" s="51" t="str">
        <f>'Sites Master'!$B$6</f>
        <v>Site 05</v>
      </c>
      <c r="AB260" s="51" t="str">
        <f>'Phase-Resource Allocation'!$B$135</f>
        <v>Design Adaptation</v>
      </c>
      <c r="AC260" s="51" t="str">
        <f>'Phase-Resource Allocation'!$C$135</f>
        <v>Trainers</v>
      </c>
      <c r="AD260" s="60">
        <f>'Phase-Resource Allocation'!$D$135</f>
        <v>1</v>
      </c>
      <c r="AE260" s="51">
        <f>IFERROR(INDEX('02_SCHEDULE'!$K$5:$K$124,MATCH(AA260&amp;"|"&amp;AB260,'02_SCHEDULE'!$M$5:$M$124,0)),0)</f>
        <v>21</v>
      </c>
      <c r="AF260" s="51">
        <f>IFERROR(INDEX('02_SCHEDULE'!$L$5:$L$124,MATCH(AA260&amp;"|"&amp;AB260,'02_SCHEDULE'!$M$5:$M$124,0)),0)</f>
        <v>21</v>
      </c>
      <c r="AG260" s="51">
        <f t="shared" si="26"/>
        <v>1</v>
      </c>
    </row>
    <row r="261" spans="27:33" x14ac:dyDescent="0.3">
      <c r="AA261" s="51" t="str">
        <f>'Sites Master'!$B$6</f>
        <v>Site 05</v>
      </c>
      <c r="AB261" s="51" t="str">
        <f>'Phase-Resource Allocation'!$B$136</f>
        <v>Design Adaptation</v>
      </c>
      <c r="AC261" s="51" t="str">
        <f>'Phase-Resource Allocation'!$C$136</f>
        <v>Infrastructure Lead</v>
      </c>
      <c r="AD261" s="60">
        <f>'Phase-Resource Allocation'!$D$136</f>
        <v>1</v>
      </c>
      <c r="AE261" s="51">
        <f>IFERROR(INDEX('02_SCHEDULE'!$K$5:$K$124,MATCH(AA261&amp;"|"&amp;AB261,'02_SCHEDULE'!$M$5:$M$124,0)),0)</f>
        <v>21</v>
      </c>
      <c r="AF261" s="51">
        <f>IFERROR(INDEX('02_SCHEDULE'!$L$5:$L$124,MATCH(AA261&amp;"|"&amp;AB261,'02_SCHEDULE'!$M$5:$M$124,0)),0)</f>
        <v>21</v>
      </c>
      <c r="AG261" s="51">
        <f t="shared" si="26"/>
        <v>1</v>
      </c>
    </row>
    <row r="262" spans="27:33" x14ac:dyDescent="0.3">
      <c r="AA262" s="51" t="str">
        <f>'Sites Master'!$B$6</f>
        <v>Site 05</v>
      </c>
      <c r="AB262" s="51" t="str">
        <f>'Phase-Resource Allocation'!$B$137</f>
        <v>Design Adaptation</v>
      </c>
      <c r="AC262" s="51" t="str">
        <f>'Phase-Resource Allocation'!$C$137</f>
        <v>Functional Lead Vendor A</v>
      </c>
      <c r="AD262" s="60">
        <f>'Phase-Resource Allocation'!$D$137</f>
        <v>1</v>
      </c>
      <c r="AE262" s="51">
        <f>IFERROR(INDEX('02_SCHEDULE'!$K$5:$K$124,MATCH(AA262&amp;"|"&amp;AB262,'02_SCHEDULE'!$M$5:$M$124,0)),0)</f>
        <v>21</v>
      </c>
      <c r="AF262" s="51">
        <f>IFERROR(INDEX('02_SCHEDULE'!$L$5:$L$124,MATCH(AA262&amp;"|"&amp;AB262,'02_SCHEDULE'!$M$5:$M$124,0)),0)</f>
        <v>21</v>
      </c>
      <c r="AG262" s="51">
        <f t="shared" si="26"/>
        <v>1</v>
      </c>
    </row>
    <row r="263" spans="27:33" x14ac:dyDescent="0.3">
      <c r="AA263" s="51" t="str">
        <f>'Sites Master'!$B$6</f>
        <v>Site 05</v>
      </c>
      <c r="AB263" s="51" t="str">
        <f>'Phase-Resource Allocation'!$B$138</f>
        <v>Functional Review</v>
      </c>
      <c r="AC263" s="51" t="str">
        <f>'Phase-Resource Allocation'!$C$138</f>
        <v>Solution Architect</v>
      </c>
      <c r="AD263" s="60">
        <f>'Phase-Resource Allocation'!$D$138</f>
        <v>0.5</v>
      </c>
      <c r="AE263" s="51">
        <f>IFERROR(INDEX('02_SCHEDULE'!$K$5:$K$124,MATCH(AA263&amp;"|"&amp;AB263,'02_SCHEDULE'!$M$5:$M$124,0)),0)</f>
        <v>22</v>
      </c>
      <c r="AF263" s="51">
        <f>IFERROR(INDEX('02_SCHEDULE'!$L$5:$L$124,MATCH(AA263&amp;"|"&amp;AB263,'02_SCHEDULE'!$M$5:$M$124,0)),0)</f>
        <v>22</v>
      </c>
      <c r="AG263" s="51">
        <f t="shared" si="26"/>
        <v>0.5</v>
      </c>
    </row>
    <row r="264" spans="27:33" x14ac:dyDescent="0.3">
      <c r="AA264" s="51" t="str">
        <f>'Sites Master'!$B$6</f>
        <v>Site 05</v>
      </c>
      <c r="AB264" s="51" t="str">
        <f>'Phase-Resource Allocation'!$B$139</f>
        <v>Functional Review</v>
      </c>
      <c r="AC264" s="51" t="str">
        <f>'Phase-Resource Allocation'!$C$139</f>
        <v>Change Management Lead</v>
      </c>
      <c r="AD264" s="60">
        <f>'Phase-Resource Allocation'!$D$139</f>
        <v>1</v>
      </c>
      <c r="AE264" s="51">
        <f>IFERROR(INDEX('02_SCHEDULE'!$K$5:$K$124,MATCH(AA264&amp;"|"&amp;AB264,'02_SCHEDULE'!$M$5:$M$124,0)),0)</f>
        <v>22</v>
      </c>
      <c r="AF264" s="51">
        <f>IFERROR(INDEX('02_SCHEDULE'!$L$5:$L$124,MATCH(AA264&amp;"|"&amp;AB264,'02_SCHEDULE'!$M$5:$M$124,0)),0)</f>
        <v>22</v>
      </c>
      <c r="AG264" s="51">
        <f t="shared" si="26"/>
        <v>1</v>
      </c>
    </row>
    <row r="265" spans="27:33" x14ac:dyDescent="0.3">
      <c r="AA265" s="51" t="str">
        <f>'Sites Master'!$B$6</f>
        <v>Site 05</v>
      </c>
      <c r="AB265" s="51" t="str">
        <f>'Phase-Resource Allocation'!$B$140</f>
        <v>Functional Review</v>
      </c>
      <c r="AC265" s="51" t="str">
        <f>'Phase-Resource Allocation'!$C$140</f>
        <v>SAP Integrations Lead</v>
      </c>
      <c r="AD265" s="60">
        <f>'Phase-Resource Allocation'!$D$140</f>
        <v>0.5</v>
      </c>
      <c r="AE265" s="51">
        <f>IFERROR(INDEX('02_SCHEDULE'!$K$5:$K$124,MATCH(AA265&amp;"|"&amp;AB265,'02_SCHEDULE'!$M$5:$M$124,0)),0)</f>
        <v>22</v>
      </c>
      <c r="AF265" s="51">
        <f>IFERROR(INDEX('02_SCHEDULE'!$L$5:$L$124,MATCH(AA265&amp;"|"&amp;AB265,'02_SCHEDULE'!$M$5:$M$124,0)),0)</f>
        <v>22</v>
      </c>
      <c r="AG265" s="51">
        <f t="shared" si="26"/>
        <v>0.5</v>
      </c>
    </row>
    <row r="266" spans="27:33" x14ac:dyDescent="0.3">
      <c r="AA266" s="51" t="str">
        <f>'Sites Master'!$B$6</f>
        <v>Site 05</v>
      </c>
      <c r="AB266" s="51" t="str">
        <f>'Phase-Resource Allocation'!$B$141</f>
        <v>Functional Review</v>
      </c>
      <c r="AC266" s="51" t="str">
        <f>'Phase-Resource Allocation'!$C$141</f>
        <v>SAP Integrations Specialist</v>
      </c>
      <c r="AD266" s="60">
        <f>'Phase-Resource Allocation'!$D$141</f>
        <v>0.5</v>
      </c>
      <c r="AE266" s="51">
        <f>IFERROR(INDEX('02_SCHEDULE'!$K$5:$K$124,MATCH(AA266&amp;"|"&amp;AB266,'02_SCHEDULE'!$M$5:$M$124,0)),0)</f>
        <v>22</v>
      </c>
      <c r="AF266" s="51">
        <f>IFERROR(INDEX('02_SCHEDULE'!$L$5:$L$124,MATCH(AA266&amp;"|"&amp;AB266,'02_SCHEDULE'!$M$5:$M$124,0)),0)</f>
        <v>22</v>
      </c>
      <c r="AG266" s="51">
        <f t="shared" si="26"/>
        <v>0.5</v>
      </c>
    </row>
    <row r="267" spans="27:33" x14ac:dyDescent="0.3">
      <c r="AA267" s="51" t="str">
        <f>'Sites Master'!$B$6</f>
        <v>Site 05</v>
      </c>
      <c r="AB267" s="51" t="str">
        <f>'Phase-Resource Allocation'!$B$142</f>
        <v>Functional Review</v>
      </c>
      <c r="AC267" s="51" t="str">
        <f>'Phase-Resource Allocation'!$C$142</f>
        <v>Azure Lead</v>
      </c>
      <c r="AD267" s="60">
        <f>'Phase-Resource Allocation'!$D$142</f>
        <v>0.5</v>
      </c>
      <c r="AE267" s="51">
        <f>IFERROR(INDEX('02_SCHEDULE'!$K$5:$K$124,MATCH(AA267&amp;"|"&amp;AB267,'02_SCHEDULE'!$M$5:$M$124,0)),0)</f>
        <v>22</v>
      </c>
      <c r="AF267" s="51">
        <f>IFERROR(INDEX('02_SCHEDULE'!$L$5:$L$124,MATCH(AA267&amp;"|"&amp;AB267,'02_SCHEDULE'!$M$5:$M$124,0)),0)</f>
        <v>22</v>
      </c>
      <c r="AG267" s="51">
        <f t="shared" si="26"/>
        <v>0.5</v>
      </c>
    </row>
    <row r="268" spans="27:33" x14ac:dyDescent="0.3">
      <c r="AA268" s="51" t="str">
        <f>'Sites Master'!$B$6</f>
        <v>Site 05</v>
      </c>
      <c r="AB268" s="51" t="str">
        <f>'Phase-Resource Allocation'!$B$143</f>
        <v>Functional Review</v>
      </c>
      <c r="AC268" s="51" t="str">
        <f>'Phase-Resource Allocation'!$C$143</f>
        <v>Azure Specialist</v>
      </c>
      <c r="AD268" s="60">
        <f>'Phase-Resource Allocation'!$D$143</f>
        <v>0.5</v>
      </c>
      <c r="AE268" s="51">
        <f>IFERROR(INDEX('02_SCHEDULE'!$K$5:$K$124,MATCH(AA268&amp;"|"&amp;AB268,'02_SCHEDULE'!$M$5:$M$124,0)),0)</f>
        <v>22</v>
      </c>
      <c r="AF268" s="51">
        <f>IFERROR(INDEX('02_SCHEDULE'!$L$5:$L$124,MATCH(AA268&amp;"|"&amp;AB268,'02_SCHEDULE'!$M$5:$M$124,0)),0)</f>
        <v>22</v>
      </c>
      <c r="AG268" s="51">
        <f t="shared" si="26"/>
        <v>0.5</v>
      </c>
    </row>
    <row r="269" spans="27:33" x14ac:dyDescent="0.3">
      <c r="AA269" s="51" t="str">
        <f>'Sites Master'!$B$6</f>
        <v>Site 05</v>
      </c>
      <c r="AB269" s="51" t="str">
        <f>'Phase-Resource Allocation'!$B$144</f>
        <v>Functional Review</v>
      </c>
      <c r="AC269" s="51" t="str">
        <f>'Phase-Resource Allocation'!$C$144</f>
        <v>Testing Lead</v>
      </c>
      <c r="AD269" s="60">
        <f>'Phase-Resource Allocation'!$D$144</f>
        <v>0.5</v>
      </c>
      <c r="AE269" s="51">
        <f>IFERROR(INDEX('02_SCHEDULE'!$K$5:$K$124,MATCH(AA269&amp;"|"&amp;AB269,'02_SCHEDULE'!$M$5:$M$124,0)),0)</f>
        <v>22</v>
      </c>
      <c r="AF269" s="51">
        <f>IFERROR(INDEX('02_SCHEDULE'!$L$5:$L$124,MATCH(AA269&amp;"|"&amp;AB269,'02_SCHEDULE'!$M$5:$M$124,0)),0)</f>
        <v>22</v>
      </c>
      <c r="AG269" s="51">
        <f t="shared" si="26"/>
        <v>0.5</v>
      </c>
    </row>
    <row r="270" spans="27:33" x14ac:dyDescent="0.3">
      <c r="AA270" s="51" t="str">
        <f>'Sites Master'!$B$6</f>
        <v>Site 05</v>
      </c>
      <c r="AB270" s="51" t="str">
        <f>'Phase-Resource Allocation'!$B$145</f>
        <v>Functional Review</v>
      </c>
      <c r="AC270" s="51" t="str">
        <f>'Phase-Resource Allocation'!$C$145</f>
        <v>Functional Lead</v>
      </c>
      <c r="AD270" s="60">
        <f>'Phase-Resource Allocation'!$D$145</f>
        <v>1</v>
      </c>
      <c r="AE270" s="51">
        <f>IFERROR(INDEX('02_SCHEDULE'!$K$5:$K$124,MATCH(AA270&amp;"|"&amp;AB270,'02_SCHEDULE'!$M$5:$M$124,0)),0)</f>
        <v>22</v>
      </c>
      <c r="AF270" s="51">
        <f>IFERROR(INDEX('02_SCHEDULE'!$L$5:$L$124,MATCH(AA270&amp;"|"&amp;AB270,'02_SCHEDULE'!$M$5:$M$124,0)),0)</f>
        <v>22</v>
      </c>
      <c r="AG270" s="51">
        <f t="shared" si="26"/>
        <v>1</v>
      </c>
    </row>
    <row r="271" spans="27:33" x14ac:dyDescent="0.3">
      <c r="AA271" s="51" t="str">
        <f>'Sites Master'!$B$6</f>
        <v>Site 05</v>
      </c>
      <c r="AB271" s="51" t="str">
        <f>'Phase-Resource Allocation'!$B$146</f>
        <v>Functional Review</v>
      </c>
      <c r="AC271" s="51" t="str">
        <f>'Phase-Resource Allocation'!$C$146</f>
        <v>Trainers</v>
      </c>
      <c r="AD271" s="60">
        <f>'Phase-Resource Allocation'!$D$146</f>
        <v>1</v>
      </c>
      <c r="AE271" s="51">
        <f>IFERROR(INDEX('02_SCHEDULE'!$K$5:$K$124,MATCH(AA271&amp;"|"&amp;AB271,'02_SCHEDULE'!$M$5:$M$124,0)),0)</f>
        <v>22</v>
      </c>
      <c r="AF271" s="51">
        <f>IFERROR(INDEX('02_SCHEDULE'!$L$5:$L$124,MATCH(AA271&amp;"|"&amp;AB271,'02_SCHEDULE'!$M$5:$M$124,0)),0)</f>
        <v>22</v>
      </c>
      <c r="AG271" s="51">
        <f t="shared" si="26"/>
        <v>1</v>
      </c>
    </row>
    <row r="272" spans="27:33" x14ac:dyDescent="0.3">
      <c r="AA272" s="51" t="str">
        <f>'Sites Master'!$B$6</f>
        <v>Site 05</v>
      </c>
      <c r="AB272" s="51" t="str">
        <f>'Phase-Resource Allocation'!$B$147</f>
        <v>UAT</v>
      </c>
      <c r="AC272" s="51" t="str">
        <f>'Phase-Resource Allocation'!$C$147</f>
        <v>Solution Architect</v>
      </c>
      <c r="AD272" s="60">
        <f>'Phase-Resource Allocation'!$D$147</f>
        <v>0.5</v>
      </c>
      <c r="AE272" s="51">
        <f>IFERROR(INDEX('02_SCHEDULE'!$K$5:$K$124,MATCH(AA272&amp;"|"&amp;AB272,'02_SCHEDULE'!$M$5:$M$124,0)),0)</f>
        <v>23</v>
      </c>
      <c r="AF272" s="51">
        <f>IFERROR(INDEX('02_SCHEDULE'!$L$5:$L$124,MATCH(AA272&amp;"|"&amp;AB272,'02_SCHEDULE'!$M$5:$M$124,0)),0)</f>
        <v>23</v>
      </c>
      <c r="AG272" s="51">
        <f t="shared" si="26"/>
        <v>0.5</v>
      </c>
    </row>
    <row r="273" spans="27:33" x14ac:dyDescent="0.3">
      <c r="AA273" s="51" t="str">
        <f>'Sites Master'!$B$6</f>
        <v>Site 05</v>
      </c>
      <c r="AB273" s="51" t="str">
        <f>'Phase-Resource Allocation'!$B$148</f>
        <v>UAT</v>
      </c>
      <c r="AC273" s="51" t="str">
        <f>'Phase-Resource Allocation'!$C$148</f>
        <v>Change Management Lead</v>
      </c>
      <c r="AD273" s="60">
        <f>'Phase-Resource Allocation'!$D$148</f>
        <v>1</v>
      </c>
      <c r="AE273" s="51">
        <f>IFERROR(INDEX('02_SCHEDULE'!$K$5:$K$124,MATCH(AA273&amp;"|"&amp;AB273,'02_SCHEDULE'!$M$5:$M$124,0)),0)</f>
        <v>23</v>
      </c>
      <c r="AF273" s="51">
        <f>IFERROR(INDEX('02_SCHEDULE'!$L$5:$L$124,MATCH(AA273&amp;"|"&amp;AB273,'02_SCHEDULE'!$M$5:$M$124,0)),0)</f>
        <v>23</v>
      </c>
      <c r="AG273" s="51">
        <f t="shared" si="26"/>
        <v>1</v>
      </c>
    </row>
    <row r="274" spans="27:33" x14ac:dyDescent="0.3">
      <c r="AA274" s="51" t="str">
        <f>'Sites Master'!$B$6</f>
        <v>Site 05</v>
      </c>
      <c r="AB274" s="51" t="str">
        <f>'Phase-Resource Allocation'!$B$149</f>
        <v>UAT</v>
      </c>
      <c r="AC274" s="51" t="str">
        <f>'Phase-Resource Allocation'!$C$149</f>
        <v>SAP Integrations Lead</v>
      </c>
      <c r="AD274" s="60">
        <f>'Phase-Resource Allocation'!$D$149</f>
        <v>0.5</v>
      </c>
      <c r="AE274" s="51">
        <f>IFERROR(INDEX('02_SCHEDULE'!$K$5:$K$124,MATCH(AA274&amp;"|"&amp;AB274,'02_SCHEDULE'!$M$5:$M$124,0)),0)</f>
        <v>23</v>
      </c>
      <c r="AF274" s="51">
        <f>IFERROR(INDEX('02_SCHEDULE'!$L$5:$L$124,MATCH(AA274&amp;"|"&amp;AB274,'02_SCHEDULE'!$M$5:$M$124,0)),0)</f>
        <v>23</v>
      </c>
      <c r="AG274" s="51">
        <f t="shared" si="26"/>
        <v>0.5</v>
      </c>
    </row>
    <row r="275" spans="27:33" x14ac:dyDescent="0.3">
      <c r="AA275" s="51" t="str">
        <f>'Sites Master'!$B$6</f>
        <v>Site 05</v>
      </c>
      <c r="AB275" s="51" t="str">
        <f>'Phase-Resource Allocation'!$B$150</f>
        <v>UAT</v>
      </c>
      <c r="AC275" s="51" t="str">
        <f>'Phase-Resource Allocation'!$C$150</f>
        <v>SAP Integrations Specialist</v>
      </c>
      <c r="AD275" s="60">
        <f>'Phase-Resource Allocation'!$D$150</f>
        <v>0.5</v>
      </c>
      <c r="AE275" s="51">
        <f>IFERROR(INDEX('02_SCHEDULE'!$K$5:$K$124,MATCH(AA275&amp;"|"&amp;AB275,'02_SCHEDULE'!$M$5:$M$124,0)),0)</f>
        <v>23</v>
      </c>
      <c r="AF275" s="51">
        <f>IFERROR(INDEX('02_SCHEDULE'!$L$5:$L$124,MATCH(AA275&amp;"|"&amp;AB275,'02_SCHEDULE'!$M$5:$M$124,0)),0)</f>
        <v>23</v>
      </c>
      <c r="AG275" s="51">
        <f t="shared" si="26"/>
        <v>0.5</v>
      </c>
    </row>
    <row r="276" spans="27:33" x14ac:dyDescent="0.3">
      <c r="AA276" s="51" t="str">
        <f>'Sites Master'!$B$6</f>
        <v>Site 05</v>
      </c>
      <c r="AB276" s="51" t="str">
        <f>'Phase-Resource Allocation'!$B$151</f>
        <v>UAT</v>
      </c>
      <c r="AC276" s="51" t="str">
        <f>'Phase-Resource Allocation'!$C$151</f>
        <v>Azure Lead</v>
      </c>
      <c r="AD276" s="60">
        <f>'Phase-Resource Allocation'!$D$151</f>
        <v>0.5</v>
      </c>
      <c r="AE276" s="51">
        <f>IFERROR(INDEX('02_SCHEDULE'!$K$5:$K$124,MATCH(AA276&amp;"|"&amp;AB276,'02_SCHEDULE'!$M$5:$M$124,0)),0)</f>
        <v>23</v>
      </c>
      <c r="AF276" s="51">
        <f>IFERROR(INDEX('02_SCHEDULE'!$L$5:$L$124,MATCH(AA276&amp;"|"&amp;AB276,'02_SCHEDULE'!$M$5:$M$124,0)),0)</f>
        <v>23</v>
      </c>
      <c r="AG276" s="51">
        <f t="shared" si="26"/>
        <v>0.5</v>
      </c>
    </row>
    <row r="277" spans="27:33" x14ac:dyDescent="0.3">
      <c r="AA277" s="51" t="str">
        <f>'Sites Master'!$B$6</f>
        <v>Site 05</v>
      </c>
      <c r="AB277" s="51" t="str">
        <f>'Phase-Resource Allocation'!$B$152</f>
        <v>UAT</v>
      </c>
      <c r="AC277" s="51" t="str">
        <f>'Phase-Resource Allocation'!$C$152</f>
        <v>Azure Specialist</v>
      </c>
      <c r="AD277" s="60">
        <f>'Phase-Resource Allocation'!$D$152</f>
        <v>0.5</v>
      </c>
      <c r="AE277" s="51">
        <f>IFERROR(INDEX('02_SCHEDULE'!$K$5:$K$124,MATCH(AA277&amp;"|"&amp;AB277,'02_SCHEDULE'!$M$5:$M$124,0)),0)</f>
        <v>23</v>
      </c>
      <c r="AF277" s="51">
        <f>IFERROR(INDEX('02_SCHEDULE'!$L$5:$L$124,MATCH(AA277&amp;"|"&amp;AB277,'02_SCHEDULE'!$M$5:$M$124,0)),0)</f>
        <v>23</v>
      </c>
      <c r="AG277" s="51">
        <f t="shared" si="26"/>
        <v>0.5</v>
      </c>
    </row>
    <row r="278" spans="27:33" x14ac:dyDescent="0.3">
      <c r="AA278" s="51" t="str">
        <f>'Sites Master'!$B$6</f>
        <v>Site 05</v>
      </c>
      <c r="AB278" s="51" t="str">
        <f>'Phase-Resource Allocation'!$B$153</f>
        <v>UAT</v>
      </c>
      <c r="AC278" s="51" t="str">
        <f>'Phase-Resource Allocation'!$C$153</f>
        <v>Testing Lead</v>
      </c>
      <c r="AD278" s="60">
        <f>'Phase-Resource Allocation'!$D$153</f>
        <v>0.5</v>
      </c>
      <c r="AE278" s="51">
        <f>IFERROR(INDEX('02_SCHEDULE'!$K$5:$K$124,MATCH(AA278&amp;"|"&amp;AB278,'02_SCHEDULE'!$M$5:$M$124,0)),0)</f>
        <v>23</v>
      </c>
      <c r="AF278" s="51">
        <f>IFERROR(INDEX('02_SCHEDULE'!$L$5:$L$124,MATCH(AA278&amp;"|"&amp;AB278,'02_SCHEDULE'!$M$5:$M$124,0)),0)</f>
        <v>23</v>
      </c>
      <c r="AG278" s="51">
        <f t="shared" si="26"/>
        <v>0.5</v>
      </c>
    </row>
    <row r="279" spans="27:33" x14ac:dyDescent="0.3">
      <c r="AA279" s="51" t="str">
        <f>'Sites Master'!$B$6</f>
        <v>Site 05</v>
      </c>
      <c r="AB279" s="51" t="str">
        <f>'Phase-Resource Allocation'!$B$154</f>
        <v>UAT</v>
      </c>
      <c r="AC279" s="51" t="str">
        <f>'Phase-Resource Allocation'!$C$154</f>
        <v>Functional Lead</v>
      </c>
      <c r="AD279" s="60">
        <f>'Phase-Resource Allocation'!$D$154</f>
        <v>1</v>
      </c>
      <c r="AE279" s="51">
        <f>IFERROR(INDEX('02_SCHEDULE'!$K$5:$K$124,MATCH(AA279&amp;"|"&amp;AB279,'02_SCHEDULE'!$M$5:$M$124,0)),0)</f>
        <v>23</v>
      </c>
      <c r="AF279" s="51">
        <f>IFERROR(INDEX('02_SCHEDULE'!$L$5:$L$124,MATCH(AA279&amp;"|"&amp;AB279,'02_SCHEDULE'!$M$5:$M$124,0)),0)</f>
        <v>23</v>
      </c>
      <c r="AG279" s="51">
        <f t="shared" si="26"/>
        <v>1</v>
      </c>
    </row>
    <row r="280" spans="27:33" x14ac:dyDescent="0.3">
      <c r="AA280" s="51" t="str">
        <f>'Sites Master'!$B$6</f>
        <v>Site 05</v>
      </c>
      <c r="AB280" s="51" t="str">
        <f>'Phase-Resource Allocation'!$B$155</f>
        <v>UAT</v>
      </c>
      <c r="AC280" s="51" t="str">
        <f>'Phase-Resource Allocation'!$C$155</f>
        <v>Trainers</v>
      </c>
      <c r="AD280" s="60">
        <f>'Phase-Resource Allocation'!$D$155</f>
        <v>1</v>
      </c>
      <c r="AE280" s="51">
        <f>IFERROR(INDEX('02_SCHEDULE'!$K$5:$K$124,MATCH(AA280&amp;"|"&amp;AB280,'02_SCHEDULE'!$M$5:$M$124,0)),0)</f>
        <v>23</v>
      </c>
      <c r="AF280" s="51">
        <f>IFERROR(INDEX('02_SCHEDULE'!$L$5:$L$124,MATCH(AA280&amp;"|"&amp;AB280,'02_SCHEDULE'!$M$5:$M$124,0)),0)</f>
        <v>23</v>
      </c>
      <c r="AG280" s="51">
        <f t="shared" si="26"/>
        <v>1</v>
      </c>
    </row>
    <row r="281" spans="27:33" x14ac:dyDescent="0.3">
      <c r="AA281" s="51" t="str">
        <f>'Sites Master'!$B$6</f>
        <v>Site 05</v>
      </c>
      <c r="AB281" s="51" t="str">
        <f>'Phase-Resource Allocation'!$B$156</f>
        <v>Training</v>
      </c>
      <c r="AC281" s="51" t="str">
        <f>'Phase-Resource Allocation'!$C$156</f>
        <v>Change Management Lead</v>
      </c>
      <c r="AD281" s="60">
        <f>'Phase-Resource Allocation'!$D$156</f>
        <v>1</v>
      </c>
      <c r="AE281" s="51">
        <f>IFERROR(INDEX('02_SCHEDULE'!$K$5:$K$124,MATCH(AA281&amp;"|"&amp;AB281,'02_SCHEDULE'!$M$5:$M$124,0)),0)</f>
        <v>24</v>
      </c>
      <c r="AF281" s="51">
        <f>IFERROR(INDEX('02_SCHEDULE'!$L$5:$L$124,MATCH(AA281&amp;"|"&amp;AB281,'02_SCHEDULE'!$M$5:$M$124,0)),0)</f>
        <v>25</v>
      </c>
      <c r="AG281" s="51">
        <f t="shared" si="26"/>
        <v>2</v>
      </c>
    </row>
    <row r="282" spans="27:33" x14ac:dyDescent="0.3">
      <c r="AA282" s="51" t="str">
        <f>'Sites Master'!$B$6</f>
        <v>Site 05</v>
      </c>
      <c r="AB282" s="51" t="str">
        <f>'Phase-Resource Allocation'!$B$157</f>
        <v>Training</v>
      </c>
      <c r="AC282" s="51" t="str">
        <f>'Phase-Resource Allocation'!$C$157</f>
        <v>Trainers</v>
      </c>
      <c r="AD282" s="60">
        <f>'Phase-Resource Allocation'!$D$157</f>
        <v>1</v>
      </c>
      <c r="AE282" s="51">
        <f>IFERROR(INDEX('02_SCHEDULE'!$K$5:$K$124,MATCH(AA282&amp;"|"&amp;AB282,'02_SCHEDULE'!$M$5:$M$124,0)),0)</f>
        <v>24</v>
      </c>
      <c r="AF282" s="51">
        <f>IFERROR(INDEX('02_SCHEDULE'!$L$5:$L$124,MATCH(AA282&amp;"|"&amp;AB282,'02_SCHEDULE'!$M$5:$M$124,0)),0)</f>
        <v>25</v>
      </c>
      <c r="AG282" s="51">
        <f t="shared" si="26"/>
        <v>2</v>
      </c>
    </row>
    <row r="283" spans="27:33" x14ac:dyDescent="0.3">
      <c r="AA283" s="51" t="str">
        <f>'Sites Master'!$B$6</f>
        <v>Site 05</v>
      </c>
      <c r="AB283" s="51" t="str">
        <f>'Phase-Resource Allocation'!$B$158</f>
        <v>DIALT</v>
      </c>
      <c r="AC283" s="51" t="str">
        <f>'Phase-Resource Allocation'!$C$158</f>
        <v>Solution Architect</v>
      </c>
      <c r="AD283" s="60">
        <f>'Phase-Resource Allocation'!$D$158</f>
        <v>0.5</v>
      </c>
      <c r="AE283" s="51">
        <f>IFERROR(INDEX('02_SCHEDULE'!$K$5:$K$124,MATCH(AA283&amp;"|"&amp;AB283,'02_SCHEDULE'!$M$5:$M$124,0)),0)</f>
        <v>26</v>
      </c>
      <c r="AF283" s="51">
        <f>IFERROR(INDEX('02_SCHEDULE'!$L$5:$L$124,MATCH(AA283&amp;"|"&amp;AB283,'02_SCHEDULE'!$M$5:$M$124,0)),0)</f>
        <v>26</v>
      </c>
      <c r="AG283" s="51">
        <f t="shared" si="26"/>
        <v>0.5</v>
      </c>
    </row>
    <row r="284" spans="27:33" x14ac:dyDescent="0.3">
      <c r="AA284" s="51" t="str">
        <f>'Sites Master'!$B$6</f>
        <v>Site 05</v>
      </c>
      <c r="AB284" s="51" t="str">
        <f>'Phase-Resource Allocation'!$B$159</f>
        <v>DIALT</v>
      </c>
      <c r="AC284" s="51" t="str">
        <f>'Phase-Resource Allocation'!$C$159</f>
        <v>Change Management Lead</v>
      </c>
      <c r="AD284" s="60">
        <f>'Phase-Resource Allocation'!$D$159</f>
        <v>1</v>
      </c>
      <c r="AE284" s="51">
        <f>IFERROR(INDEX('02_SCHEDULE'!$K$5:$K$124,MATCH(AA284&amp;"|"&amp;AB284,'02_SCHEDULE'!$M$5:$M$124,0)),0)</f>
        <v>26</v>
      </c>
      <c r="AF284" s="51">
        <f>IFERROR(INDEX('02_SCHEDULE'!$L$5:$L$124,MATCH(AA284&amp;"|"&amp;AB284,'02_SCHEDULE'!$M$5:$M$124,0)),0)</f>
        <v>26</v>
      </c>
      <c r="AG284" s="51">
        <f t="shared" si="26"/>
        <v>1</v>
      </c>
    </row>
    <row r="285" spans="27:33" x14ac:dyDescent="0.3">
      <c r="AA285" s="51" t="str">
        <f>'Sites Master'!$B$6</f>
        <v>Site 05</v>
      </c>
      <c r="AB285" s="51" t="str">
        <f>'Phase-Resource Allocation'!$B$160</f>
        <v>DIALT</v>
      </c>
      <c r="AC285" s="51" t="str">
        <f>'Phase-Resource Allocation'!$C$160</f>
        <v>Azure Lead</v>
      </c>
      <c r="AD285" s="60">
        <f>'Phase-Resource Allocation'!$D$160</f>
        <v>0.75</v>
      </c>
      <c r="AE285" s="51">
        <f>IFERROR(INDEX('02_SCHEDULE'!$K$5:$K$124,MATCH(AA285&amp;"|"&amp;AB285,'02_SCHEDULE'!$M$5:$M$124,0)),0)</f>
        <v>26</v>
      </c>
      <c r="AF285" s="51">
        <f>IFERROR(INDEX('02_SCHEDULE'!$L$5:$L$124,MATCH(AA285&amp;"|"&amp;AB285,'02_SCHEDULE'!$M$5:$M$124,0)),0)</f>
        <v>26</v>
      </c>
      <c r="AG285" s="51">
        <f t="shared" si="26"/>
        <v>0.75</v>
      </c>
    </row>
    <row r="286" spans="27:33" x14ac:dyDescent="0.3">
      <c r="AA286" s="51" t="str">
        <f>'Sites Master'!$B$6</f>
        <v>Site 05</v>
      </c>
      <c r="AB286" s="51" t="str">
        <f>'Phase-Resource Allocation'!$B$161</f>
        <v>DIALT</v>
      </c>
      <c r="AC286" s="51" t="str">
        <f>'Phase-Resource Allocation'!$C$161</f>
        <v>Azure Specialist</v>
      </c>
      <c r="AD286" s="60">
        <f>'Phase-Resource Allocation'!$D$161</f>
        <v>0.75</v>
      </c>
      <c r="AE286" s="51">
        <f>IFERROR(INDEX('02_SCHEDULE'!$K$5:$K$124,MATCH(AA286&amp;"|"&amp;AB286,'02_SCHEDULE'!$M$5:$M$124,0)),0)</f>
        <v>26</v>
      </c>
      <c r="AF286" s="51">
        <f>IFERROR(INDEX('02_SCHEDULE'!$L$5:$L$124,MATCH(AA286&amp;"|"&amp;AB286,'02_SCHEDULE'!$M$5:$M$124,0)),0)</f>
        <v>26</v>
      </c>
      <c r="AG286" s="51">
        <f t="shared" si="26"/>
        <v>0.75</v>
      </c>
    </row>
    <row r="287" spans="27:33" x14ac:dyDescent="0.3">
      <c r="AA287" s="51" t="str">
        <f>'Sites Master'!$B$6</f>
        <v>Site 05</v>
      </c>
      <c r="AB287" s="51" t="str">
        <f>'Phase-Resource Allocation'!$B$162</f>
        <v>DIALT</v>
      </c>
      <c r="AC287" s="51" t="str">
        <f>'Phase-Resource Allocation'!$C$162</f>
        <v>Functional Lead</v>
      </c>
      <c r="AD287" s="60">
        <f>'Phase-Resource Allocation'!$D$162</f>
        <v>1</v>
      </c>
      <c r="AE287" s="51">
        <f>IFERROR(INDEX('02_SCHEDULE'!$K$5:$K$124,MATCH(AA287&amp;"|"&amp;AB287,'02_SCHEDULE'!$M$5:$M$124,0)),0)</f>
        <v>26</v>
      </c>
      <c r="AF287" s="51">
        <f>IFERROR(INDEX('02_SCHEDULE'!$L$5:$L$124,MATCH(AA287&amp;"|"&amp;AB287,'02_SCHEDULE'!$M$5:$M$124,0)),0)</f>
        <v>26</v>
      </c>
      <c r="AG287" s="51">
        <f t="shared" si="26"/>
        <v>1</v>
      </c>
    </row>
    <row r="288" spans="27:33" x14ac:dyDescent="0.3">
      <c r="AA288" s="51" t="str">
        <f>'Sites Master'!$B$6</f>
        <v>Site 05</v>
      </c>
      <c r="AB288" s="51" t="str">
        <f>'Phase-Resource Allocation'!$B$163</f>
        <v>DIALT</v>
      </c>
      <c r="AC288" s="51" t="str">
        <f>'Phase-Resource Allocation'!$C$163</f>
        <v>Trainers</v>
      </c>
      <c r="AD288" s="60">
        <f>'Phase-Resource Allocation'!$D$163</f>
        <v>1</v>
      </c>
      <c r="AE288" s="51">
        <f>IFERROR(INDEX('02_SCHEDULE'!$K$5:$K$124,MATCH(AA288&amp;"|"&amp;AB288,'02_SCHEDULE'!$M$5:$M$124,0)),0)</f>
        <v>26</v>
      </c>
      <c r="AF288" s="51">
        <f>IFERROR(INDEX('02_SCHEDULE'!$L$5:$L$124,MATCH(AA288&amp;"|"&amp;AB288,'02_SCHEDULE'!$M$5:$M$124,0)),0)</f>
        <v>26</v>
      </c>
      <c r="AG288" s="51">
        <f t="shared" si="26"/>
        <v>1</v>
      </c>
    </row>
    <row r="289" spans="27:33" x14ac:dyDescent="0.3">
      <c r="AA289" s="51" t="str">
        <f>'Sites Master'!$B$6</f>
        <v>Site 05</v>
      </c>
      <c r="AB289" s="51" t="str">
        <f>'Phase-Resource Allocation'!$B$164</f>
        <v>DIALT</v>
      </c>
      <c r="AC289" s="51" t="str">
        <f>'Phase-Resource Allocation'!$C$164</f>
        <v>Functional Lead Vendor A</v>
      </c>
      <c r="AD289" s="60">
        <f>'Phase-Resource Allocation'!$D$164</f>
        <v>1</v>
      </c>
      <c r="AE289" s="51">
        <f>IFERROR(INDEX('02_SCHEDULE'!$K$5:$K$124,MATCH(AA289&amp;"|"&amp;AB289,'02_SCHEDULE'!$M$5:$M$124,0)),0)</f>
        <v>26</v>
      </c>
      <c r="AF289" s="51">
        <f>IFERROR(INDEX('02_SCHEDULE'!$L$5:$L$124,MATCH(AA289&amp;"|"&amp;AB289,'02_SCHEDULE'!$M$5:$M$124,0)),0)</f>
        <v>26</v>
      </c>
      <c r="AG289" s="51">
        <f t="shared" si="26"/>
        <v>1</v>
      </c>
    </row>
    <row r="290" spans="27:33" x14ac:dyDescent="0.3">
      <c r="AA290" s="51" t="str">
        <f>'Sites Master'!$B$6</f>
        <v>Site 05</v>
      </c>
      <c r="AB290" s="51" t="str">
        <f>'Phase-Resource Allocation'!$B$165</f>
        <v>Go Live</v>
      </c>
      <c r="AC290" s="51" t="str">
        <f>'Phase-Resource Allocation'!$C$165</f>
        <v>Solution Architect</v>
      </c>
      <c r="AD290" s="60">
        <f>'Phase-Resource Allocation'!$D$165</f>
        <v>1</v>
      </c>
      <c r="AE290" s="51">
        <f>IFERROR(INDEX('02_SCHEDULE'!$K$5:$K$124,MATCH(AA290&amp;"|"&amp;AB290,'02_SCHEDULE'!$M$5:$M$124,0)),0)</f>
        <v>27</v>
      </c>
      <c r="AF290" s="51">
        <f>IFERROR(INDEX('02_SCHEDULE'!$L$5:$L$124,MATCH(AA290&amp;"|"&amp;AB290,'02_SCHEDULE'!$M$5:$M$124,0)),0)</f>
        <v>27</v>
      </c>
      <c r="AG290" s="51">
        <f t="shared" si="26"/>
        <v>1</v>
      </c>
    </row>
    <row r="291" spans="27:33" x14ac:dyDescent="0.3">
      <c r="AA291" s="51" t="str">
        <f>'Sites Master'!$B$6</f>
        <v>Site 05</v>
      </c>
      <c r="AB291" s="51" t="str">
        <f>'Phase-Resource Allocation'!$B$166</f>
        <v>Go Live</v>
      </c>
      <c r="AC291" s="51" t="str">
        <f>'Phase-Resource Allocation'!$C$166</f>
        <v>Change Management Lead</v>
      </c>
      <c r="AD291" s="60">
        <f>'Phase-Resource Allocation'!$D$166</f>
        <v>1</v>
      </c>
      <c r="AE291" s="51">
        <f>IFERROR(INDEX('02_SCHEDULE'!$K$5:$K$124,MATCH(AA291&amp;"|"&amp;AB291,'02_SCHEDULE'!$M$5:$M$124,0)),0)</f>
        <v>27</v>
      </c>
      <c r="AF291" s="51">
        <f>IFERROR(INDEX('02_SCHEDULE'!$L$5:$L$124,MATCH(AA291&amp;"|"&amp;AB291,'02_SCHEDULE'!$M$5:$M$124,0)),0)</f>
        <v>27</v>
      </c>
      <c r="AG291" s="51">
        <f t="shared" si="26"/>
        <v>1</v>
      </c>
    </row>
    <row r="292" spans="27:33" x14ac:dyDescent="0.3">
      <c r="AA292" s="51" t="str">
        <f>'Sites Master'!$B$6</f>
        <v>Site 05</v>
      </c>
      <c r="AB292" s="51" t="str">
        <f>'Phase-Resource Allocation'!$B$167</f>
        <v>Go Live</v>
      </c>
      <c r="AC292" s="51" t="str">
        <f>'Phase-Resource Allocation'!$C$167</f>
        <v>SAP Integrations Lead</v>
      </c>
      <c r="AD292" s="60">
        <f>'Phase-Resource Allocation'!$D$167</f>
        <v>1</v>
      </c>
      <c r="AE292" s="51">
        <f>IFERROR(INDEX('02_SCHEDULE'!$K$5:$K$124,MATCH(AA292&amp;"|"&amp;AB292,'02_SCHEDULE'!$M$5:$M$124,0)),0)</f>
        <v>27</v>
      </c>
      <c r="AF292" s="51">
        <f>IFERROR(INDEX('02_SCHEDULE'!$L$5:$L$124,MATCH(AA292&amp;"|"&amp;AB292,'02_SCHEDULE'!$M$5:$M$124,0)),0)</f>
        <v>27</v>
      </c>
      <c r="AG292" s="51">
        <f t="shared" si="26"/>
        <v>1</v>
      </c>
    </row>
    <row r="293" spans="27:33" x14ac:dyDescent="0.3">
      <c r="AA293" s="51" t="str">
        <f>'Sites Master'!$B$6</f>
        <v>Site 05</v>
      </c>
      <c r="AB293" s="51" t="str">
        <f>'Phase-Resource Allocation'!$B$168</f>
        <v>Go Live</v>
      </c>
      <c r="AC293" s="51" t="str">
        <f>'Phase-Resource Allocation'!$C$168</f>
        <v>SAP Integrations Specialist</v>
      </c>
      <c r="AD293" s="60">
        <f>'Phase-Resource Allocation'!$D$168</f>
        <v>1</v>
      </c>
      <c r="AE293" s="51">
        <f>IFERROR(INDEX('02_SCHEDULE'!$K$5:$K$124,MATCH(AA293&amp;"|"&amp;AB293,'02_SCHEDULE'!$M$5:$M$124,0)),0)</f>
        <v>27</v>
      </c>
      <c r="AF293" s="51">
        <f>IFERROR(INDEX('02_SCHEDULE'!$L$5:$L$124,MATCH(AA293&amp;"|"&amp;AB293,'02_SCHEDULE'!$M$5:$M$124,0)),0)</f>
        <v>27</v>
      </c>
      <c r="AG293" s="51">
        <f t="shared" si="26"/>
        <v>1</v>
      </c>
    </row>
    <row r="294" spans="27:33" x14ac:dyDescent="0.3">
      <c r="AA294" s="51" t="str">
        <f>'Sites Master'!$B$6</f>
        <v>Site 05</v>
      </c>
      <c r="AB294" s="51" t="str">
        <f>'Phase-Resource Allocation'!$B$169</f>
        <v>Go Live</v>
      </c>
      <c r="AC294" s="51" t="str">
        <f>'Phase-Resource Allocation'!$C$169</f>
        <v>Azure Lead</v>
      </c>
      <c r="AD294" s="60">
        <f>'Phase-Resource Allocation'!$D$169</f>
        <v>1</v>
      </c>
      <c r="AE294" s="51">
        <f>IFERROR(INDEX('02_SCHEDULE'!$K$5:$K$124,MATCH(AA294&amp;"|"&amp;AB294,'02_SCHEDULE'!$M$5:$M$124,0)),0)</f>
        <v>27</v>
      </c>
      <c r="AF294" s="51">
        <f>IFERROR(INDEX('02_SCHEDULE'!$L$5:$L$124,MATCH(AA294&amp;"|"&amp;AB294,'02_SCHEDULE'!$M$5:$M$124,0)),0)</f>
        <v>27</v>
      </c>
      <c r="AG294" s="51">
        <f t="shared" si="26"/>
        <v>1</v>
      </c>
    </row>
    <row r="295" spans="27:33" x14ac:dyDescent="0.3">
      <c r="AA295" s="51" t="str">
        <f>'Sites Master'!$B$6</f>
        <v>Site 05</v>
      </c>
      <c r="AB295" s="51" t="str">
        <f>'Phase-Resource Allocation'!$B$170</f>
        <v>Go Live</v>
      </c>
      <c r="AC295" s="51" t="str">
        <f>'Phase-Resource Allocation'!$C$170</f>
        <v>Azure Specialist</v>
      </c>
      <c r="AD295" s="60">
        <f>'Phase-Resource Allocation'!$D$170</f>
        <v>1</v>
      </c>
      <c r="AE295" s="51">
        <f>IFERROR(INDEX('02_SCHEDULE'!$K$5:$K$124,MATCH(AA295&amp;"|"&amp;AB295,'02_SCHEDULE'!$M$5:$M$124,0)),0)</f>
        <v>27</v>
      </c>
      <c r="AF295" s="51">
        <f>IFERROR(INDEX('02_SCHEDULE'!$L$5:$L$124,MATCH(AA295&amp;"|"&amp;AB295,'02_SCHEDULE'!$M$5:$M$124,0)),0)</f>
        <v>27</v>
      </c>
      <c r="AG295" s="51">
        <f t="shared" si="26"/>
        <v>1</v>
      </c>
    </row>
    <row r="296" spans="27:33" x14ac:dyDescent="0.3">
      <c r="AA296" s="51" t="str">
        <f>'Sites Master'!$B$6</f>
        <v>Site 05</v>
      </c>
      <c r="AB296" s="51" t="str">
        <f>'Phase-Resource Allocation'!$B$171</f>
        <v>Go Live</v>
      </c>
      <c r="AC296" s="51" t="str">
        <f>'Phase-Resource Allocation'!$C$171</f>
        <v>Functional Lead</v>
      </c>
      <c r="AD296" s="60">
        <f>'Phase-Resource Allocation'!$D$171</f>
        <v>1</v>
      </c>
      <c r="AE296" s="51">
        <f>IFERROR(INDEX('02_SCHEDULE'!$K$5:$K$124,MATCH(AA296&amp;"|"&amp;AB296,'02_SCHEDULE'!$M$5:$M$124,0)),0)</f>
        <v>27</v>
      </c>
      <c r="AF296" s="51">
        <f>IFERROR(INDEX('02_SCHEDULE'!$L$5:$L$124,MATCH(AA296&amp;"|"&amp;AB296,'02_SCHEDULE'!$M$5:$M$124,0)),0)</f>
        <v>27</v>
      </c>
      <c r="AG296" s="51">
        <f t="shared" si="26"/>
        <v>1</v>
      </c>
    </row>
    <row r="297" spans="27:33" x14ac:dyDescent="0.3">
      <c r="AA297" s="51" t="str">
        <f>'Sites Master'!$B$6</f>
        <v>Site 05</v>
      </c>
      <c r="AB297" s="51" t="str">
        <f>'Phase-Resource Allocation'!$B$172</f>
        <v>Go Live</v>
      </c>
      <c r="AC297" s="51" t="str">
        <f>'Phase-Resource Allocation'!$C$172</f>
        <v>Trainers</v>
      </c>
      <c r="AD297" s="60">
        <f>'Phase-Resource Allocation'!$D$172</f>
        <v>1</v>
      </c>
      <c r="AE297" s="51">
        <f>IFERROR(INDEX('02_SCHEDULE'!$K$5:$K$124,MATCH(AA297&amp;"|"&amp;AB297,'02_SCHEDULE'!$M$5:$M$124,0)),0)</f>
        <v>27</v>
      </c>
      <c r="AF297" s="51">
        <f>IFERROR(INDEX('02_SCHEDULE'!$L$5:$L$124,MATCH(AA297&amp;"|"&amp;AB297,'02_SCHEDULE'!$M$5:$M$124,0)),0)</f>
        <v>27</v>
      </c>
      <c r="AG297" s="51">
        <f t="shared" si="26"/>
        <v>1</v>
      </c>
    </row>
    <row r="298" spans="27:33" x14ac:dyDescent="0.3">
      <c r="AA298" s="51" t="str">
        <f>'Sites Master'!$B$6</f>
        <v>Site 05</v>
      </c>
      <c r="AB298" s="51" t="str">
        <f>'Phase-Resource Allocation'!$B$173</f>
        <v>Go Live</v>
      </c>
      <c r="AC298" s="51" t="str">
        <f>'Phase-Resource Allocation'!$C$173</f>
        <v>Infrastructure Lead</v>
      </c>
      <c r="AD298" s="60">
        <f>'Phase-Resource Allocation'!$D$173</f>
        <v>1</v>
      </c>
      <c r="AE298" s="51">
        <f>IFERROR(INDEX('02_SCHEDULE'!$K$5:$K$124,MATCH(AA298&amp;"|"&amp;AB298,'02_SCHEDULE'!$M$5:$M$124,0)),0)</f>
        <v>27</v>
      </c>
      <c r="AF298" s="51">
        <f>IFERROR(INDEX('02_SCHEDULE'!$L$5:$L$124,MATCH(AA298&amp;"|"&amp;AB298,'02_SCHEDULE'!$M$5:$M$124,0)),0)</f>
        <v>27</v>
      </c>
      <c r="AG298" s="51">
        <f t="shared" si="26"/>
        <v>1</v>
      </c>
    </row>
    <row r="299" spans="27:33" x14ac:dyDescent="0.3">
      <c r="AA299" s="51" t="str">
        <f>'Sites Master'!$B$6</f>
        <v>Site 05</v>
      </c>
      <c r="AB299" s="51" t="str">
        <f>'Phase-Resource Allocation'!$B$174</f>
        <v>Go Live</v>
      </c>
      <c r="AC299" s="51" t="str">
        <f>'Phase-Resource Allocation'!$C$174</f>
        <v>Functional Lead Vendor A</v>
      </c>
      <c r="AD299" s="60">
        <f>'Phase-Resource Allocation'!$D$174</f>
        <v>1</v>
      </c>
      <c r="AE299" s="51">
        <f>IFERROR(INDEX('02_SCHEDULE'!$K$5:$K$124,MATCH(AA299&amp;"|"&amp;AB299,'02_SCHEDULE'!$M$5:$M$124,0)),0)</f>
        <v>27</v>
      </c>
      <c r="AF299" s="51">
        <f>IFERROR(INDEX('02_SCHEDULE'!$L$5:$L$124,MATCH(AA299&amp;"|"&amp;AB299,'02_SCHEDULE'!$M$5:$M$124,0)),0)</f>
        <v>27</v>
      </c>
      <c r="AG299" s="51">
        <f t="shared" si="26"/>
        <v>1</v>
      </c>
    </row>
    <row r="300" spans="27:33" x14ac:dyDescent="0.3">
      <c r="AA300" s="51" t="str">
        <f>'Sites Master'!$B$6</f>
        <v>Site 05</v>
      </c>
      <c r="AB300" s="51" t="str">
        <f>'Phase-Resource Allocation'!$B$175</f>
        <v>Hypercare</v>
      </c>
      <c r="AC300" s="51" t="str">
        <f>'Phase-Resource Allocation'!$C$175</f>
        <v>Solution Architect</v>
      </c>
      <c r="AD300" s="60">
        <f>'Phase-Resource Allocation'!$D$175</f>
        <v>0.5</v>
      </c>
      <c r="AE300" s="51">
        <f>IFERROR(INDEX('02_SCHEDULE'!$K$5:$K$124,MATCH(AA300&amp;"|"&amp;AB300,'02_SCHEDULE'!$M$5:$M$124,0)),0)</f>
        <v>28</v>
      </c>
      <c r="AF300" s="51">
        <f>IFERROR(INDEX('02_SCHEDULE'!$L$5:$L$124,MATCH(AA300&amp;"|"&amp;AB300,'02_SCHEDULE'!$M$5:$M$124,0)),0)</f>
        <v>31</v>
      </c>
      <c r="AG300" s="51">
        <f t="shared" si="26"/>
        <v>2</v>
      </c>
    </row>
    <row r="301" spans="27:33" x14ac:dyDescent="0.3">
      <c r="AA301" s="51" t="str">
        <f>'Sites Master'!$B$6</f>
        <v>Site 05</v>
      </c>
      <c r="AB301" s="51" t="str">
        <f>'Phase-Resource Allocation'!$B$176</f>
        <v>Hypercare</v>
      </c>
      <c r="AC301" s="51" t="str">
        <f>'Phase-Resource Allocation'!$C$176</f>
        <v>Change Management Lead</v>
      </c>
      <c r="AD301" s="60">
        <f>'Phase-Resource Allocation'!$D$176</f>
        <v>1</v>
      </c>
      <c r="AE301" s="51">
        <f>IFERROR(INDEX('02_SCHEDULE'!$K$5:$K$124,MATCH(AA301&amp;"|"&amp;AB301,'02_SCHEDULE'!$M$5:$M$124,0)),0)</f>
        <v>28</v>
      </c>
      <c r="AF301" s="51">
        <f>IFERROR(INDEX('02_SCHEDULE'!$L$5:$L$124,MATCH(AA301&amp;"|"&amp;AB301,'02_SCHEDULE'!$M$5:$M$124,0)),0)</f>
        <v>31</v>
      </c>
      <c r="AG301" s="51">
        <f t="shared" si="26"/>
        <v>4</v>
      </c>
    </row>
    <row r="302" spans="27:33" x14ac:dyDescent="0.3">
      <c r="AA302" s="51" t="str">
        <f>'Sites Master'!$B$6</f>
        <v>Site 05</v>
      </c>
      <c r="AB302" s="51" t="str">
        <f>'Phase-Resource Allocation'!$B$177</f>
        <v>Hypercare</v>
      </c>
      <c r="AC302" s="51" t="str">
        <f>'Phase-Resource Allocation'!$C$177</f>
        <v>SAP Integrations Lead</v>
      </c>
      <c r="AD302" s="60">
        <f>'Phase-Resource Allocation'!$D$177</f>
        <v>0.5</v>
      </c>
      <c r="AE302" s="51">
        <f>IFERROR(INDEX('02_SCHEDULE'!$K$5:$K$124,MATCH(AA302&amp;"|"&amp;AB302,'02_SCHEDULE'!$M$5:$M$124,0)),0)</f>
        <v>28</v>
      </c>
      <c r="AF302" s="51">
        <f>IFERROR(INDEX('02_SCHEDULE'!$L$5:$L$124,MATCH(AA302&amp;"|"&amp;AB302,'02_SCHEDULE'!$M$5:$M$124,0)),0)</f>
        <v>31</v>
      </c>
      <c r="AG302" s="51">
        <f t="shared" si="26"/>
        <v>2</v>
      </c>
    </row>
    <row r="303" spans="27:33" x14ac:dyDescent="0.3">
      <c r="AA303" s="51" t="str">
        <f>'Sites Master'!$B$6</f>
        <v>Site 05</v>
      </c>
      <c r="AB303" s="51" t="str">
        <f>'Phase-Resource Allocation'!$B$178</f>
        <v>Hypercare</v>
      </c>
      <c r="AC303" s="51" t="str">
        <f>'Phase-Resource Allocation'!$C$178</f>
        <v>SAP Integrations Specialist</v>
      </c>
      <c r="AD303" s="60">
        <f>'Phase-Resource Allocation'!$D$178</f>
        <v>0.5</v>
      </c>
      <c r="AE303" s="51">
        <f>IFERROR(INDEX('02_SCHEDULE'!$K$5:$K$124,MATCH(AA303&amp;"|"&amp;AB303,'02_SCHEDULE'!$M$5:$M$124,0)),0)</f>
        <v>28</v>
      </c>
      <c r="AF303" s="51">
        <f>IFERROR(INDEX('02_SCHEDULE'!$L$5:$L$124,MATCH(AA303&amp;"|"&amp;AB303,'02_SCHEDULE'!$M$5:$M$124,0)),0)</f>
        <v>31</v>
      </c>
      <c r="AG303" s="51">
        <f t="shared" si="26"/>
        <v>2</v>
      </c>
    </row>
    <row r="304" spans="27:33" x14ac:dyDescent="0.3">
      <c r="AA304" s="51" t="str">
        <f>'Sites Master'!$B$6</f>
        <v>Site 05</v>
      </c>
      <c r="AB304" s="51" t="str">
        <f>'Phase-Resource Allocation'!$B$179</f>
        <v>Hypercare</v>
      </c>
      <c r="AC304" s="51" t="str">
        <f>'Phase-Resource Allocation'!$C$179</f>
        <v>Azure Lead</v>
      </c>
      <c r="AD304" s="60">
        <f>'Phase-Resource Allocation'!$D$179</f>
        <v>0.5</v>
      </c>
      <c r="AE304" s="51">
        <f>IFERROR(INDEX('02_SCHEDULE'!$K$5:$K$124,MATCH(AA304&amp;"|"&amp;AB304,'02_SCHEDULE'!$M$5:$M$124,0)),0)</f>
        <v>28</v>
      </c>
      <c r="AF304" s="51">
        <f>IFERROR(INDEX('02_SCHEDULE'!$L$5:$L$124,MATCH(AA304&amp;"|"&amp;AB304,'02_SCHEDULE'!$M$5:$M$124,0)),0)</f>
        <v>31</v>
      </c>
      <c r="AG304" s="51">
        <f t="shared" si="26"/>
        <v>2</v>
      </c>
    </row>
    <row r="305" spans="27:33" x14ac:dyDescent="0.3">
      <c r="AA305" s="51" t="str">
        <f>'Sites Master'!$B$6</f>
        <v>Site 05</v>
      </c>
      <c r="AB305" s="51" t="str">
        <f>'Phase-Resource Allocation'!$B$180</f>
        <v>Hypercare</v>
      </c>
      <c r="AC305" s="51" t="str">
        <f>'Phase-Resource Allocation'!$C$180</f>
        <v>Azure Specialist</v>
      </c>
      <c r="AD305" s="60">
        <f>'Phase-Resource Allocation'!$D$180</f>
        <v>0.5</v>
      </c>
      <c r="AE305" s="51">
        <f>IFERROR(INDEX('02_SCHEDULE'!$K$5:$K$124,MATCH(AA305&amp;"|"&amp;AB305,'02_SCHEDULE'!$M$5:$M$124,0)),0)</f>
        <v>28</v>
      </c>
      <c r="AF305" s="51">
        <f>IFERROR(INDEX('02_SCHEDULE'!$L$5:$L$124,MATCH(AA305&amp;"|"&amp;AB305,'02_SCHEDULE'!$M$5:$M$124,0)),0)</f>
        <v>31</v>
      </c>
      <c r="AG305" s="51">
        <f t="shared" si="26"/>
        <v>2</v>
      </c>
    </row>
    <row r="306" spans="27:33" x14ac:dyDescent="0.3">
      <c r="AA306" s="51" t="str">
        <f>'Sites Master'!$B$6</f>
        <v>Site 05</v>
      </c>
      <c r="AB306" s="51" t="str">
        <f>'Phase-Resource Allocation'!$B$181</f>
        <v>Hypercare</v>
      </c>
      <c r="AC306" s="51" t="str">
        <f>'Phase-Resource Allocation'!$C$181</f>
        <v>Functional Lead</v>
      </c>
      <c r="AD306" s="60">
        <f>'Phase-Resource Allocation'!$D$181</f>
        <v>1</v>
      </c>
      <c r="AE306" s="51">
        <f>IFERROR(INDEX('02_SCHEDULE'!$K$5:$K$124,MATCH(AA306&amp;"|"&amp;AB306,'02_SCHEDULE'!$M$5:$M$124,0)),0)</f>
        <v>28</v>
      </c>
      <c r="AF306" s="51">
        <f>IFERROR(INDEX('02_SCHEDULE'!$L$5:$L$124,MATCH(AA306&amp;"|"&amp;AB306,'02_SCHEDULE'!$M$5:$M$124,0)),0)</f>
        <v>31</v>
      </c>
      <c r="AG306" s="51">
        <f t="shared" si="26"/>
        <v>4</v>
      </c>
    </row>
    <row r="307" spans="27:33" x14ac:dyDescent="0.3">
      <c r="AA307" s="51" t="str">
        <f>'Sites Master'!$B$6</f>
        <v>Site 05</v>
      </c>
      <c r="AB307" s="51" t="str">
        <f>'Phase-Resource Allocation'!$B$182</f>
        <v>Hypercare</v>
      </c>
      <c r="AC307" s="51" t="str">
        <f>'Phase-Resource Allocation'!$C$182</f>
        <v>Functional Lead</v>
      </c>
      <c r="AD307" s="60">
        <f>'Phase-Resource Allocation'!$D$182</f>
        <v>1</v>
      </c>
      <c r="AE307" s="51">
        <f>IFERROR(INDEX('02_SCHEDULE'!$K$5:$K$124,MATCH(AA307&amp;"|"&amp;AB307,'02_SCHEDULE'!$M$5:$M$124,0)),0)</f>
        <v>28</v>
      </c>
      <c r="AF307" s="51">
        <f>IFERROR(INDEX('02_SCHEDULE'!$L$5:$L$124,MATCH(AA307&amp;"|"&amp;AB307,'02_SCHEDULE'!$M$5:$M$124,0)),0)</f>
        <v>31</v>
      </c>
      <c r="AG307" s="51">
        <f t="shared" si="26"/>
        <v>4</v>
      </c>
    </row>
    <row r="308" spans="27:33" x14ac:dyDescent="0.3">
      <c r="AA308" s="51" t="str">
        <f>'Sites Master'!$B$6</f>
        <v>Site 05</v>
      </c>
      <c r="AB308" s="51" t="str">
        <f>'Phase-Resource Allocation'!$B$183</f>
        <v>Hypercare</v>
      </c>
      <c r="AC308" s="51" t="str">
        <f>'Phase-Resource Allocation'!$C$183</f>
        <v>Trainers</v>
      </c>
      <c r="AD308" s="60">
        <f>'Phase-Resource Allocation'!$D$183</f>
        <v>1</v>
      </c>
      <c r="AE308" s="51">
        <f>IFERROR(INDEX('02_SCHEDULE'!$K$5:$K$124,MATCH(AA308&amp;"|"&amp;AB308,'02_SCHEDULE'!$M$5:$M$124,0)),0)</f>
        <v>28</v>
      </c>
      <c r="AF308" s="51">
        <f>IFERROR(INDEX('02_SCHEDULE'!$L$5:$L$124,MATCH(AA308&amp;"|"&amp;AB308,'02_SCHEDULE'!$M$5:$M$124,0)),0)</f>
        <v>31</v>
      </c>
      <c r="AG308" s="51">
        <f t="shared" si="26"/>
        <v>4</v>
      </c>
    </row>
    <row r="309" spans="27:33" x14ac:dyDescent="0.3">
      <c r="AA309" s="51" t="str">
        <f>'Sites Master'!$B$6</f>
        <v>Site 05</v>
      </c>
      <c r="AB309" s="51" t="str">
        <f>'Phase-Resource Allocation'!$B$184</f>
        <v>Hypercare</v>
      </c>
      <c r="AC309" s="51" t="str">
        <f>'Phase-Resource Allocation'!$C$184</f>
        <v>Trainers</v>
      </c>
      <c r="AD309" s="60">
        <f>'Phase-Resource Allocation'!$D$184</f>
        <v>1</v>
      </c>
      <c r="AE309" s="51">
        <f>IFERROR(INDEX('02_SCHEDULE'!$K$5:$K$124,MATCH(AA309&amp;"|"&amp;AB309,'02_SCHEDULE'!$M$5:$M$124,0)),0)</f>
        <v>28</v>
      </c>
      <c r="AF309" s="51">
        <f>IFERROR(INDEX('02_SCHEDULE'!$L$5:$L$124,MATCH(AA309&amp;"|"&amp;AB309,'02_SCHEDULE'!$M$5:$M$124,0)),0)</f>
        <v>31</v>
      </c>
      <c r="AG309" s="51">
        <f t="shared" si="26"/>
        <v>4</v>
      </c>
    </row>
    <row r="310" spans="27:33" x14ac:dyDescent="0.3">
      <c r="AA310" s="51" t="str">
        <f>'Sites Master'!$B$6</f>
        <v>Site 05</v>
      </c>
      <c r="AB310" s="51" t="str">
        <f>'Phase-Resource Allocation'!$B$185</f>
        <v>Hypercare</v>
      </c>
      <c r="AC310" s="51" t="str">
        <f>'Phase-Resource Allocation'!$C$185</f>
        <v>Trainers</v>
      </c>
      <c r="AD310" s="60">
        <f>'Phase-Resource Allocation'!$D$185</f>
        <v>1</v>
      </c>
      <c r="AE310" s="51">
        <f>IFERROR(INDEX('02_SCHEDULE'!$K$5:$K$124,MATCH(AA310&amp;"|"&amp;AB310,'02_SCHEDULE'!$M$5:$M$124,0)),0)</f>
        <v>28</v>
      </c>
      <c r="AF310" s="51">
        <f>IFERROR(INDEX('02_SCHEDULE'!$L$5:$L$124,MATCH(AA310&amp;"|"&amp;AB310,'02_SCHEDULE'!$M$5:$M$124,0)),0)</f>
        <v>31</v>
      </c>
      <c r="AG310" s="51">
        <f t="shared" si="26"/>
        <v>4</v>
      </c>
    </row>
    <row r="311" spans="27:33" x14ac:dyDescent="0.3">
      <c r="AA311" s="51" t="str">
        <f>'Sites Master'!$B$6</f>
        <v>Site 05</v>
      </c>
      <c r="AB311" s="51" t="str">
        <f>'Phase-Resource Allocation'!$B$186</f>
        <v>Hypercare</v>
      </c>
      <c r="AC311" s="51" t="str">
        <f>'Phase-Resource Allocation'!$C$186</f>
        <v>Infrastructure Lead</v>
      </c>
      <c r="AD311" s="60">
        <f>'Phase-Resource Allocation'!$D$186</f>
        <v>1</v>
      </c>
      <c r="AE311" s="51">
        <f>IFERROR(INDEX('02_SCHEDULE'!$K$5:$K$124,MATCH(AA311&amp;"|"&amp;AB311,'02_SCHEDULE'!$M$5:$M$124,0)),0)</f>
        <v>28</v>
      </c>
      <c r="AF311" s="51">
        <f>IFERROR(INDEX('02_SCHEDULE'!$L$5:$L$124,MATCH(AA311&amp;"|"&amp;AB311,'02_SCHEDULE'!$M$5:$M$124,0)),0)</f>
        <v>31</v>
      </c>
      <c r="AG311" s="51">
        <f t="shared" si="26"/>
        <v>4</v>
      </c>
    </row>
    <row r="312" spans="27:33" x14ac:dyDescent="0.3">
      <c r="AA312" s="51" t="str">
        <f>'Sites Master'!$B$6</f>
        <v>Site 05</v>
      </c>
      <c r="AB312" s="51" t="str">
        <f>'Phase-Resource Allocation'!$B$187</f>
        <v>Hypercare</v>
      </c>
      <c r="AC312" s="51" t="str">
        <f>'Phase-Resource Allocation'!$C$187</f>
        <v>Functional Lead Vendor A</v>
      </c>
      <c r="AD312" s="60">
        <f>'Phase-Resource Allocation'!$D$187</f>
        <v>0.5</v>
      </c>
      <c r="AE312" s="51">
        <f>IFERROR(INDEX('02_SCHEDULE'!$K$5:$K$124,MATCH(AA312&amp;"|"&amp;AB312,'02_SCHEDULE'!$M$5:$M$124,0)),0)</f>
        <v>28</v>
      </c>
      <c r="AF312" s="51">
        <f>IFERROR(INDEX('02_SCHEDULE'!$L$5:$L$124,MATCH(AA312&amp;"|"&amp;AB312,'02_SCHEDULE'!$M$5:$M$124,0)),0)</f>
        <v>31</v>
      </c>
      <c r="AG312" s="51">
        <f t="shared" si="26"/>
        <v>2</v>
      </c>
    </row>
    <row r="313" spans="27:33" x14ac:dyDescent="0.3">
      <c r="AA313" s="51" t="str">
        <f>'Sites Master'!$B$7</f>
        <v>Site 06</v>
      </c>
      <c r="AB313" s="51" t="str">
        <f>'Phase-Resource Allocation'!$B$2</f>
        <v>Site Readiness</v>
      </c>
      <c r="AC313" s="51" t="str">
        <f>'Phase-Resource Allocation'!$C$2</f>
        <v>Infrastructure Lead</v>
      </c>
      <c r="AD313" s="60">
        <f>'Phase-Resource Allocation'!$D$2</f>
        <v>1</v>
      </c>
      <c r="AE313" s="51">
        <f>IFERROR(INDEX('02_SCHEDULE'!$K$5:$K$124,MATCH(AA313&amp;"|"&amp;AB313,'02_SCHEDULE'!$M$5:$M$124,0)),0)</f>
        <v>17</v>
      </c>
      <c r="AF313" s="51">
        <f>IFERROR(INDEX('02_SCHEDULE'!$L$5:$L$124,MATCH(AA313&amp;"|"&amp;AB313,'02_SCHEDULE'!$M$5:$M$124,0)),0)</f>
        <v>21</v>
      </c>
      <c r="AG313" s="51">
        <f t="shared" si="26"/>
        <v>5</v>
      </c>
    </row>
    <row r="314" spans="27:33" x14ac:dyDescent="0.3">
      <c r="AA314" s="51" t="str">
        <f>'Sites Master'!$B$7</f>
        <v>Site 06</v>
      </c>
      <c r="AB314" s="51" t="str">
        <f>'Phase-Resource Allocation'!$B$3</f>
        <v>Site Readiness</v>
      </c>
      <c r="AC314" s="51" t="str">
        <f>'Phase-Resource Allocation'!$C$3</f>
        <v>SAP Integrations Lead</v>
      </c>
      <c r="AD314" s="60">
        <f>'Phase-Resource Allocation'!$D$3</f>
        <v>0.5</v>
      </c>
      <c r="AE314" s="51">
        <f>IFERROR(INDEX('02_SCHEDULE'!$K$5:$K$124,MATCH(AA314&amp;"|"&amp;AB314,'02_SCHEDULE'!$M$5:$M$124,0)),0)</f>
        <v>17</v>
      </c>
      <c r="AF314" s="51">
        <f>IFERROR(INDEX('02_SCHEDULE'!$L$5:$L$124,MATCH(AA314&amp;"|"&amp;AB314,'02_SCHEDULE'!$M$5:$M$124,0)),0)</f>
        <v>21</v>
      </c>
      <c r="AG314" s="51">
        <f t="shared" si="26"/>
        <v>2.5</v>
      </c>
    </row>
    <row r="315" spans="27:33" x14ac:dyDescent="0.3">
      <c r="AA315" s="51" t="str">
        <f>'Sites Master'!$B$7</f>
        <v>Site 06</v>
      </c>
      <c r="AB315" s="51" t="str">
        <f>'Phase-Resource Allocation'!$B$4</f>
        <v>Design Adaptation</v>
      </c>
      <c r="AC315" s="51" t="str">
        <f>'Phase-Resource Allocation'!$C$4</f>
        <v>Solution Architect</v>
      </c>
      <c r="AD315" s="60">
        <f>'Phase-Resource Allocation'!$D$4</f>
        <v>1</v>
      </c>
      <c r="AE315" s="51">
        <f>IFERROR(INDEX('02_SCHEDULE'!$K$5:$K$124,MATCH(AA315&amp;"|"&amp;AB315,'02_SCHEDULE'!$M$5:$M$124,0)),0)</f>
        <v>22</v>
      </c>
      <c r="AF315" s="51">
        <f>IFERROR(INDEX('02_SCHEDULE'!$L$5:$L$124,MATCH(AA315&amp;"|"&amp;AB315,'02_SCHEDULE'!$M$5:$M$124,0)),0)</f>
        <v>23</v>
      </c>
      <c r="AG315" s="51">
        <f t="shared" si="26"/>
        <v>2</v>
      </c>
    </row>
    <row r="316" spans="27:33" x14ac:dyDescent="0.3">
      <c r="AA316" s="51" t="str">
        <f>'Sites Master'!$B$7</f>
        <v>Site 06</v>
      </c>
      <c r="AB316" s="51" t="str">
        <f>'Phase-Resource Allocation'!$B$5</f>
        <v>Design Adaptation</v>
      </c>
      <c r="AC316" s="51" t="str">
        <f>'Phase-Resource Allocation'!$C$5</f>
        <v>SAP Integrations Lead</v>
      </c>
      <c r="AD316" s="60">
        <f>'Phase-Resource Allocation'!$D$5</f>
        <v>0.5</v>
      </c>
      <c r="AE316" s="51">
        <f>IFERROR(INDEX('02_SCHEDULE'!$K$5:$K$124,MATCH(AA316&amp;"|"&amp;AB316,'02_SCHEDULE'!$M$5:$M$124,0)),0)</f>
        <v>22</v>
      </c>
      <c r="AF316" s="51">
        <f>IFERROR(INDEX('02_SCHEDULE'!$L$5:$L$124,MATCH(AA316&amp;"|"&amp;AB316,'02_SCHEDULE'!$M$5:$M$124,0)),0)</f>
        <v>23</v>
      </c>
      <c r="AG316" s="51">
        <f t="shared" si="26"/>
        <v>1</v>
      </c>
    </row>
    <row r="317" spans="27:33" x14ac:dyDescent="0.3">
      <c r="AA317" s="51" t="str">
        <f>'Sites Master'!$B$7</f>
        <v>Site 06</v>
      </c>
      <c r="AB317" s="51" t="str">
        <f>'Phase-Resource Allocation'!$B$6</f>
        <v>Design Adaptation</v>
      </c>
      <c r="AC317" s="51" t="str">
        <f>'Phase-Resource Allocation'!$C$6</f>
        <v>SAP Integrations Specialist</v>
      </c>
      <c r="AD317" s="60">
        <f>'Phase-Resource Allocation'!$D$6</f>
        <v>0.5</v>
      </c>
      <c r="AE317" s="51">
        <f>IFERROR(INDEX('02_SCHEDULE'!$K$5:$K$124,MATCH(AA317&amp;"|"&amp;AB317,'02_SCHEDULE'!$M$5:$M$124,0)),0)</f>
        <v>22</v>
      </c>
      <c r="AF317" s="51">
        <f>IFERROR(INDEX('02_SCHEDULE'!$L$5:$L$124,MATCH(AA317&amp;"|"&amp;AB317,'02_SCHEDULE'!$M$5:$M$124,0)),0)</f>
        <v>23</v>
      </c>
      <c r="AG317" s="51">
        <f t="shared" si="26"/>
        <v>1</v>
      </c>
    </row>
    <row r="318" spans="27:33" x14ac:dyDescent="0.3">
      <c r="AA318" s="51" t="str">
        <f>'Sites Master'!$B$7</f>
        <v>Site 06</v>
      </c>
      <c r="AB318" s="51" t="str">
        <f>'Phase-Resource Allocation'!$B$7</f>
        <v>Design Adaptation</v>
      </c>
      <c r="AC318" s="51" t="str">
        <f>'Phase-Resource Allocation'!$C$7</f>
        <v>Azure Lead</v>
      </c>
      <c r="AD318" s="60">
        <f>'Phase-Resource Allocation'!$D$7</f>
        <v>0.5</v>
      </c>
      <c r="AE318" s="51">
        <f>IFERROR(INDEX('02_SCHEDULE'!$K$5:$K$124,MATCH(AA318&amp;"|"&amp;AB318,'02_SCHEDULE'!$M$5:$M$124,0)),0)</f>
        <v>22</v>
      </c>
      <c r="AF318" s="51">
        <f>IFERROR(INDEX('02_SCHEDULE'!$L$5:$L$124,MATCH(AA318&amp;"|"&amp;AB318,'02_SCHEDULE'!$M$5:$M$124,0)),0)</f>
        <v>23</v>
      </c>
      <c r="AG318" s="51">
        <f t="shared" si="26"/>
        <v>1</v>
      </c>
    </row>
    <row r="319" spans="27:33" x14ac:dyDescent="0.3">
      <c r="AA319" s="51" t="str">
        <f>'Sites Master'!$B$7</f>
        <v>Site 06</v>
      </c>
      <c r="AB319" s="51" t="str">
        <f>'Phase-Resource Allocation'!$B$8</f>
        <v>Design Adaptation</v>
      </c>
      <c r="AC319" s="51" t="str">
        <f>'Phase-Resource Allocation'!$C$8</f>
        <v>Azure Specialist</v>
      </c>
      <c r="AD319" s="60">
        <f>'Phase-Resource Allocation'!$D$8</f>
        <v>0.5</v>
      </c>
      <c r="AE319" s="51">
        <f>IFERROR(INDEX('02_SCHEDULE'!$K$5:$K$124,MATCH(AA319&amp;"|"&amp;AB319,'02_SCHEDULE'!$M$5:$M$124,0)),0)</f>
        <v>22</v>
      </c>
      <c r="AF319" s="51">
        <f>IFERROR(INDEX('02_SCHEDULE'!$L$5:$L$124,MATCH(AA319&amp;"|"&amp;AB319,'02_SCHEDULE'!$M$5:$M$124,0)),0)</f>
        <v>23</v>
      </c>
      <c r="AG319" s="51">
        <f t="shared" si="26"/>
        <v>1</v>
      </c>
    </row>
    <row r="320" spans="27:33" x14ac:dyDescent="0.3">
      <c r="AA320" s="51" t="str">
        <f>'Sites Master'!$B$7</f>
        <v>Site 06</v>
      </c>
      <c r="AB320" s="51" t="str">
        <f>'Phase-Resource Allocation'!$B$9</f>
        <v>Design Adaptation</v>
      </c>
      <c r="AC320" s="51" t="str">
        <f>'Phase-Resource Allocation'!$C$9</f>
        <v>Testing Lead</v>
      </c>
      <c r="AD320" s="60">
        <f>'Phase-Resource Allocation'!$D$9</f>
        <v>1</v>
      </c>
      <c r="AE320" s="51">
        <f>IFERROR(INDEX('02_SCHEDULE'!$K$5:$K$124,MATCH(AA320&amp;"|"&amp;AB320,'02_SCHEDULE'!$M$5:$M$124,0)),0)</f>
        <v>22</v>
      </c>
      <c r="AF320" s="51">
        <f>IFERROR(INDEX('02_SCHEDULE'!$L$5:$L$124,MATCH(AA320&amp;"|"&amp;AB320,'02_SCHEDULE'!$M$5:$M$124,0)),0)</f>
        <v>23</v>
      </c>
      <c r="AG320" s="51">
        <f t="shared" si="26"/>
        <v>2</v>
      </c>
    </row>
    <row r="321" spans="27:33" x14ac:dyDescent="0.3">
      <c r="AA321" s="51" t="str">
        <f>'Sites Master'!$B$7</f>
        <v>Site 06</v>
      </c>
      <c r="AB321" s="51" t="str">
        <f>'Phase-Resource Allocation'!$B$10</f>
        <v>Design Adaptation</v>
      </c>
      <c r="AC321" s="51" t="str">
        <f>'Phase-Resource Allocation'!$C$10</f>
        <v>Functional Lead</v>
      </c>
      <c r="AD321" s="60">
        <f>'Phase-Resource Allocation'!$D$10</f>
        <v>1</v>
      </c>
      <c r="AE321" s="51">
        <f>IFERROR(INDEX('02_SCHEDULE'!$K$5:$K$124,MATCH(AA321&amp;"|"&amp;AB321,'02_SCHEDULE'!$M$5:$M$124,0)),0)</f>
        <v>22</v>
      </c>
      <c r="AF321" s="51">
        <f>IFERROR(INDEX('02_SCHEDULE'!$L$5:$L$124,MATCH(AA321&amp;"|"&amp;AB321,'02_SCHEDULE'!$M$5:$M$124,0)),0)</f>
        <v>23</v>
      </c>
      <c r="AG321" s="51">
        <f t="shared" si="26"/>
        <v>2</v>
      </c>
    </row>
    <row r="322" spans="27:33" x14ac:dyDescent="0.3">
      <c r="AA322" s="51" t="str">
        <f>'Sites Master'!$B$7</f>
        <v>Site 06</v>
      </c>
      <c r="AB322" s="51" t="str">
        <f>'Phase-Resource Allocation'!$B$11</f>
        <v>Design Adaptation</v>
      </c>
      <c r="AC322" s="51" t="str">
        <f>'Phase-Resource Allocation'!$C$11</f>
        <v>Trainers</v>
      </c>
      <c r="AD322" s="60">
        <f>'Phase-Resource Allocation'!$D$11</f>
        <v>1</v>
      </c>
      <c r="AE322" s="51">
        <f>IFERROR(INDEX('02_SCHEDULE'!$K$5:$K$124,MATCH(AA322&amp;"|"&amp;AB322,'02_SCHEDULE'!$M$5:$M$124,0)),0)</f>
        <v>22</v>
      </c>
      <c r="AF322" s="51">
        <f>IFERROR(INDEX('02_SCHEDULE'!$L$5:$L$124,MATCH(AA322&amp;"|"&amp;AB322,'02_SCHEDULE'!$M$5:$M$124,0)),0)</f>
        <v>23</v>
      </c>
      <c r="AG322" s="51">
        <f t="shared" si="26"/>
        <v>2</v>
      </c>
    </row>
    <row r="323" spans="27:33" x14ac:dyDescent="0.3">
      <c r="AA323" s="51" t="str">
        <f>'Sites Master'!$B$7</f>
        <v>Site 06</v>
      </c>
      <c r="AB323" s="51" t="str">
        <f>'Phase-Resource Allocation'!$B$12</f>
        <v>Design Adaptation</v>
      </c>
      <c r="AC323" s="51" t="str">
        <f>'Phase-Resource Allocation'!$C$12</f>
        <v>Infrastructure Lead</v>
      </c>
      <c r="AD323" s="60">
        <f>'Phase-Resource Allocation'!$D$12</f>
        <v>1</v>
      </c>
      <c r="AE323" s="51">
        <f>IFERROR(INDEX('02_SCHEDULE'!$K$5:$K$124,MATCH(AA323&amp;"|"&amp;AB323,'02_SCHEDULE'!$M$5:$M$124,0)),0)</f>
        <v>22</v>
      </c>
      <c r="AF323" s="51">
        <f>IFERROR(INDEX('02_SCHEDULE'!$L$5:$L$124,MATCH(AA323&amp;"|"&amp;AB323,'02_SCHEDULE'!$M$5:$M$124,0)),0)</f>
        <v>23</v>
      </c>
      <c r="AG323" s="51">
        <f t="shared" ref="AG323:AG386" si="27">AD323*(AF323-AE323+1)</f>
        <v>2</v>
      </c>
    </row>
    <row r="324" spans="27:33" x14ac:dyDescent="0.3">
      <c r="AA324" s="51" t="str">
        <f>'Sites Master'!$B$7</f>
        <v>Site 06</v>
      </c>
      <c r="AB324" s="51" t="str">
        <f>'Phase-Resource Allocation'!$B$13</f>
        <v>Design Adaptation</v>
      </c>
      <c r="AC324" s="51" t="str">
        <f>'Phase-Resource Allocation'!$C$13</f>
        <v>Functional Lead Vendor A</v>
      </c>
      <c r="AD324" s="60">
        <f>'Phase-Resource Allocation'!$D$13</f>
        <v>1</v>
      </c>
      <c r="AE324" s="51">
        <f>IFERROR(INDEX('02_SCHEDULE'!$K$5:$K$124,MATCH(AA324&amp;"|"&amp;AB324,'02_SCHEDULE'!$M$5:$M$124,0)),0)</f>
        <v>22</v>
      </c>
      <c r="AF324" s="51">
        <f>IFERROR(INDEX('02_SCHEDULE'!$L$5:$L$124,MATCH(AA324&amp;"|"&amp;AB324,'02_SCHEDULE'!$M$5:$M$124,0)),0)</f>
        <v>23</v>
      </c>
      <c r="AG324" s="51">
        <f t="shared" si="27"/>
        <v>2</v>
      </c>
    </row>
    <row r="325" spans="27:33" x14ac:dyDescent="0.3">
      <c r="AA325" s="51" t="str">
        <f>'Sites Master'!$B$7</f>
        <v>Site 06</v>
      </c>
      <c r="AB325" s="51" t="str">
        <f>'Phase-Resource Allocation'!$B$14</f>
        <v>Functional Review</v>
      </c>
      <c r="AC325" s="51" t="str">
        <f>'Phase-Resource Allocation'!$C$14</f>
        <v>Solution Architect</v>
      </c>
      <c r="AD325" s="60">
        <f>'Phase-Resource Allocation'!$D$14</f>
        <v>0.5</v>
      </c>
      <c r="AE325" s="51">
        <f>IFERROR(INDEX('02_SCHEDULE'!$K$5:$K$124,MATCH(AA325&amp;"|"&amp;AB325,'02_SCHEDULE'!$M$5:$M$124,0)),0)</f>
        <v>24</v>
      </c>
      <c r="AF325" s="51">
        <f>IFERROR(INDEX('02_SCHEDULE'!$L$5:$L$124,MATCH(AA325&amp;"|"&amp;AB325,'02_SCHEDULE'!$M$5:$M$124,0)),0)</f>
        <v>24</v>
      </c>
      <c r="AG325" s="51">
        <f t="shared" si="27"/>
        <v>0.5</v>
      </c>
    </row>
    <row r="326" spans="27:33" x14ac:dyDescent="0.3">
      <c r="AA326" s="51" t="str">
        <f>'Sites Master'!$B$7</f>
        <v>Site 06</v>
      </c>
      <c r="AB326" s="51" t="str">
        <f>'Phase-Resource Allocation'!$B$15</f>
        <v>Functional Review</v>
      </c>
      <c r="AC326" s="51" t="str">
        <f>'Phase-Resource Allocation'!$C$15</f>
        <v>Change Management Lead</v>
      </c>
      <c r="AD326" s="60">
        <f>'Phase-Resource Allocation'!$D$15</f>
        <v>1</v>
      </c>
      <c r="AE326" s="51">
        <f>IFERROR(INDEX('02_SCHEDULE'!$K$5:$K$124,MATCH(AA326&amp;"|"&amp;AB326,'02_SCHEDULE'!$M$5:$M$124,0)),0)</f>
        <v>24</v>
      </c>
      <c r="AF326" s="51">
        <f>IFERROR(INDEX('02_SCHEDULE'!$L$5:$L$124,MATCH(AA326&amp;"|"&amp;AB326,'02_SCHEDULE'!$M$5:$M$124,0)),0)</f>
        <v>24</v>
      </c>
      <c r="AG326" s="51">
        <f t="shared" si="27"/>
        <v>1</v>
      </c>
    </row>
    <row r="327" spans="27:33" x14ac:dyDescent="0.3">
      <c r="AA327" s="51" t="str">
        <f>'Sites Master'!$B$7</f>
        <v>Site 06</v>
      </c>
      <c r="AB327" s="51" t="str">
        <f>'Phase-Resource Allocation'!$B$16</f>
        <v>Functional Review</v>
      </c>
      <c r="AC327" s="51" t="str">
        <f>'Phase-Resource Allocation'!$C$16</f>
        <v>SAP Integrations Lead</v>
      </c>
      <c r="AD327" s="60">
        <f>'Phase-Resource Allocation'!$D$16</f>
        <v>0.5</v>
      </c>
      <c r="AE327" s="51">
        <f>IFERROR(INDEX('02_SCHEDULE'!$K$5:$K$124,MATCH(AA327&amp;"|"&amp;AB327,'02_SCHEDULE'!$M$5:$M$124,0)),0)</f>
        <v>24</v>
      </c>
      <c r="AF327" s="51">
        <f>IFERROR(INDEX('02_SCHEDULE'!$L$5:$L$124,MATCH(AA327&amp;"|"&amp;AB327,'02_SCHEDULE'!$M$5:$M$124,0)),0)</f>
        <v>24</v>
      </c>
      <c r="AG327" s="51">
        <f t="shared" si="27"/>
        <v>0.5</v>
      </c>
    </row>
    <row r="328" spans="27:33" x14ac:dyDescent="0.3">
      <c r="AA328" s="51" t="str">
        <f>'Sites Master'!$B$7</f>
        <v>Site 06</v>
      </c>
      <c r="AB328" s="51" t="str">
        <f>'Phase-Resource Allocation'!$B$17</f>
        <v>Functional Review</v>
      </c>
      <c r="AC328" s="51" t="str">
        <f>'Phase-Resource Allocation'!$C$17</f>
        <v>SAP Integrations Specialist</v>
      </c>
      <c r="AD328" s="60">
        <f>'Phase-Resource Allocation'!$D$17</f>
        <v>0.5</v>
      </c>
      <c r="AE328" s="51">
        <f>IFERROR(INDEX('02_SCHEDULE'!$K$5:$K$124,MATCH(AA328&amp;"|"&amp;AB328,'02_SCHEDULE'!$M$5:$M$124,0)),0)</f>
        <v>24</v>
      </c>
      <c r="AF328" s="51">
        <f>IFERROR(INDEX('02_SCHEDULE'!$L$5:$L$124,MATCH(AA328&amp;"|"&amp;AB328,'02_SCHEDULE'!$M$5:$M$124,0)),0)</f>
        <v>24</v>
      </c>
      <c r="AG328" s="51">
        <f t="shared" si="27"/>
        <v>0.5</v>
      </c>
    </row>
    <row r="329" spans="27:33" x14ac:dyDescent="0.3">
      <c r="AA329" s="51" t="str">
        <f>'Sites Master'!$B$7</f>
        <v>Site 06</v>
      </c>
      <c r="AB329" s="51" t="str">
        <f>'Phase-Resource Allocation'!$B$18</f>
        <v>Functional Review</v>
      </c>
      <c r="AC329" s="51" t="str">
        <f>'Phase-Resource Allocation'!$C$18</f>
        <v>Azure Lead</v>
      </c>
      <c r="AD329" s="60">
        <f>'Phase-Resource Allocation'!$D$18</f>
        <v>0.5</v>
      </c>
      <c r="AE329" s="51">
        <f>IFERROR(INDEX('02_SCHEDULE'!$K$5:$K$124,MATCH(AA329&amp;"|"&amp;AB329,'02_SCHEDULE'!$M$5:$M$124,0)),0)</f>
        <v>24</v>
      </c>
      <c r="AF329" s="51">
        <f>IFERROR(INDEX('02_SCHEDULE'!$L$5:$L$124,MATCH(AA329&amp;"|"&amp;AB329,'02_SCHEDULE'!$M$5:$M$124,0)),0)</f>
        <v>24</v>
      </c>
      <c r="AG329" s="51">
        <f t="shared" si="27"/>
        <v>0.5</v>
      </c>
    </row>
    <row r="330" spans="27:33" x14ac:dyDescent="0.3">
      <c r="AA330" s="51" t="str">
        <f>'Sites Master'!$B$7</f>
        <v>Site 06</v>
      </c>
      <c r="AB330" s="51" t="str">
        <f>'Phase-Resource Allocation'!$B$19</f>
        <v>Functional Review</v>
      </c>
      <c r="AC330" s="51" t="str">
        <f>'Phase-Resource Allocation'!$C$19</f>
        <v>Azure Specialist</v>
      </c>
      <c r="AD330" s="60">
        <f>'Phase-Resource Allocation'!$D$19</f>
        <v>0.5</v>
      </c>
      <c r="AE330" s="51">
        <f>IFERROR(INDEX('02_SCHEDULE'!$K$5:$K$124,MATCH(AA330&amp;"|"&amp;AB330,'02_SCHEDULE'!$M$5:$M$124,0)),0)</f>
        <v>24</v>
      </c>
      <c r="AF330" s="51">
        <f>IFERROR(INDEX('02_SCHEDULE'!$L$5:$L$124,MATCH(AA330&amp;"|"&amp;AB330,'02_SCHEDULE'!$M$5:$M$124,0)),0)</f>
        <v>24</v>
      </c>
      <c r="AG330" s="51">
        <f t="shared" si="27"/>
        <v>0.5</v>
      </c>
    </row>
    <row r="331" spans="27:33" x14ac:dyDescent="0.3">
      <c r="AA331" s="51" t="str">
        <f>'Sites Master'!$B$7</f>
        <v>Site 06</v>
      </c>
      <c r="AB331" s="51" t="str">
        <f>'Phase-Resource Allocation'!$B$20</f>
        <v>Functional Review</v>
      </c>
      <c r="AC331" s="51" t="str">
        <f>'Phase-Resource Allocation'!$C$20</f>
        <v>Testing Lead</v>
      </c>
      <c r="AD331" s="60">
        <f>'Phase-Resource Allocation'!$D$20</f>
        <v>0.5</v>
      </c>
      <c r="AE331" s="51">
        <f>IFERROR(INDEX('02_SCHEDULE'!$K$5:$K$124,MATCH(AA331&amp;"|"&amp;AB331,'02_SCHEDULE'!$M$5:$M$124,0)),0)</f>
        <v>24</v>
      </c>
      <c r="AF331" s="51">
        <f>IFERROR(INDEX('02_SCHEDULE'!$L$5:$L$124,MATCH(AA331&amp;"|"&amp;AB331,'02_SCHEDULE'!$M$5:$M$124,0)),0)</f>
        <v>24</v>
      </c>
      <c r="AG331" s="51">
        <f t="shared" si="27"/>
        <v>0.5</v>
      </c>
    </row>
    <row r="332" spans="27:33" x14ac:dyDescent="0.3">
      <c r="AA332" s="51" t="str">
        <f>'Sites Master'!$B$7</f>
        <v>Site 06</v>
      </c>
      <c r="AB332" s="51" t="str">
        <f>'Phase-Resource Allocation'!$B$21</f>
        <v>Functional Review</v>
      </c>
      <c r="AC332" s="51" t="str">
        <f>'Phase-Resource Allocation'!$C$21</f>
        <v>Functional Lead</v>
      </c>
      <c r="AD332" s="60">
        <f>'Phase-Resource Allocation'!$D$21</f>
        <v>1</v>
      </c>
      <c r="AE332" s="51">
        <f>IFERROR(INDEX('02_SCHEDULE'!$K$5:$K$124,MATCH(AA332&amp;"|"&amp;AB332,'02_SCHEDULE'!$M$5:$M$124,0)),0)</f>
        <v>24</v>
      </c>
      <c r="AF332" s="51">
        <f>IFERROR(INDEX('02_SCHEDULE'!$L$5:$L$124,MATCH(AA332&amp;"|"&amp;AB332,'02_SCHEDULE'!$M$5:$M$124,0)),0)</f>
        <v>24</v>
      </c>
      <c r="AG332" s="51">
        <f t="shared" si="27"/>
        <v>1</v>
      </c>
    </row>
    <row r="333" spans="27:33" x14ac:dyDescent="0.3">
      <c r="AA333" s="51" t="str">
        <f>'Sites Master'!$B$7</f>
        <v>Site 06</v>
      </c>
      <c r="AB333" s="51" t="str">
        <f>'Phase-Resource Allocation'!$B$22</f>
        <v>Functional Review</v>
      </c>
      <c r="AC333" s="51" t="str">
        <f>'Phase-Resource Allocation'!$C$22</f>
        <v>Trainers</v>
      </c>
      <c r="AD333" s="60">
        <f>'Phase-Resource Allocation'!$D$22</f>
        <v>1</v>
      </c>
      <c r="AE333" s="51">
        <f>IFERROR(INDEX('02_SCHEDULE'!$K$5:$K$124,MATCH(AA333&amp;"|"&amp;AB333,'02_SCHEDULE'!$M$5:$M$124,0)),0)</f>
        <v>24</v>
      </c>
      <c r="AF333" s="51">
        <f>IFERROR(INDEX('02_SCHEDULE'!$L$5:$L$124,MATCH(AA333&amp;"|"&amp;AB333,'02_SCHEDULE'!$M$5:$M$124,0)),0)</f>
        <v>24</v>
      </c>
      <c r="AG333" s="51">
        <f t="shared" si="27"/>
        <v>1</v>
      </c>
    </row>
    <row r="334" spans="27:33" x14ac:dyDescent="0.3">
      <c r="AA334" s="51" t="str">
        <f>'Sites Master'!$B$7</f>
        <v>Site 06</v>
      </c>
      <c r="AB334" s="51" t="str">
        <f>'Phase-Resource Allocation'!$B$23</f>
        <v>UAT</v>
      </c>
      <c r="AC334" s="51" t="str">
        <f>'Phase-Resource Allocation'!$C$23</f>
        <v>Solution Architect</v>
      </c>
      <c r="AD334" s="60">
        <f>'Phase-Resource Allocation'!$D$23</f>
        <v>0.5</v>
      </c>
      <c r="AE334" s="51">
        <f>IFERROR(INDEX('02_SCHEDULE'!$K$5:$K$124,MATCH(AA334&amp;"|"&amp;AB334,'02_SCHEDULE'!$M$5:$M$124,0)),0)</f>
        <v>25</v>
      </c>
      <c r="AF334" s="51">
        <f>IFERROR(INDEX('02_SCHEDULE'!$L$5:$L$124,MATCH(AA334&amp;"|"&amp;AB334,'02_SCHEDULE'!$M$5:$M$124,0)),0)</f>
        <v>26</v>
      </c>
      <c r="AG334" s="51">
        <f t="shared" si="27"/>
        <v>1</v>
      </c>
    </row>
    <row r="335" spans="27:33" x14ac:dyDescent="0.3">
      <c r="AA335" s="51" t="str">
        <f>'Sites Master'!$B$7</f>
        <v>Site 06</v>
      </c>
      <c r="AB335" s="51" t="str">
        <f>'Phase-Resource Allocation'!$B$24</f>
        <v>UAT</v>
      </c>
      <c r="AC335" s="51" t="str">
        <f>'Phase-Resource Allocation'!$C$24</f>
        <v>Change Management Lead</v>
      </c>
      <c r="AD335" s="60">
        <f>'Phase-Resource Allocation'!$D$24</f>
        <v>1</v>
      </c>
      <c r="AE335" s="51">
        <f>IFERROR(INDEX('02_SCHEDULE'!$K$5:$K$124,MATCH(AA335&amp;"|"&amp;AB335,'02_SCHEDULE'!$M$5:$M$124,0)),0)</f>
        <v>25</v>
      </c>
      <c r="AF335" s="51">
        <f>IFERROR(INDEX('02_SCHEDULE'!$L$5:$L$124,MATCH(AA335&amp;"|"&amp;AB335,'02_SCHEDULE'!$M$5:$M$124,0)),0)</f>
        <v>26</v>
      </c>
      <c r="AG335" s="51">
        <f t="shared" si="27"/>
        <v>2</v>
      </c>
    </row>
    <row r="336" spans="27:33" x14ac:dyDescent="0.3">
      <c r="AA336" s="51" t="str">
        <f>'Sites Master'!$B$7</f>
        <v>Site 06</v>
      </c>
      <c r="AB336" s="51" t="str">
        <f>'Phase-Resource Allocation'!$B$25</f>
        <v>UAT</v>
      </c>
      <c r="AC336" s="51" t="str">
        <f>'Phase-Resource Allocation'!$C$25</f>
        <v>SAP Integrations Lead</v>
      </c>
      <c r="AD336" s="60">
        <f>'Phase-Resource Allocation'!$D$25</f>
        <v>0.5</v>
      </c>
      <c r="AE336" s="51">
        <f>IFERROR(INDEX('02_SCHEDULE'!$K$5:$K$124,MATCH(AA336&amp;"|"&amp;AB336,'02_SCHEDULE'!$M$5:$M$124,0)),0)</f>
        <v>25</v>
      </c>
      <c r="AF336" s="51">
        <f>IFERROR(INDEX('02_SCHEDULE'!$L$5:$L$124,MATCH(AA336&amp;"|"&amp;AB336,'02_SCHEDULE'!$M$5:$M$124,0)),0)</f>
        <v>26</v>
      </c>
      <c r="AG336" s="51">
        <f t="shared" si="27"/>
        <v>1</v>
      </c>
    </row>
    <row r="337" spans="27:33" x14ac:dyDescent="0.3">
      <c r="AA337" s="51" t="str">
        <f>'Sites Master'!$B$7</f>
        <v>Site 06</v>
      </c>
      <c r="AB337" s="51" t="str">
        <f>'Phase-Resource Allocation'!$B$26</f>
        <v>UAT</v>
      </c>
      <c r="AC337" s="51" t="str">
        <f>'Phase-Resource Allocation'!$C$26</f>
        <v>SAP Integrations Specialist</v>
      </c>
      <c r="AD337" s="60">
        <f>'Phase-Resource Allocation'!$D$26</f>
        <v>0.5</v>
      </c>
      <c r="AE337" s="51">
        <f>IFERROR(INDEX('02_SCHEDULE'!$K$5:$K$124,MATCH(AA337&amp;"|"&amp;AB337,'02_SCHEDULE'!$M$5:$M$124,0)),0)</f>
        <v>25</v>
      </c>
      <c r="AF337" s="51">
        <f>IFERROR(INDEX('02_SCHEDULE'!$L$5:$L$124,MATCH(AA337&amp;"|"&amp;AB337,'02_SCHEDULE'!$M$5:$M$124,0)),0)</f>
        <v>26</v>
      </c>
      <c r="AG337" s="51">
        <f t="shared" si="27"/>
        <v>1</v>
      </c>
    </row>
    <row r="338" spans="27:33" x14ac:dyDescent="0.3">
      <c r="AA338" s="51" t="str">
        <f>'Sites Master'!$B$7</f>
        <v>Site 06</v>
      </c>
      <c r="AB338" s="51" t="str">
        <f>'Phase-Resource Allocation'!$B$27</f>
        <v>UAT</v>
      </c>
      <c r="AC338" s="51" t="str">
        <f>'Phase-Resource Allocation'!$C$27</f>
        <v>Azure Lead</v>
      </c>
      <c r="AD338" s="60">
        <f>'Phase-Resource Allocation'!$D$27</f>
        <v>0.5</v>
      </c>
      <c r="AE338" s="51">
        <f>IFERROR(INDEX('02_SCHEDULE'!$K$5:$K$124,MATCH(AA338&amp;"|"&amp;AB338,'02_SCHEDULE'!$M$5:$M$124,0)),0)</f>
        <v>25</v>
      </c>
      <c r="AF338" s="51">
        <f>IFERROR(INDEX('02_SCHEDULE'!$L$5:$L$124,MATCH(AA338&amp;"|"&amp;AB338,'02_SCHEDULE'!$M$5:$M$124,0)),0)</f>
        <v>26</v>
      </c>
      <c r="AG338" s="51">
        <f t="shared" si="27"/>
        <v>1</v>
      </c>
    </row>
    <row r="339" spans="27:33" x14ac:dyDescent="0.3">
      <c r="AA339" s="51" t="str">
        <f>'Sites Master'!$B$7</f>
        <v>Site 06</v>
      </c>
      <c r="AB339" s="51" t="str">
        <f>'Phase-Resource Allocation'!$B$28</f>
        <v>UAT</v>
      </c>
      <c r="AC339" s="51" t="str">
        <f>'Phase-Resource Allocation'!$C$28</f>
        <v>Azure Specialist</v>
      </c>
      <c r="AD339" s="60">
        <f>'Phase-Resource Allocation'!$D$28</f>
        <v>0.5</v>
      </c>
      <c r="AE339" s="51">
        <f>IFERROR(INDEX('02_SCHEDULE'!$K$5:$K$124,MATCH(AA339&amp;"|"&amp;AB339,'02_SCHEDULE'!$M$5:$M$124,0)),0)</f>
        <v>25</v>
      </c>
      <c r="AF339" s="51">
        <f>IFERROR(INDEX('02_SCHEDULE'!$L$5:$L$124,MATCH(AA339&amp;"|"&amp;AB339,'02_SCHEDULE'!$M$5:$M$124,0)),0)</f>
        <v>26</v>
      </c>
      <c r="AG339" s="51">
        <f t="shared" si="27"/>
        <v>1</v>
      </c>
    </row>
    <row r="340" spans="27:33" x14ac:dyDescent="0.3">
      <c r="AA340" s="51" t="str">
        <f>'Sites Master'!$B$7</f>
        <v>Site 06</v>
      </c>
      <c r="AB340" s="51" t="str">
        <f>'Phase-Resource Allocation'!$B$29</f>
        <v>UAT</v>
      </c>
      <c r="AC340" s="51" t="str">
        <f>'Phase-Resource Allocation'!$C$29</f>
        <v>Testing Lead</v>
      </c>
      <c r="AD340" s="60">
        <f>'Phase-Resource Allocation'!$D$29</f>
        <v>0.5</v>
      </c>
      <c r="AE340" s="51">
        <f>IFERROR(INDEX('02_SCHEDULE'!$K$5:$K$124,MATCH(AA340&amp;"|"&amp;AB340,'02_SCHEDULE'!$M$5:$M$124,0)),0)</f>
        <v>25</v>
      </c>
      <c r="AF340" s="51">
        <f>IFERROR(INDEX('02_SCHEDULE'!$L$5:$L$124,MATCH(AA340&amp;"|"&amp;AB340,'02_SCHEDULE'!$M$5:$M$124,0)),0)</f>
        <v>26</v>
      </c>
      <c r="AG340" s="51">
        <f t="shared" si="27"/>
        <v>1</v>
      </c>
    </row>
    <row r="341" spans="27:33" x14ac:dyDescent="0.3">
      <c r="AA341" s="51" t="str">
        <f>'Sites Master'!$B$7</f>
        <v>Site 06</v>
      </c>
      <c r="AB341" s="51" t="str">
        <f>'Phase-Resource Allocation'!$B$30</f>
        <v>UAT</v>
      </c>
      <c r="AC341" s="51" t="str">
        <f>'Phase-Resource Allocation'!$C$30</f>
        <v>Functional Lead</v>
      </c>
      <c r="AD341" s="60">
        <f>'Phase-Resource Allocation'!$D$30</f>
        <v>1</v>
      </c>
      <c r="AE341" s="51">
        <f>IFERROR(INDEX('02_SCHEDULE'!$K$5:$K$124,MATCH(AA341&amp;"|"&amp;AB341,'02_SCHEDULE'!$M$5:$M$124,0)),0)</f>
        <v>25</v>
      </c>
      <c r="AF341" s="51">
        <f>IFERROR(INDEX('02_SCHEDULE'!$L$5:$L$124,MATCH(AA341&amp;"|"&amp;AB341,'02_SCHEDULE'!$M$5:$M$124,0)),0)</f>
        <v>26</v>
      </c>
      <c r="AG341" s="51">
        <f t="shared" si="27"/>
        <v>2</v>
      </c>
    </row>
    <row r="342" spans="27:33" x14ac:dyDescent="0.3">
      <c r="AA342" s="51" t="str">
        <f>'Sites Master'!$B$7</f>
        <v>Site 06</v>
      </c>
      <c r="AB342" s="51" t="str">
        <f>'Phase-Resource Allocation'!$B$31</f>
        <v>UAT</v>
      </c>
      <c r="AC342" s="51" t="str">
        <f>'Phase-Resource Allocation'!$C$31</f>
        <v>Trainers</v>
      </c>
      <c r="AD342" s="60">
        <f>'Phase-Resource Allocation'!$D$31</f>
        <v>1</v>
      </c>
      <c r="AE342" s="51">
        <f>IFERROR(INDEX('02_SCHEDULE'!$K$5:$K$124,MATCH(AA342&amp;"|"&amp;AB342,'02_SCHEDULE'!$M$5:$M$124,0)),0)</f>
        <v>25</v>
      </c>
      <c r="AF342" s="51">
        <f>IFERROR(INDEX('02_SCHEDULE'!$L$5:$L$124,MATCH(AA342&amp;"|"&amp;AB342,'02_SCHEDULE'!$M$5:$M$124,0)),0)</f>
        <v>26</v>
      </c>
      <c r="AG342" s="51">
        <f t="shared" si="27"/>
        <v>2</v>
      </c>
    </row>
    <row r="343" spans="27:33" x14ac:dyDescent="0.3">
      <c r="AA343" s="51" t="str">
        <f>'Sites Master'!$B$7</f>
        <v>Site 06</v>
      </c>
      <c r="AB343" s="51" t="str">
        <f>'Phase-Resource Allocation'!$B$32</f>
        <v>Training</v>
      </c>
      <c r="AC343" s="51" t="str">
        <f>'Phase-Resource Allocation'!$C$32</f>
        <v>Change Management Lead</v>
      </c>
      <c r="AD343" s="60">
        <f>'Phase-Resource Allocation'!$D$32</f>
        <v>1</v>
      </c>
      <c r="AE343" s="51">
        <f>IFERROR(INDEX('02_SCHEDULE'!$K$5:$K$124,MATCH(AA343&amp;"|"&amp;AB343,'02_SCHEDULE'!$M$5:$M$124,0)),0)</f>
        <v>27</v>
      </c>
      <c r="AF343" s="51">
        <f>IFERROR(INDEX('02_SCHEDULE'!$L$5:$L$124,MATCH(AA343&amp;"|"&amp;AB343,'02_SCHEDULE'!$M$5:$M$124,0)),0)</f>
        <v>29</v>
      </c>
      <c r="AG343" s="51">
        <f t="shared" si="27"/>
        <v>3</v>
      </c>
    </row>
    <row r="344" spans="27:33" x14ac:dyDescent="0.3">
      <c r="AA344" s="51" t="str">
        <f>'Sites Master'!$B$7</f>
        <v>Site 06</v>
      </c>
      <c r="AB344" s="51" t="str">
        <f>'Phase-Resource Allocation'!$B$33</f>
        <v>Training</v>
      </c>
      <c r="AC344" s="51" t="str">
        <f>'Phase-Resource Allocation'!$C$33</f>
        <v>Trainers</v>
      </c>
      <c r="AD344" s="60">
        <f>'Phase-Resource Allocation'!$D$33</f>
        <v>1</v>
      </c>
      <c r="AE344" s="51">
        <f>IFERROR(INDEX('02_SCHEDULE'!$K$5:$K$124,MATCH(AA344&amp;"|"&amp;AB344,'02_SCHEDULE'!$M$5:$M$124,0)),0)</f>
        <v>27</v>
      </c>
      <c r="AF344" s="51">
        <f>IFERROR(INDEX('02_SCHEDULE'!$L$5:$L$124,MATCH(AA344&amp;"|"&amp;AB344,'02_SCHEDULE'!$M$5:$M$124,0)),0)</f>
        <v>29</v>
      </c>
      <c r="AG344" s="51">
        <f t="shared" si="27"/>
        <v>3</v>
      </c>
    </row>
    <row r="345" spans="27:33" x14ac:dyDescent="0.3">
      <c r="AA345" s="51" t="str">
        <f>'Sites Master'!$B$7</f>
        <v>Site 06</v>
      </c>
      <c r="AB345" s="51" t="str">
        <f>'Phase-Resource Allocation'!$B$34</f>
        <v>DIALT</v>
      </c>
      <c r="AC345" s="51" t="str">
        <f>'Phase-Resource Allocation'!$C$34</f>
        <v>Solution Architect</v>
      </c>
      <c r="AD345" s="60">
        <f>'Phase-Resource Allocation'!$D$34</f>
        <v>0.5</v>
      </c>
      <c r="AE345" s="51">
        <f>IFERROR(INDEX('02_SCHEDULE'!$K$5:$K$124,MATCH(AA345&amp;"|"&amp;AB345,'02_SCHEDULE'!$M$5:$M$124,0)),0)</f>
        <v>30</v>
      </c>
      <c r="AF345" s="51">
        <f>IFERROR(INDEX('02_SCHEDULE'!$L$5:$L$124,MATCH(AA345&amp;"|"&amp;AB345,'02_SCHEDULE'!$M$5:$M$124,0)),0)</f>
        <v>30</v>
      </c>
      <c r="AG345" s="51">
        <f t="shared" si="27"/>
        <v>0.5</v>
      </c>
    </row>
    <row r="346" spans="27:33" x14ac:dyDescent="0.3">
      <c r="AA346" s="51" t="str">
        <f>'Sites Master'!$B$7</f>
        <v>Site 06</v>
      </c>
      <c r="AB346" s="51" t="str">
        <f>'Phase-Resource Allocation'!$B$35</f>
        <v>DIALT</v>
      </c>
      <c r="AC346" s="51" t="str">
        <f>'Phase-Resource Allocation'!$C$35</f>
        <v>Change Management Lead</v>
      </c>
      <c r="AD346" s="60">
        <f>'Phase-Resource Allocation'!$D$35</f>
        <v>1</v>
      </c>
      <c r="AE346" s="51">
        <f>IFERROR(INDEX('02_SCHEDULE'!$K$5:$K$124,MATCH(AA346&amp;"|"&amp;AB346,'02_SCHEDULE'!$M$5:$M$124,0)),0)</f>
        <v>30</v>
      </c>
      <c r="AF346" s="51">
        <f>IFERROR(INDEX('02_SCHEDULE'!$L$5:$L$124,MATCH(AA346&amp;"|"&amp;AB346,'02_SCHEDULE'!$M$5:$M$124,0)),0)</f>
        <v>30</v>
      </c>
      <c r="AG346" s="51">
        <f t="shared" si="27"/>
        <v>1</v>
      </c>
    </row>
    <row r="347" spans="27:33" x14ac:dyDescent="0.3">
      <c r="AA347" s="51" t="str">
        <f>'Sites Master'!$B$7</f>
        <v>Site 06</v>
      </c>
      <c r="AB347" s="51" t="str">
        <f>'Phase-Resource Allocation'!$B$36</f>
        <v>DIALT</v>
      </c>
      <c r="AC347" s="51" t="str">
        <f>'Phase-Resource Allocation'!$C$36</f>
        <v>Azure Lead</v>
      </c>
      <c r="AD347" s="60">
        <f>'Phase-Resource Allocation'!$D$36</f>
        <v>0.75</v>
      </c>
      <c r="AE347" s="51">
        <f>IFERROR(INDEX('02_SCHEDULE'!$K$5:$K$124,MATCH(AA347&amp;"|"&amp;AB347,'02_SCHEDULE'!$M$5:$M$124,0)),0)</f>
        <v>30</v>
      </c>
      <c r="AF347" s="51">
        <f>IFERROR(INDEX('02_SCHEDULE'!$L$5:$L$124,MATCH(AA347&amp;"|"&amp;AB347,'02_SCHEDULE'!$M$5:$M$124,0)),0)</f>
        <v>30</v>
      </c>
      <c r="AG347" s="51">
        <f t="shared" si="27"/>
        <v>0.75</v>
      </c>
    </row>
    <row r="348" spans="27:33" x14ac:dyDescent="0.3">
      <c r="AA348" s="51" t="str">
        <f>'Sites Master'!$B$7</f>
        <v>Site 06</v>
      </c>
      <c r="AB348" s="51" t="str">
        <f>'Phase-Resource Allocation'!$B$37</f>
        <v>DIALT</v>
      </c>
      <c r="AC348" s="51" t="str">
        <f>'Phase-Resource Allocation'!$C$37</f>
        <v>Azure Specialist</v>
      </c>
      <c r="AD348" s="60">
        <f>'Phase-Resource Allocation'!$D$37</f>
        <v>0.75</v>
      </c>
      <c r="AE348" s="51">
        <f>IFERROR(INDEX('02_SCHEDULE'!$K$5:$K$124,MATCH(AA348&amp;"|"&amp;AB348,'02_SCHEDULE'!$M$5:$M$124,0)),0)</f>
        <v>30</v>
      </c>
      <c r="AF348" s="51">
        <f>IFERROR(INDEX('02_SCHEDULE'!$L$5:$L$124,MATCH(AA348&amp;"|"&amp;AB348,'02_SCHEDULE'!$M$5:$M$124,0)),0)</f>
        <v>30</v>
      </c>
      <c r="AG348" s="51">
        <f t="shared" si="27"/>
        <v>0.75</v>
      </c>
    </row>
    <row r="349" spans="27:33" x14ac:dyDescent="0.3">
      <c r="AA349" s="51" t="str">
        <f>'Sites Master'!$B$7</f>
        <v>Site 06</v>
      </c>
      <c r="AB349" s="51" t="str">
        <f>'Phase-Resource Allocation'!$B$38</f>
        <v>DIALT</v>
      </c>
      <c r="AC349" s="51" t="str">
        <f>'Phase-Resource Allocation'!$C$38</f>
        <v>Functional Lead</v>
      </c>
      <c r="AD349" s="60">
        <f>'Phase-Resource Allocation'!$D$38</f>
        <v>1</v>
      </c>
      <c r="AE349" s="51">
        <f>IFERROR(INDEX('02_SCHEDULE'!$K$5:$K$124,MATCH(AA349&amp;"|"&amp;AB349,'02_SCHEDULE'!$M$5:$M$124,0)),0)</f>
        <v>30</v>
      </c>
      <c r="AF349" s="51">
        <f>IFERROR(INDEX('02_SCHEDULE'!$L$5:$L$124,MATCH(AA349&amp;"|"&amp;AB349,'02_SCHEDULE'!$M$5:$M$124,0)),0)</f>
        <v>30</v>
      </c>
      <c r="AG349" s="51">
        <f t="shared" si="27"/>
        <v>1</v>
      </c>
    </row>
    <row r="350" spans="27:33" x14ac:dyDescent="0.3">
      <c r="AA350" s="51" t="str">
        <f>'Sites Master'!$B$7</f>
        <v>Site 06</v>
      </c>
      <c r="AB350" s="51" t="str">
        <f>'Phase-Resource Allocation'!$B$39</f>
        <v>DIALT</v>
      </c>
      <c r="AC350" s="51" t="str">
        <f>'Phase-Resource Allocation'!$C$39</f>
        <v>Trainers</v>
      </c>
      <c r="AD350" s="60">
        <f>'Phase-Resource Allocation'!$D$39</f>
        <v>1</v>
      </c>
      <c r="AE350" s="51">
        <f>IFERROR(INDEX('02_SCHEDULE'!$K$5:$K$124,MATCH(AA350&amp;"|"&amp;AB350,'02_SCHEDULE'!$M$5:$M$124,0)),0)</f>
        <v>30</v>
      </c>
      <c r="AF350" s="51">
        <f>IFERROR(INDEX('02_SCHEDULE'!$L$5:$L$124,MATCH(AA350&amp;"|"&amp;AB350,'02_SCHEDULE'!$M$5:$M$124,0)),0)</f>
        <v>30</v>
      </c>
      <c r="AG350" s="51">
        <f t="shared" si="27"/>
        <v>1</v>
      </c>
    </row>
    <row r="351" spans="27:33" x14ac:dyDescent="0.3">
      <c r="AA351" s="51" t="str">
        <f>'Sites Master'!$B$7</f>
        <v>Site 06</v>
      </c>
      <c r="AB351" s="51" t="str">
        <f>'Phase-Resource Allocation'!$B$40</f>
        <v>DIALT</v>
      </c>
      <c r="AC351" s="51" t="str">
        <f>'Phase-Resource Allocation'!$C$40</f>
        <v>Functional Lead Vendor A</v>
      </c>
      <c r="AD351" s="60">
        <f>'Phase-Resource Allocation'!$D$40</f>
        <v>1</v>
      </c>
      <c r="AE351" s="51">
        <f>IFERROR(INDEX('02_SCHEDULE'!$K$5:$K$124,MATCH(AA351&amp;"|"&amp;AB351,'02_SCHEDULE'!$M$5:$M$124,0)),0)</f>
        <v>30</v>
      </c>
      <c r="AF351" s="51">
        <f>IFERROR(INDEX('02_SCHEDULE'!$L$5:$L$124,MATCH(AA351&amp;"|"&amp;AB351,'02_SCHEDULE'!$M$5:$M$124,0)),0)</f>
        <v>30</v>
      </c>
      <c r="AG351" s="51">
        <f t="shared" si="27"/>
        <v>1</v>
      </c>
    </row>
    <row r="352" spans="27:33" x14ac:dyDescent="0.3">
      <c r="AA352" s="51" t="str">
        <f>'Sites Master'!$B$7</f>
        <v>Site 06</v>
      </c>
      <c r="AB352" s="51" t="str">
        <f>'Phase-Resource Allocation'!$B$41</f>
        <v>Go Live</v>
      </c>
      <c r="AC352" s="51" t="str">
        <f>'Phase-Resource Allocation'!$C$41</f>
        <v>Solution Architect</v>
      </c>
      <c r="AD352" s="60">
        <f>'Phase-Resource Allocation'!$D$41</f>
        <v>1</v>
      </c>
      <c r="AE352" s="51">
        <f>IFERROR(INDEX('02_SCHEDULE'!$K$5:$K$124,MATCH(AA352&amp;"|"&amp;AB352,'02_SCHEDULE'!$M$5:$M$124,0)),0)</f>
        <v>31</v>
      </c>
      <c r="AF352" s="51">
        <f>IFERROR(INDEX('02_SCHEDULE'!$L$5:$L$124,MATCH(AA352&amp;"|"&amp;AB352,'02_SCHEDULE'!$M$5:$M$124,0)),0)</f>
        <v>31</v>
      </c>
      <c r="AG352" s="51">
        <f t="shared" si="27"/>
        <v>1</v>
      </c>
    </row>
    <row r="353" spans="27:33" x14ac:dyDescent="0.3">
      <c r="AA353" s="51" t="str">
        <f>'Sites Master'!$B$7</f>
        <v>Site 06</v>
      </c>
      <c r="AB353" s="51" t="str">
        <f>'Phase-Resource Allocation'!$B$42</f>
        <v>Go Live</v>
      </c>
      <c r="AC353" s="51" t="str">
        <f>'Phase-Resource Allocation'!$C$42</f>
        <v>Change Management Lead</v>
      </c>
      <c r="AD353" s="60">
        <f>'Phase-Resource Allocation'!$D$42</f>
        <v>1</v>
      </c>
      <c r="AE353" s="51">
        <f>IFERROR(INDEX('02_SCHEDULE'!$K$5:$K$124,MATCH(AA353&amp;"|"&amp;AB353,'02_SCHEDULE'!$M$5:$M$124,0)),0)</f>
        <v>31</v>
      </c>
      <c r="AF353" s="51">
        <f>IFERROR(INDEX('02_SCHEDULE'!$L$5:$L$124,MATCH(AA353&amp;"|"&amp;AB353,'02_SCHEDULE'!$M$5:$M$124,0)),0)</f>
        <v>31</v>
      </c>
      <c r="AG353" s="51">
        <f t="shared" si="27"/>
        <v>1</v>
      </c>
    </row>
    <row r="354" spans="27:33" x14ac:dyDescent="0.3">
      <c r="AA354" s="51" t="str">
        <f>'Sites Master'!$B$7</f>
        <v>Site 06</v>
      </c>
      <c r="AB354" s="51" t="str">
        <f>'Phase-Resource Allocation'!$B$43</f>
        <v>Go Live</v>
      </c>
      <c r="AC354" s="51" t="str">
        <f>'Phase-Resource Allocation'!$C$43</f>
        <v>SAP Integrations Lead</v>
      </c>
      <c r="AD354" s="60">
        <f>'Phase-Resource Allocation'!$D$43</f>
        <v>1</v>
      </c>
      <c r="AE354" s="51">
        <f>IFERROR(INDEX('02_SCHEDULE'!$K$5:$K$124,MATCH(AA354&amp;"|"&amp;AB354,'02_SCHEDULE'!$M$5:$M$124,0)),0)</f>
        <v>31</v>
      </c>
      <c r="AF354" s="51">
        <f>IFERROR(INDEX('02_SCHEDULE'!$L$5:$L$124,MATCH(AA354&amp;"|"&amp;AB354,'02_SCHEDULE'!$M$5:$M$124,0)),0)</f>
        <v>31</v>
      </c>
      <c r="AG354" s="51">
        <f t="shared" si="27"/>
        <v>1</v>
      </c>
    </row>
    <row r="355" spans="27:33" x14ac:dyDescent="0.3">
      <c r="AA355" s="51" t="str">
        <f>'Sites Master'!$B$7</f>
        <v>Site 06</v>
      </c>
      <c r="AB355" s="51" t="str">
        <f>'Phase-Resource Allocation'!$B$44</f>
        <v>Go Live</v>
      </c>
      <c r="AC355" s="51" t="str">
        <f>'Phase-Resource Allocation'!$C$44</f>
        <v>SAP Integrations Specialist</v>
      </c>
      <c r="AD355" s="60">
        <f>'Phase-Resource Allocation'!$D$44</f>
        <v>1</v>
      </c>
      <c r="AE355" s="51">
        <f>IFERROR(INDEX('02_SCHEDULE'!$K$5:$K$124,MATCH(AA355&amp;"|"&amp;AB355,'02_SCHEDULE'!$M$5:$M$124,0)),0)</f>
        <v>31</v>
      </c>
      <c r="AF355" s="51">
        <f>IFERROR(INDEX('02_SCHEDULE'!$L$5:$L$124,MATCH(AA355&amp;"|"&amp;AB355,'02_SCHEDULE'!$M$5:$M$124,0)),0)</f>
        <v>31</v>
      </c>
      <c r="AG355" s="51">
        <f t="shared" si="27"/>
        <v>1</v>
      </c>
    </row>
    <row r="356" spans="27:33" x14ac:dyDescent="0.3">
      <c r="AA356" s="51" t="str">
        <f>'Sites Master'!$B$7</f>
        <v>Site 06</v>
      </c>
      <c r="AB356" s="51" t="str">
        <f>'Phase-Resource Allocation'!$B$45</f>
        <v>Go Live</v>
      </c>
      <c r="AC356" s="51" t="str">
        <f>'Phase-Resource Allocation'!$C$45</f>
        <v>Azure Lead</v>
      </c>
      <c r="AD356" s="60">
        <f>'Phase-Resource Allocation'!$D$45</f>
        <v>1</v>
      </c>
      <c r="AE356" s="51">
        <f>IFERROR(INDEX('02_SCHEDULE'!$K$5:$K$124,MATCH(AA356&amp;"|"&amp;AB356,'02_SCHEDULE'!$M$5:$M$124,0)),0)</f>
        <v>31</v>
      </c>
      <c r="AF356" s="51">
        <f>IFERROR(INDEX('02_SCHEDULE'!$L$5:$L$124,MATCH(AA356&amp;"|"&amp;AB356,'02_SCHEDULE'!$M$5:$M$124,0)),0)</f>
        <v>31</v>
      </c>
      <c r="AG356" s="51">
        <f t="shared" si="27"/>
        <v>1</v>
      </c>
    </row>
    <row r="357" spans="27:33" x14ac:dyDescent="0.3">
      <c r="AA357" s="51" t="str">
        <f>'Sites Master'!$B$7</f>
        <v>Site 06</v>
      </c>
      <c r="AB357" s="51" t="str">
        <f>'Phase-Resource Allocation'!$B$46</f>
        <v>Go Live</v>
      </c>
      <c r="AC357" s="51" t="str">
        <f>'Phase-Resource Allocation'!$C$46</f>
        <v>Azure Specialist</v>
      </c>
      <c r="AD357" s="60">
        <f>'Phase-Resource Allocation'!$D$46</f>
        <v>1</v>
      </c>
      <c r="AE357" s="51">
        <f>IFERROR(INDEX('02_SCHEDULE'!$K$5:$K$124,MATCH(AA357&amp;"|"&amp;AB357,'02_SCHEDULE'!$M$5:$M$124,0)),0)</f>
        <v>31</v>
      </c>
      <c r="AF357" s="51">
        <f>IFERROR(INDEX('02_SCHEDULE'!$L$5:$L$124,MATCH(AA357&amp;"|"&amp;AB357,'02_SCHEDULE'!$M$5:$M$124,0)),0)</f>
        <v>31</v>
      </c>
      <c r="AG357" s="51">
        <f t="shared" si="27"/>
        <v>1</v>
      </c>
    </row>
    <row r="358" spans="27:33" x14ac:dyDescent="0.3">
      <c r="AA358" s="51" t="str">
        <f>'Sites Master'!$B$7</f>
        <v>Site 06</v>
      </c>
      <c r="AB358" s="51" t="str">
        <f>'Phase-Resource Allocation'!$B$47</f>
        <v>Go Live</v>
      </c>
      <c r="AC358" s="51" t="str">
        <f>'Phase-Resource Allocation'!$C$47</f>
        <v>Functional Lead</v>
      </c>
      <c r="AD358" s="60">
        <f>'Phase-Resource Allocation'!$D$47</f>
        <v>1</v>
      </c>
      <c r="AE358" s="51">
        <f>IFERROR(INDEX('02_SCHEDULE'!$K$5:$K$124,MATCH(AA358&amp;"|"&amp;AB358,'02_SCHEDULE'!$M$5:$M$124,0)),0)</f>
        <v>31</v>
      </c>
      <c r="AF358" s="51">
        <f>IFERROR(INDEX('02_SCHEDULE'!$L$5:$L$124,MATCH(AA358&amp;"|"&amp;AB358,'02_SCHEDULE'!$M$5:$M$124,0)),0)</f>
        <v>31</v>
      </c>
      <c r="AG358" s="51">
        <f t="shared" si="27"/>
        <v>1</v>
      </c>
    </row>
    <row r="359" spans="27:33" x14ac:dyDescent="0.3">
      <c r="AA359" s="51" t="str">
        <f>'Sites Master'!$B$7</f>
        <v>Site 06</v>
      </c>
      <c r="AB359" s="51" t="str">
        <f>'Phase-Resource Allocation'!$B$48</f>
        <v>Go Live</v>
      </c>
      <c r="AC359" s="51" t="str">
        <f>'Phase-Resource Allocation'!$C$48</f>
        <v>Trainers</v>
      </c>
      <c r="AD359" s="60">
        <f>'Phase-Resource Allocation'!$D$48</f>
        <v>1</v>
      </c>
      <c r="AE359" s="51">
        <f>IFERROR(INDEX('02_SCHEDULE'!$K$5:$K$124,MATCH(AA359&amp;"|"&amp;AB359,'02_SCHEDULE'!$M$5:$M$124,0)),0)</f>
        <v>31</v>
      </c>
      <c r="AF359" s="51">
        <f>IFERROR(INDEX('02_SCHEDULE'!$L$5:$L$124,MATCH(AA359&amp;"|"&amp;AB359,'02_SCHEDULE'!$M$5:$M$124,0)),0)</f>
        <v>31</v>
      </c>
      <c r="AG359" s="51">
        <f t="shared" si="27"/>
        <v>1</v>
      </c>
    </row>
    <row r="360" spans="27:33" x14ac:dyDescent="0.3">
      <c r="AA360" s="51" t="str">
        <f>'Sites Master'!$B$7</f>
        <v>Site 06</v>
      </c>
      <c r="AB360" s="51" t="str">
        <f>'Phase-Resource Allocation'!$B$49</f>
        <v>Go Live</v>
      </c>
      <c r="AC360" s="51" t="str">
        <f>'Phase-Resource Allocation'!$C$49</f>
        <v>Infrastructure Lead</v>
      </c>
      <c r="AD360" s="60">
        <f>'Phase-Resource Allocation'!$D$49</f>
        <v>1</v>
      </c>
      <c r="AE360" s="51">
        <f>IFERROR(INDEX('02_SCHEDULE'!$K$5:$K$124,MATCH(AA360&amp;"|"&amp;AB360,'02_SCHEDULE'!$M$5:$M$124,0)),0)</f>
        <v>31</v>
      </c>
      <c r="AF360" s="51">
        <f>IFERROR(INDEX('02_SCHEDULE'!$L$5:$L$124,MATCH(AA360&amp;"|"&amp;AB360,'02_SCHEDULE'!$M$5:$M$124,0)),0)</f>
        <v>31</v>
      </c>
      <c r="AG360" s="51">
        <f t="shared" si="27"/>
        <v>1</v>
      </c>
    </row>
    <row r="361" spans="27:33" x14ac:dyDescent="0.3">
      <c r="AA361" s="51" t="str">
        <f>'Sites Master'!$B$7</f>
        <v>Site 06</v>
      </c>
      <c r="AB361" s="51" t="str">
        <f>'Phase-Resource Allocation'!$B$50</f>
        <v>Go Live</v>
      </c>
      <c r="AC361" s="51" t="str">
        <f>'Phase-Resource Allocation'!$C$50</f>
        <v>Functional Lead Vendor A</v>
      </c>
      <c r="AD361" s="60">
        <f>'Phase-Resource Allocation'!$D$50</f>
        <v>1</v>
      </c>
      <c r="AE361" s="51">
        <f>IFERROR(INDEX('02_SCHEDULE'!$K$5:$K$124,MATCH(AA361&amp;"|"&amp;AB361,'02_SCHEDULE'!$M$5:$M$124,0)),0)</f>
        <v>31</v>
      </c>
      <c r="AF361" s="51">
        <f>IFERROR(INDEX('02_SCHEDULE'!$L$5:$L$124,MATCH(AA361&amp;"|"&amp;AB361,'02_SCHEDULE'!$M$5:$M$124,0)),0)</f>
        <v>31</v>
      </c>
      <c r="AG361" s="51">
        <f t="shared" si="27"/>
        <v>1</v>
      </c>
    </row>
    <row r="362" spans="27:33" x14ac:dyDescent="0.3">
      <c r="AA362" s="51" t="str">
        <f>'Sites Master'!$B$7</f>
        <v>Site 06</v>
      </c>
      <c r="AB362" s="51" t="str">
        <f>'Phase-Resource Allocation'!$B$51</f>
        <v>Hypercare</v>
      </c>
      <c r="AC362" s="51" t="str">
        <f>'Phase-Resource Allocation'!$C$51</f>
        <v>Solution Architect</v>
      </c>
      <c r="AD362" s="60">
        <f>'Phase-Resource Allocation'!$D$51</f>
        <v>0.5</v>
      </c>
      <c r="AE362" s="51">
        <f>IFERROR(INDEX('02_SCHEDULE'!$K$5:$K$124,MATCH(AA362&amp;"|"&amp;AB362,'02_SCHEDULE'!$M$5:$M$124,0)),0)</f>
        <v>32</v>
      </c>
      <c r="AF362" s="51">
        <f>IFERROR(INDEX('02_SCHEDULE'!$L$5:$L$124,MATCH(AA362&amp;"|"&amp;AB362,'02_SCHEDULE'!$M$5:$M$124,0)),0)</f>
        <v>35</v>
      </c>
      <c r="AG362" s="51">
        <f t="shared" si="27"/>
        <v>2</v>
      </c>
    </row>
    <row r="363" spans="27:33" x14ac:dyDescent="0.3">
      <c r="AA363" s="51" t="str">
        <f>'Sites Master'!$B$7</f>
        <v>Site 06</v>
      </c>
      <c r="AB363" s="51" t="str">
        <f>'Phase-Resource Allocation'!$B$52</f>
        <v>Hypercare</v>
      </c>
      <c r="AC363" s="51" t="str">
        <f>'Phase-Resource Allocation'!$C$52</f>
        <v>Change Management Lead</v>
      </c>
      <c r="AD363" s="60">
        <f>'Phase-Resource Allocation'!$D$52</f>
        <v>1</v>
      </c>
      <c r="AE363" s="51">
        <f>IFERROR(INDEX('02_SCHEDULE'!$K$5:$K$124,MATCH(AA363&amp;"|"&amp;AB363,'02_SCHEDULE'!$M$5:$M$124,0)),0)</f>
        <v>32</v>
      </c>
      <c r="AF363" s="51">
        <f>IFERROR(INDEX('02_SCHEDULE'!$L$5:$L$124,MATCH(AA363&amp;"|"&amp;AB363,'02_SCHEDULE'!$M$5:$M$124,0)),0)</f>
        <v>35</v>
      </c>
      <c r="AG363" s="51">
        <f t="shared" si="27"/>
        <v>4</v>
      </c>
    </row>
    <row r="364" spans="27:33" x14ac:dyDescent="0.3">
      <c r="AA364" s="51" t="str">
        <f>'Sites Master'!$B$7</f>
        <v>Site 06</v>
      </c>
      <c r="AB364" s="51" t="str">
        <f>'Phase-Resource Allocation'!$B$53</f>
        <v>Hypercare</v>
      </c>
      <c r="AC364" s="51" t="str">
        <f>'Phase-Resource Allocation'!$C$53</f>
        <v>SAP Integrations Lead</v>
      </c>
      <c r="AD364" s="60">
        <f>'Phase-Resource Allocation'!$D$53</f>
        <v>0.5</v>
      </c>
      <c r="AE364" s="51">
        <f>IFERROR(INDEX('02_SCHEDULE'!$K$5:$K$124,MATCH(AA364&amp;"|"&amp;AB364,'02_SCHEDULE'!$M$5:$M$124,0)),0)</f>
        <v>32</v>
      </c>
      <c r="AF364" s="51">
        <f>IFERROR(INDEX('02_SCHEDULE'!$L$5:$L$124,MATCH(AA364&amp;"|"&amp;AB364,'02_SCHEDULE'!$M$5:$M$124,0)),0)</f>
        <v>35</v>
      </c>
      <c r="AG364" s="51">
        <f t="shared" si="27"/>
        <v>2</v>
      </c>
    </row>
    <row r="365" spans="27:33" x14ac:dyDescent="0.3">
      <c r="AA365" s="51" t="str">
        <f>'Sites Master'!$B$7</f>
        <v>Site 06</v>
      </c>
      <c r="AB365" s="51" t="str">
        <f>'Phase-Resource Allocation'!$B$54</f>
        <v>Hypercare</v>
      </c>
      <c r="AC365" s="51" t="str">
        <f>'Phase-Resource Allocation'!$C$54</f>
        <v>SAP Integrations Specialist</v>
      </c>
      <c r="AD365" s="60">
        <f>'Phase-Resource Allocation'!$D$54</f>
        <v>0.5</v>
      </c>
      <c r="AE365" s="51">
        <f>IFERROR(INDEX('02_SCHEDULE'!$K$5:$K$124,MATCH(AA365&amp;"|"&amp;AB365,'02_SCHEDULE'!$M$5:$M$124,0)),0)</f>
        <v>32</v>
      </c>
      <c r="AF365" s="51">
        <f>IFERROR(INDEX('02_SCHEDULE'!$L$5:$L$124,MATCH(AA365&amp;"|"&amp;AB365,'02_SCHEDULE'!$M$5:$M$124,0)),0)</f>
        <v>35</v>
      </c>
      <c r="AG365" s="51">
        <f t="shared" si="27"/>
        <v>2</v>
      </c>
    </row>
    <row r="366" spans="27:33" x14ac:dyDescent="0.3">
      <c r="AA366" s="51" t="str">
        <f>'Sites Master'!$B$7</f>
        <v>Site 06</v>
      </c>
      <c r="AB366" s="51" t="str">
        <f>'Phase-Resource Allocation'!$B$55</f>
        <v>Hypercare</v>
      </c>
      <c r="AC366" s="51" t="str">
        <f>'Phase-Resource Allocation'!$C$55</f>
        <v>Azure Lead</v>
      </c>
      <c r="AD366" s="60">
        <f>'Phase-Resource Allocation'!$D$55</f>
        <v>0.5</v>
      </c>
      <c r="AE366" s="51">
        <f>IFERROR(INDEX('02_SCHEDULE'!$K$5:$K$124,MATCH(AA366&amp;"|"&amp;AB366,'02_SCHEDULE'!$M$5:$M$124,0)),0)</f>
        <v>32</v>
      </c>
      <c r="AF366" s="51">
        <f>IFERROR(INDEX('02_SCHEDULE'!$L$5:$L$124,MATCH(AA366&amp;"|"&amp;AB366,'02_SCHEDULE'!$M$5:$M$124,0)),0)</f>
        <v>35</v>
      </c>
      <c r="AG366" s="51">
        <f t="shared" si="27"/>
        <v>2</v>
      </c>
    </row>
    <row r="367" spans="27:33" x14ac:dyDescent="0.3">
      <c r="AA367" s="51" t="str">
        <f>'Sites Master'!$B$7</f>
        <v>Site 06</v>
      </c>
      <c r="AB367" s="51" t="str">
        <f>'Phase-Resource Allocation'!$B$56</f>
        <v>Hypercare</v>
      </c>
      <c r="AC367" s="51" t="str">
        <f>'Phase-Resource Allocation'!$C$56</f>
        <v>Azure Specialist</v>
      </c>
      <c r="AD367" s="60">
        <f>'Phase-Resource Allocation'!$D$56</f>
        <v>0.5</v>
      </c>
      <c r="AE367" s="51">
        <f>IFERROR(INDEX('02_SCHEDULE'!$K$5:$K$124,MATCH(AA367&amp;"|"&amp;AB367,'02_SCHEDULE'!$M$5:$M$124,0)),0)</f>
        <v>32</v>
      </c>
      <c r="AF367" s="51">
        <f>IFERROR(INDEX('02_SCHEDULE'!$L$5:$L$124,MATCH(AA367&amp;"|"&amp;AB367,'02_SCHEDULE'!$M$5:$M$124,0)),0)</f>
        <v>35</v>
      </c>
      <c r="AG367" s="51">
        <f t="shared" si="27"/>
        <v>2</v>
      </c>
    </row>
    <row r="368" spans="27:33" x14ac:dyDescent="0.3">
      <c r="AA368" s="51" t="str">
        <f>'Sites Master'!$B$7</f>
        <v>Site 06</v>
      </c>
      <c r="AB368" s="51" t="str">
        <f>'Phase-Resource Allocation'!$B$57</f>
        <v>Hypercare</v>
      </c>
      <c r="AC368" s="51" t="str">
        <f>'Phase-Resource Allocation'!$C$57</f>
        <v>Functional Lead</v>
      </c>
      <c r="AD368" s="60">
        <f>'Phase-Resource Allocation'!$D$57</f>
        <v>1</v>
      </c>
      <c r="AE368" s="51">
        <f>IFERROR(INDEX('02_SCHEDULE'!$K$5:$K$124,MATCH(AA368&amp;"|"&amp;AB368,'02_SCHEDULE'!$M$5:$M$124,0)),0)</f>
        <v>32</v>
      </c>
      <c r="AF368" s="51">
        <f>IFERROR(INDEX('02_SCHEDULE'!$L$5:$L$124,MATCH(AA368&amp;"|"&amp;AB368,'02_SCHEDULE'!$M$5:$M$124,0)),0)</f>
        <v>35</v>
      </c>
      <c r="AG368" s="51">
        <f t="shared" si="27"/>
        <v>4</v>
      </c>
    </row>
    <row r="369" spans="27:33" x14ac:dyDescent="0.3">
      <c r="AA369" s="51" t="str">
        <f>'Sites Master'!$B$7</f>
        <v>Site 06</v>
      </c>
      <c r="AB369" s="51" t="str">
        <f>'Phase-Resource Allocation'!$B$58</f>
        <v>Hypercare</v>
      </c>
      <c r="AC369" s="51" t="str">
        <f>'Phase-Resource Allocation'!$C$58</f>
        <v>Functional Lead</v>
      </c>
      <c r="AD369" s="60">
        <f>'Phase-Resource Allocation'!$D$58</f>
        <v>1</v>
      </c>
      <c r="AE369" s="51">
        <f>IFERROR(INDEX('02_SCHEDULE'!$K$5:$K$124,MATCH(AA369&amp;"|"&amp;AB369,'02_SCHEDULE'!$M$5:$M$124,0)),0)</f>
        <v>32</v>
      </c>
      <c r="AF369" s="51">
        <f>IFERROR(INDEX('02_SCHEDULE'!$L$5:$L$124,MATCH(AA369&amp;"|"&amp;AB369,'02_SCHEDULE'!$M$5:$M$124,0)),0)</f>
        <v>35</v>
      </c>
      <c r="AG369" s="51">
        <f t="shared" si="27"/>
        <v>4</v>
      </c>
    </row>
    <row r="370" spans="27:33" x14ac:dyDescent="0.3">
      <c r="AA370" s="51" t="str">
        <f>'Sites Master'!$B$7</f>
        <v>Site 06</v>
      </c>
      <c r="AB370" s="51" t="str">
        <f>'Phase-Resource Allocation'!$B$59</f>
        <v>Hypercare</v>
      </c>
      <c r="AC370" s="51" t="str">
        <f>'Phase-Resource Allocation'!$C$59</f>
        <v>Trainers</v>
      </c>
      <c r="AD370" s="60">
        <f>'Phase-Resource Allocation'!$D$59</f>
        <v>1</v>
      </c>
      <c r="AE370" s="51">
        <f>IFERROR(INDEX('02_SCHEDULE'!$K$5:$K$124,MATCH(AA370&amp;"|"&amp;AB370,'02_SCHEDULE'!$M$5:$M$124,0)),0)</f>
        <v>32</v>
      </c>
      <c r="AF370" s="51">
        <f>IFERROR(INDEX('02_SCHEDULE'!$L$5:$L$124,MATCH(AA370&amp;"|"&amp;AB370,'02_SCHEDULE'!$M$5:$M$124,0)),0)</f>
        <v>35</v>
      </c>
      <c r="AG370" s="51">
        <f t="shared" si="27"/>
        <v>4</v>
      </c>
    </row>
    <row r="371" spans="27:33" x14ac:dyDescent="0.3">
      <c r="AA371" s="51" t="str">
        <f>'Sites Master'!$B$7</f>
        <v>Site 06</v>
      </c>
      <c r="AB371" s="51" t="str">
        <f>'Phase-Resource Allocation'!$B$60</f>
        <v>Hypercare</v>
      </c>
      <c r="AC371" s="51" t="str">
        <f>'Phase-Resource Allocation'!$C$60</f>
        <v>Trainers</v>
      </c>
      <c r="AD371" s="60">
        <f>'Phase-Resource Allocation'!$D$60</f>
        <v>1</v>
      </c>
      <c r="AE371" s="51">
        <f>IFERROR(INDEX('02_SCHEDULE'!$K$5:$K$124,MATCH(AA371&amp;"|"&amp;AB371,'02_SCHEDULE'!$M$5:$M$124,0)),0)</f>
        <v>32</v>
      </c>
      <c r="AF371" s="51">
        <f>IFERROR(INDEX('02_SCHEDULE'!$L$5:$L$124,MATCH(AA371&amp;"|"&amp;AB371,'02_SCHEDULE'!$M$5:$M$124,0)),0)</f>
        <v>35</v>
      </c>
      <c r="AG371" s="51">
        <f t="shared" si="27"/>
        <v>4</v>
      </c>
    </row>
    <row r="372" spans="27:33" x14ac:dyDescent="0.3">
      <c r="AA372" s="51" t="str">
        <f>'Sites Master'!$B$7</f>
        <v>Site 06</v>
      </c>
      <c r="AB372" s="51" t="str">
        <f>'Phase-Resource Allocation'!$B$61</f>
        <v>Hypercare</v>
      </c>
      <c r="AC372" s="51" t="str">
        <f>'Phase-Resource Allocation'!$C$61</f>
        <v>Trainers</v>
      </c>
      <c r="AD372" s="60">
        <f>'Phase-Resource Allocation'!$D$61</f>
        <v>1</v>
      </c>
      <c r="AE372" s="51">
        <f>IFERROR(INDEX('02_SCHEDULE'!$K$5:$K$124,MATCH(AA372&amp;"|"&amp;AB372,'02_SCHEDULE'!$M$5:$M$124,0)),0)</f>
        <v>32</v>
      </c>
      <c r="AF372" s="51">
        <f>IFERROR(INDEX('02_SCHEDULE'!$L$5:$L$124,MATCH(AA372&amp;"|"&amp;AB372,'02_SCHEDULE'!$M$5:$M$124,0)),0)</f>
        <v>35</v>
      </c>
      <c r="AG372" s="51">
        <f t="shared" si="27"/>
        <v>4</v>
      </c>
    </row>
    <row r="373" spans="27:33" x14ac:dyDescent="0.3">
      <c r="AA373" s="51" t="str">
        <f>'Sites Master'!$B$7</f>
        <v>Site 06</v>
      </c>
      <c r="AB373" s="51" t="str">
        <f>'Phase-Resource Allocation'!$B$62</f>
        <v>Hypercare</v>
      </c>
      <c r="AC373" s="51" t="str">
        <f>'Phase-Resource Allocation'!$C$62</f>
        <v>Infrastructure Lead</v>
      </c>
      <c r="AD373" s="60">
        <f>'Phase-Resource Allocation'!$D$62</f>
        <v>1</v>
      </c>
      <c r="AE373" s="51">
        <f>IFERROR(INDEX('02_SCHEDULE'!$K$5:$K$124,MATCH(AA373&amp;"|"&amp;AB373,'02_SCHEDULE'!$M$5:$M$124,0)),0)</f>
        <v>32</v>
      </c>
      <c r="AF373" s="51">
        <f>IFERROR(INDEX('02_SCHEDULE'!$L$5:$L$124,MATCH(AA373&amp;"|"&amp;AB373,'02_SCHEDULE'!$M$5:$M$124,0)),0)</f>
        <v>35</v>
      </c>
      <c r="AG373" s="51">
        <f t="shared" si="27"/>
        <v>4</v>
      </c>
    </row>
    <row r="374" spans="27:33" x14ac:dyDescent="0.3">
      <c r="AA374" s="51" t="str">
        <f>'Sites Master'!$B$7</f>
        <v>Site 06</v>
      </c>
      <c r="AB374" s="51" t="str">
        <f>'Phase-Resource Allocation'!$B$63</f>
        <v>Hypercare</v>
      </c>
      <c r="AC374" s="51" t="str">
        <f>'Phase-Resource Allocation'!$C$63</f>
        <v>Functional Lead Vendor A</v>
      </c>
      <c r="AD374" s="60">
        <f>'Phase-Resource Allocation'!$D$63</f>
        <v>0.5</v>
      </c>
      <c r="AE374" s="51">
        <f>IFERROR(INDEX('02_SCHEDULE'!$K$5:$K$124,MATCH(AA374&amp;"|"&amp;AB374,'02_SCHEDULE'!$M$5:$M$124,0)),0)</f>
        <v>32</v>
      </c>
      <c r="AF374" s="51">
        <f>IFERROR(INDEX('02_SCHEDULE'!$L$5:$L$124,MATCH(AA374&amp;"|"&amp;AB374,'02_SCHEDULE'!$M$5:$M$124,0)),0)</f>
        <v>35</v>
      </c>
      <c r="AG374" s="51">
        <f t="shared" si="27"/>
        <v>2</v>
      </c>
    </row>
    <row r="375" spans="27:33" x14ac:dyDescent="0.3">
      <c r="AA375" s="51" t="str">
        <f>'Sites Master'!$B$8</f>
        <v>Site 07</v>
      </c>
      <c r="AB375" s="51" t="str">
        <f>'Phase-Resource Allocation'!$B$64</f>
        <v>Site Readiness</v>
      </c>
      <c r="AC375" s="51" t="str">
        <f>'Phase-Resource Allocation'!$C$64</f>
        <v>Infrastructure Lead</v>
      </c>
      <c r="AD375" s="60">
        <f>'Phase-Resource Allocation'!$D$64</f>
        <v>1</v>
      </c>
      <c r="AE375" s="51">
        <f>IFERROR(INDEX('02_SCHEDULE'!$K$5:$K$124,MATCH(AA375&amp;"|"&amp;AB375,'02_SCHEDULE'!$M$5:$M$124,0)),0)</f>
        <v>33</v>
      </c>
      <c r="AF375" s="51">
        <f>IFERROR(INDEX('02_SCHEDULE'!$L$5:$L$124,MATCH(AA375&amp;"|"&amp;AB375,'02_SCHEDULE'!$M$5:$M$124,0)),0)</f>
        <v>36</v>
      </c>
      <c r="AG375" s="51">
        <f t="shared" si="27"/>
        <v>4</v>
      </c>
    </row>
    <row r="376" spans="27:33" x14ac:dyDescent="0.3">
      <c r="AA376" s="51" t="str">
        <f>'Sites Master'!$B$8</f>
        <v>Site 07</v>
      </c>
      <c r="AB376" s="51" t="str">
        <f>'Phase-Resource Allocation'!$B$65</f>
        <v>Site Readiness</v>
      </c>
      <c r="AC376" s="51" t="str">
        <f>'Phase-Resource Allocation'!$C$65</f>
        <v>SAP Integrations Lead</v>
      </c>
      <c r="AD376" s="60">
        <f>'Phase-Resource Allocation'!$D$65</f>
        <v>0.5</v>
      </c>
      <c r="AE376" s="51">
        <f>IFERROR(INDEX('02_SCHEDULE'!$K$5:$K$124,MATCH(AA376&amp;"|"&amp;AB376,'02_SCHEDULE'!$M$5:$M$124,0)),0)</f>
        <v>33</v>
      </c>
      <c r="AF376" s="51">
        <f>IFERROR(INDEX('02_SCHEDULE'!$L$5:$L$124,MATCH(AA376&amp;"|"&amp;AB376,'02_SCHEDULE'!$M$5:$M$124,0)),0)</f>
        <v>36</v>
      </c>
      <c r="AG376" s="51">
        <f t="shared" si="27"/>
        <v>2</v>
      </c>
    </row>
    <row r="377" spans="27:33" x14ac:dyDescent="0.3">
      <c r="AA377" s="51" t="str">
        <f>'Sites Master'!$B$8</f>
        <v>Site 07</v>
      </c>
      <c r="AB377" s="51" t="str">
        <f>'Phase-Resource Allocation'!$B$66</f>
        <v>Design Adaptation</v>
      </c>
      <c r="AC377" s="51" t="str">
        <f>'Phase-Resource Allocation'!$C$66</f>
        <v>Solution Architect</v>
      </c>
      <c r="AD377" s="60">
        <f>'Phase-Resource Allocation'!$D$66</f>
        <v>1</v>
      </c>
      <c r="AE377" s="51">
        <f>IFERROR(INDEX('02_SCHEDULE'!$K$5:$K$124,MATCH(AA377&amp;"|"&amp;AB377,'02_SCHEDULE'!$M$5:$M$124,0)),0)</f>
        <v>37</v>
      </c>
      <c r="AF377" s="51">
        <f>IFERROR(INDEX('02_SCHEDULE'!$L$5:$L$124,MATCH(AA377&amp;"|"&amp;AB377,'02_SCHEDULE'!$M$5:$M$124,0)),0)</f>
        <v>37</v>
      </c>
      <c r="AG377" s="51">
        <f t="shared" si="27"/>
        <v>1</v>
      </c>
    </row>
    <row r="378" spans="27:33" x14ac:dyDescent="0.3">
      <c r="AA378" s="51" t="str">
        <f>'Sites Master'!$B$8</f>
        <v>Site 07</v>
      </c>
      <c r="AB378" s="51" t="str">
        <f>'Phase-Resource Allocation'!$B$67</f>
        <v>Design Adaptation</v>
      </c>
      <c r="AC378" s="51" t="str">
        <f>'Phase-Resource Allocation'!$C$67</f>
        <v>SAP Integrations Lead</v>
      </c>
      <c r="AD378" s="60">
        <f>'Phase-Resource Allocation'!$D$67</f>
        <v>0.5</v>
      </c>
      <c r="AE378" s="51">
        <f>IFERROR(INDEX('02_SCHEDULE'!$K$5:$K$124,MATCH(AA378&amp;"|"&amp;AB378,'02_SCHEDULE'!$M$5:$M$124,0)),0)</f>
        <v>37</v>
      </c>
      <c r="AF378" s="51">
        <f>IFERROR(INDEX('02_SCHEDULE'!$L$5:$L$124,MATCH(AA378&amp;"|"&amp;AB378,'02_SCHEDULE'!$M$5:$M$124,0)),0)</f>
        <v>37</v>
      </c>
      <c r="AG378" s="51">
        <f t="shared" si="27"/>
        <v>0.5</v>
      </c>
    </row>
    <row r="379" spans="27:33" x14ac:dyDescent="0.3">
      <c r="AA379" s="51" t="str">
        <f>'Sites Master'!$B$8</f>
        <v>Site 07</v>
      </c>
      <c r="AB379" s="51" t="str">
        <f>'Phase-Resource Allocation'!$B$68</f>
        <v>Design Adaptation</v>
      </c>
      <c r="AC379" s="51" t="str">
        <f>'Phase-Resource Allocation'!$C$68</f>
        <v>SAP Integrations Specialist</v>
      </c>
      <c r="AD379" s="60">
        <f>'Phase-Resource Allocation'!$D$68</f>
        <v>0.5</v>
      </c>
      <c r="AE379" s="51">
        <f>IFERROR(INDEX('02_SCHEDULE'!$K$5:$K$124,MATCH(AA379&amp;"|"&amp;AB379,'02_SCHEDULE'!$M$5:$M$124,0)),0)</f>
        <v>37</v>
      </c>
      <c r="AF379" s="51">
        <f>IFERROR(INDEX('02_SCHEDULE'!$L$5:$L$124,MATCH(AA379&amp;"|"&amp;AB379,'02_SCHEDULE'!$M$5:$M$124,0)),0)</f>
        <v>37</v>
      </c>
      <c r="AG379" s="51">
        <f t="shared" si="27"/>
        <v>0.5</v>
      </c>
    </row>
    <row r="380" spans="27:33" x14ac:dyDescent="0.3">
      <c r="AA380" s="51" t="str">
        <f>'Sites Master'!$B$8</f>
        <v>Site 07</v>
      </c>
      <c r="AB380" s="51" t="str">
        <f>'Phase-Resource Allocation'!$B$69</f>
        <v>Design Adaptation</v>
      </c>
      <c r="AC380" s="51" t="str">
        <f>'Phase-Resource Allocation'!$C$69</f>
        <v>Azure Lead</v>
      </c>
      <c r="AD380" s="60">
        <f>'Phase-Resource Allocation'!$D$69</f>
        <v>0.5</v>
      </c>
      <c r="AE380" s="51">
        <f>IFERROR(INDEX('02_SCHEDULE'!$K$5:$K$124,MATCH(AA380&amp;"|"&amp;AB380,'02_SCHEDULE'!$M$5:$M$124,0)),0)</f>
        <v>37</v>
      </c>
      <c r="AF380" s="51">
        <f>IFERROR(INDEX('02_SCHEDULE'!$L$5:$L$124,MATCH(AA380&amp;"|"&amp;AB380,'02_SCHEDULE'!$M$5:$M$124,0)),0)</f>
        <v>37</v>
      </c>
      <c r="AG380" s="51">
        <f t="shared" si="27"/>
        <v>0.5</v>
      </c>
    </row>
    <row r="381" spans="27:33" x14ac:dyDescent="0.3">
      <c r="AA381" s="51" t="str">
        <f>'Sites Master'!$B$8</f>
        <v>Site 07</v>
      </c>
      <c r="AB381" s="51" t="str">
        <f>'Phase-Resource Allocation'!$B$70</f>
        <v>Design Adaptation</v>
      </c>
      <c r="AC381" s="51" t="str">
        <f>'Phase-Resource Allocation'!$C$70</f>
        <v>Azure Specialist</v>
      </c>
      <c r="AD381" s="60">
        <f>'Phase-Resource Allocation'!$D$70</f>
        <v>0.5</v>
      </c>
      <c r="AE381" s="51">
        <f>IFERROR(INDEX('02_SCHEDULE'!$K$5:$K$124,MATCH(AA381&amp;"|"&amp;AB381,'02_SCHEDULE'!$M$5:$M$124,0)),0)</f>
        <v>37</v>
      </c>
      <c r="AF381" s="51">
        <f>IFERROR(INDEX('02_SCHEDULE'!$L$5:$L$124,MATCH(AA381&amp;"|"&amp;AB381,'02_SCHEDULE'!$M$5:$M$124,0)),0)</f>
        <v>37</v>
      </c>
      <c r="AG381" s="51">
        <f t="shared" si="27"/>
        <v>0.5</v>
      </c>
    </row>
    <row r="382" spans="27:33" x14ac:dyDescent="0.3">
      <c r="AA382" s="51" t="str">
        <f>'Sites Master'!$B$8</f>
        <v>Site 07</v>
      </c>
      <c r="AB382" s="51" t="str">
        <f>'Phase-Resource Allocation'!$B$71</f>
        <v>Design Adaptation</v>
      </c>
      <c r="AC382" s="51" t="str">
        <f>'Phase-Resource Allocation'!$C$71</f>
        <v>Testing Lead</v>
      </c>
      <c r="AD382" s="60">
        <f>'Phase-Resource Allocation'!$D$71</f>
        <v>1</v>
      </c>
      <c r="AE382" s="51">
        <f>IFERROR(INDEX('02_SCHEDULE'!$K$5:$K$124,MATCH(AA382&amp;"|"&amp;AB382,'02_SCHEDULE'!$M$5:$M$124,0)),0)</f>
        <v>37</v>
      </c>
      <c r="AF382" s="51">
        <f>IFERROR(INDEX('02_SCHEDULE'!$L$5:$L$124,MATCH(AA382&amp;"|"&amp;AB382,'02_SCHEDULE'!$M$5:$M$124,0)),0)</f>
        <v>37</v>
      </c>
      <c r="AG382" s="51">
        <f t="shared" si="27"/>
        <v>1</v>
      </c>
    </row>
    <row r="383" spans="27:33" x14ac:dyDescent="0.3">
      <c r="AA383" s="51" t="str">
        <f>'Sites Master'!$B$8</f>
        <v>Site 07</v>
      </c>
      <c r="AB383" s="51" t="str">
        <f>'Phase-Resource Allocation'!$B$72</f>
        <v>Design Adaptation</v>
      </c>
      <c r="AC383" s="51" t="str">
        <f>'Phase-Resource Allocation'!$C$72</f>
        <v>Functional Lead</v>
      </c>
      <c r="AD383" s="60">
        <f>'Phase-Resource Allocation'!$D$72</f>
        <v>1</v>
      </c>
      <c r="AE383" s="51">
        <f>IFERROR(INDEX('02_SCHEDULE'!$K$5:$K$124,MATCH(AA383&amp;"|"&amp;AB383,'02_SCHEDULE'!$M$5:$M$124,0)),0)</f>
        <v>37</v>
      </c>
      <c r="AF383" s="51">
        <f>IFERROR(INDEX('02_SCHEDULE'!$L$5:$L$124,MATCH(AA383&amp;"|"&amp;AB383,'02_SCHEDULE'!$M$5:$M$124,0)),0)</f>
        <v>37</v>
      </c>
      <c r="AG383" s="51">
        <f t="shared" si="27"/>
        <v>1</v>
      </c>
    </row>
    <row r="384" spans="27:33" x14ac:dyDescent="0.3">
      <c r="AA384" s="51" t="str">
        <f>'Sites Master'!$B$8</f>
        <v>Site 07</v>
      </c>
      <c r="AB384" s="51" t="str">
        <f>'Phase-Resource Allocation'!$B$73</f>
        <v>Design Adaptation</v>
      </c>
      <c r="AC384" s="51" t="str">
        <f>'Phase-Resource Allocation'!$C$73</f>
        <v>Trainers</v>
      </c>
      <c r="AD384" s="60">
        <f>'Phase-Resource Allocation'!$D$73</f>
        <v>1</v>
      </c>
      <c r="AE384" s="51">
        <f>IFERROR(INDEX('02_SCHEDULE'!$K$5:$K$124,MATCH(AA384&amp;"|"&amp;AB384,'02_SCHEDULE'!$M$5:$M$124,0)),0)</f>
        <v>37</v>
      </c>
      <c r="AF384" s="51">
        <f>IFERROR(INDEX('02_SCHEDULE'!$L$5:$L$124,MATCH(AA384&amp;"|"&amp;AB384,'02_SCHEDULE'!$M$5:$M$124,0)),0)</f>
        <v>37</v>
      </c>
      <c r="AG384" s="51">
        <f t="shared" si="27"/>
        <v>1</v>
      </c>
    </row>
    <row r="385" spans="27:33" x14ac:dyDescent="0.3">
      <c r="AA385" s="51" t="str">
        <f>'Sites Master'!$B$8</f>
        <v>Site 07</v>
      </c>
      <c r="AB385" s="51" t="str">
        <f>'Phase-Resource Allocation'!$B$74</f>
        <v>Design Adaptation</v>
      </c>
      <c r="AC385" s="51" t="str">
        <f>'Phase-Resource Allocation'!$C$74</f>
        <v>Infrastructure Lead</v>
      </c>
      <c r="AD385" s="60">
        <f>'Phase-Resource Allocation'!$D$74</f>
        <v>1</v>
      </c>
      <c r="AE385" s="51">
        <f>IFERROR(INDEX('02_SCHEDULE'!$K$5:$K$124,MATCH(AA385&amp;"|"&amp;AB385,'02_SCHEDULE'!$M$5:$M$124,0)),0)</f>
        <v>37</v>
      </c>
      <c r="AF385" s="51">
        <f>IFERROR(INDEX('02_SCHEDULE'!$L$5:$L$124,MATCH(AA385&amp;"|"&amp;AB385,'02_SCHEDULE'!$M$5:$M$124,0)),0)</f>
        <v>37</v>
      </c>
      <c r="AG385" s="51">
        <f t="shared" si="27"/>
        <v>1</v>
      </c>
    </row>
    <row r="386" spans="27:33" x14ac:dyDescent="0.3">
      <c r="AA386" s="51" t="str">
        <f>'Sites Master'!$B$8</f>
        <v>Site 07</v>
      </c>
      <c r="AB386" s="51" t="str">
        <f>'Phase-Resource Allocation'!$B$75</f>
        <v>Design Adaptation</v>
      </c>
      <c r="AC386" s="51" t="str">
        <f>'Phase-Resource Allocation'!$C$75</f>
        <v>Functional Lead Vendor A</v>
      </c>
      <c r="AD386" s="60">
        <f>'Phase-Resource Allocation'!$D$75</f>
        <v>1</v>
      </c>
      <c r="AE386" s="51">
        <f>IFERROR(INDEX('02_SCHEDULE'!$K$5:$K$124,MATCH(AA386&amp;"|"&amp;AB386,'02_SCHEDULE'!$M$5:$M$124,0)),0)</f>
        <v>37</v>
      </c>
      <c r="AF386" s="51">
        <f>IFERROR(INDEX('02_SCHEDULE'!$L$5:$L$124,MATCH(AA386&amp;"|"&amp;AB386,'02_SCHEDULE'!$M$5:$M$124,0)),0)</f>
        <v>37</v>
      </c>
      <c r="AG386" s="51">
        <f t="shared" si="27"/>
        <v>1</v>
      </c>
    </row>
    <row r="387" spans="27:33" x14ac:dyDescent="0.3">
      <c r="AA387" s="51" t="str">
        <f>'Sites Master'!$B$8</f>
        <v>Site 07</v>
      </c>
      <c r="AB387" s="51" t="str">
        <f>'Phase-Resource Allocation'!$B$76</f>
        <v>Functional Review</v>
      </c>
      <c r="AC387" s="51" t="str">
        <f>'Phase-Resource Allocation'!$C$76</f>
        <v>Solution Architect</v>
      </c>
      <c r="AD387" s="60">
        <f>'Phase-Resource Allocation'!$D$76</f>
        <v>0.5</v>
      </c>
      <c r="AE387" s="51">
        <f>IFERROR(INDEX('02_SCHEDULE'!$K$5:$K$124,MATCH(AA387&amp;"|"&amp;AB387,'02_SCHEDULE'!$M$5:$M$124,0)),0)</f>
        <v>38</v>
      </c>
      <c r="AF387" s="51">
        <f>IFERROR(INDEX('02_SCHEDULE'!$L$5:$L$124,MATCH(AA387&amp;"|"&amp;AB387,'02_SCHEDULE'!$M$5:$M$124,0)),0)</f>
        <v>38</v>
      </c>
      <c r="AG387" s="51">
        <f t="shared" ref="AG387:AG450" si="28">AD387*(AF387-AE387+1)</f>
        <v>0.5</v>
      </c>
    </row>
    <row r="388" spans="27:33" x14ac:dyDescent="0.3">
      <c r="AA388" s="51" t="str">
        <f>'Sites Master'!$B$8</f>
        <v>Site 07</v>
      </c>
      <c r="AB388" s="51" t="str">
        <f>'Phase-Resource Allocation'!$B$77</f>
        <v>Functional Review</v>
      </c>
      <c r="AC388" s="51" t="str">
        <f>'Phase-Resource Allocation'!$C$77</f>
        <v>Change Management Lead</v>
      </c>
      <c r="AD388" s="60">
        <f>'Phase-Resource Allocation'!$D$77</f>
        <v>1</v>
      </c>
      <c r="AE388" s="51">
        <f>IFERROR(INDEX('02_SCHEDULE'!$K$5:$K$124,MATCH(AA388&amp;"|"&amp;AB388,'02_SCHEDULE'!$M$5:$M$124,0)),0)</f>
        <v>38</v>
      </c>
      <c r="AF388" s="51">
        <f>IFERROR(INDEX('02_SCHEDULE'!$L$5:$L$124,MATCH(AA388&amp;"|"&amp;AB388,'02_SCHEDULE'!$M$5:$M$124,0)),0)</f>
        <v>38</v>
      </c>
      <c r="AG388" s="51">
        <f t="shared" si="28"/>
        <v>1</v>
      </c>
    </row>
    <row r="389" spans="27:33" x14ac:dyDescent="0.3">
      <c r="AA389" s="51" t="str">
        <f>'Sites Master'!$B$8</f>
        <v>Site 07</v>
      </c>
      <c r="AB389" s="51" t="str">
        <f>'Phase-Resource Allocation'!$B$78</f>
        <v>Functional Review</v>
      </c>
      <c r="AC389" s="51" t="str">
        <f>'Phase-Resource Allocation'!$C$78</f>
        <v>SAP Integrations Lead</v>
      </c>
      <c r="AD389" s="60">
        <f>'Phase-Resource Allocation'!$D$78</f>
        <v>0.5</v>
      </c>
      <c r="AE389" s="51">
        <f>IFERROR(INDEX('02_SCHEDULE'!$K$5:$K$124,MATCH(AA389&amp;"|"&amp;AB389,'02_SCHEDULE'!$M$5:$M$124,0)),0)</f>
        <v>38</v>
      </c>
      <c r="AF389" s="51">
        <f>IFERROR(INDEX('02_SCHEDULE'!$L$5:$L$124,MATCH(AA389&amp;"|"&amp;AB389,'02_SCHEDULE'!$M$5:$M$124,0)),0)</f>
        <v>38</v>
      </c>
      <c r="AG389" s="51">
        <f t="shared" si="28"/>
        <v>0.5</v>
      </c>
    </row>
    <row r="390" spans="27:33" x14ac:dyDescent="0.3">
      <c r="AA390" s="51" t="str">
        <f>'Sites Master'!$B$8</f>
        <v>Site 07</v>
      </c>
      <c r="AB390" s="51" t="str">
        <f>'Phase-Resource Allocation'!$B$79</f>
        <v>Functional Review</v>
      </c>
      <c r="AC390" s="51" t="str">
        <f>'Phase-Resource Allocation'!$C$79</f>
        <v>SAP Integrations Specialist</v>
      </c>
      <c r="AD390" s="60">
        <f>'Phase-Resource Allocation'!$D$79</f>
        <v>0.5</v>
      </c>
      <c r="AE390" s="51">
        <f>IFERROR(INDEX('02_SCHEDULE'!$K$5:$K$124,MATCH(AA390&amp;"|"&amp;AB390,'02_SCHEDULE'!$M$5:$M$124,0)),0)</f>
        <v>38</v>
      </c>
      <c r="AF390" s="51">
        <f>IFERROR(INDEX('02_SCHEDULE'!$L$5:$L$124,MATCH(AA390&amp;"|"&amp;AB390,'02_SCHEDULE'!$M$5:$M$124,0)),0)</f>
        <v>38</v>
      </c>
      <c r="AG390" s="51">
        <f t="shared" si="28"/>
        <v>0.5</v>
      </c>
    </row>
    <row r="391" spans="27:33" x14ac:dyDescent="0.3">
      <c r="AA391" s="51" t="str">
        <f>'Sites Master'!$B$8</f>
        <v>Site 07</v>
      </c>
      <c r="AB391" s="51" t="str">
        <f>'Phase-Resource Allocation'!$B$80</f>
        <v>Functional Review</v>
      </c>
      <c r="AC391" s="51" t="str">
        <f>'Phase-Resource Allocation'!$C$80</f>
        <v>Azure Lead</v>
      </c>
      <c r="AD391" s="60">
        <f>'Phase-Resource Allocation'!$D$80</f>
        <v>0.5</v>
      </c>
      <c r="AE391" s="51">
        <f>IFERROR(INDEX('02_SCHEDULE'!$K$5:$K$124,MATCH(AA391&amp;"|"&amp;AB391,'02_SCHEDULE'!$M$5:$M$124,0)),0)</f>
        <v>38</v>
      </c>
      <c r="AF391" s="51">
        <f>IFERROR(INDEX('02_SCHEDULE'!$L$5:$L$124,MATCH(AA391&amp;"|"&amp;AB391,'02_SCHEDULE'!$M$5:$M$124,0)),0)</f>
        <v>38</v>
      </c>
      <c r="AG391" s="51">
        <f t="shared" si="28"/>
        <v>0.5</v>
      </c>
    </row>
    <row r="392" spans="27:33" x14ac:dyDescent="0.3">
      <c r="AA392" s="51" t="str">
        <f>'Sites Master'!$B$8</f>
        <v>Site 07</v>
      </c>
      <c r="AB392" s="51" t="str">
        <f>'Phase-Resource Allocation'!$B$81</f>
        <v>Functional Review</v>
      </c>
      <c r="AC392" s="51" t="str">
        <f>'Phase-Resource Allocation'!$C$81</f>
        <v>Azure Specialist</v>
      </c>
      <c r="AD392" s="60">
        <f>'Phase-Resource Allocation'!$D$81</f>
        <v>0.5</v>
      </c>
      <c r="AE392" s="51">
        <f>IFERROR(INDEX('02_SCHEDULE'!$K$5:$K$124,MATCH(AA392&amp;"|"&amp;AB392,'02_SCHEDULE'!$M$5:$M$124,0)),0)</f>
        <v>38</v>
      </c>
      <c r="AF392" s="51">
        <f>IFERROR(INDEX('02_SCHEDULE'!$L$5:$L$124,MATCH(AA392&amp;"|"&amp;AB392,'02_SCHEDULE'!$M$5:$M$124,0)),0)</f>
        <v>38</v>
      </c>
      <c r="AG392" s="51">
        <f t="shared" si="28"/>
        <v>0.5</v>
      </c>
    </row>
    <row r="393" spans="27:33" x14ac:dyDescent="0.3">
      <c r="AA393" s="51" t="str">
        <f>'Sites Master'!$B$8</f>
        <v>Site 07</v>
      </c>
      <c r="AB393" s="51" t="str">
        <f>'Phase-Resource Allocation'!$B$82</f>
        <v>Functional Review</v>
      </c>
      <c r="AC393" s="51" t="str">
        <f>'Phase-Resource Allocation'!$C$82</f>
        <v>Testing Lead</v>
      </c>
      <c r="AD393" s="60">
        <f>'Phase-Resource Allocation'!$D$82</f>
        <v>0.5</v>
      </c>
      <c r="AE393" s="51">
        <f>IFERROR(INDEX('02_SCHEDULE'!$K$5:$K$124,MATCH(AA393&amp;"|"&amp;AB393,'02_SCHEDULE'!$M$5:$M$124,0)),0)</f>
        <v>38</v>
      </c>
      <c r="AF393" s="51">
        <f>IFERROR(INDEX('02_SCHEDULE'!$L$5:$L$124,MATCH(AA393&amp;"|"&amp;AB393,'02_SCHEDULE'!$M$5:$M$124,0)),0)</f>
        <v>38</v>
      </c>
      <c r="AG393" s="51">
        <f t="shared" si="28"/>
        <v>0.5</v>
      </c>
    </row>
    <row r="394" spans="27:33" x14ac:dyDescent="0.3">
      <c r="AA394" s="51" t="str">
        <f>'Sites Master'!$B$8</f>
        <v>Site 07</v>
      </c>
      <c r="AB394" s="51" t="str">
        <f>'Phase-Resource Allocation'!$B$83</f>
        <v>Functional Review</v>
      </c>
      <c r="AC394" s="51" t="str">
        <f>'Phase-Resource Allocation'!$C$83</f>
        <v>Functional Lead</v>
      </c>
      <c r="AD394" s="60">
        <f>'Phase-Resource Allocation'!$D$83</f>
        <v>1</v>
      </c>
      <c r="AE394" s="51">
        <f>IFERROR(INDEX('02_SCHEDULE'!$K$5:$K$124,MATCH(AA394&amp;"|"&amp;AB394,'02_SCHEDULE'!$M$5:$M$124,0)),0)</f>
        <v>38</v>
      </c>
      <c r="AF394" s="51">
        <f>IFERROR(INDEX('02_SCHEDULE'!$L$5:$L$124,MATCH(AA394&amp;"|"&amp;AB394,'02_SCHEDULE'!$M$5:$M$124,0)),0)</f>
        <v>38</v>
      </c>
      <c r="AG394" s="51">
        <f t="shared" si="28"/>
        <v>1</v>
      </c>
    </row>
    <row r="395" spans="27:33" x14ac:dyDescent="0.3">
      <c r="AA395" s="51" t="str">
        <f>'Sites Master'!$B$8</f>
        <v>Site 07</v>
      </c>
      <c r="AB395" s="51" t="str">
        <f>'Phase-Resource Allocation'!$B$84</f>
        <v>Functional Review</v>
      </c>
      <c r="AC395" s="51" t="str">
        <f>'Phase-Resource Allocation'!$C$84</f>
        <v>Trainers</v>
      </c>
      <c r="AD395" s="60">
        <f>'Phase-Resource Allocation'!$D$84</f>
        <v>1</v>
      </c>
      <c r="AE395" s="51">
        <f>IFERROR(INDEX('02_SCHEDULE'!$K$5:$K$124,MATCH(AA395&amp;"|"&amp;AB395,'02_SCHEDULE'!$M$5:$M$124,0)),0)</f>
        <v>38</v>
      </c>
      <c r="AF395" s="51">
        <f>IFERROR(INDEX('02_SCHEDULE'!$L$5:$L$124,MATCH(AA395&amp;"|"&amp;AB395,'02_SCHEDULE'!$M$5:$M$124,0)),0)</f>
        <v>38</v>
      </c>
      <c r="AG395" s="51">
        <f t="shared" si="28"/>
        <v>1</v>
      </c>
    </row>
    <row r="396" spans="27:33" x14ac:dyDescent="0.3">
      <c r="AA396" s="51" t="str">
        <f>'Sites Master'!$B$8</f>
        <v>Site 07</v>
      </c>
      <c r="AB396" s="51" t="str">
        <f>'Phase-Resource Allocation'!$B$85</f>
        <v>UAT</v>
      </c>
      <c r="AC396" s="51" t="str">
        <f>'Phase-Resource Allocation'!$C$85</f>
        <v>Solution Architect</v>
      </c>
      <c r="AD396" s="60">
        <f>'Phase-Resource Allocation'!$D$85</f>
        <v>0.5</v>
      </c>
      <c r="AE396" s="51">
        <f>IFERROR(INDEX('02_SCHEDULE'!$K$5:$K$124,MATCH(AA396&amp;"|"&amp;AB396,'02_SCHEDULE'!$M$5:$M$124,0)),0)</f>
        <v>39</v>
      </c>
      <c r="AF396" s="51">
        <f>IFERROR(INDEX('02_SCHEDULE'!$L$5:$L$124,MATCH(AA396&amp;"|"&amp;AB396,'02_SCHEDULE'!$M$5:$M$124,0)),0)</f>
        <v>40</v>
      </c>
      <c r="AG396" s="51">
        <f t="shared" si="28"/>
        <v>1</v>
      </c>
    </row>
    <row r="397" spans="27:33" x14ac:dyDescent="0.3">
      <c r="AA397" s="51" t="str">
        <f>'Sites Master'!$B$8</f>
        <v>Site 07</v>
      </c>
      <c r="AB397" s="51" t="str">
        <f>'Phase-Resource Allocation'!$B$86</f>
        <v>UAT</v>
      </c>
      <c r="AC397" s="51" t="str">
        <f>'Phase-Resource Allocation'!$C$86</f>
        <v>Change Management Lead</v>
      </c>
      <c r="AD397" s="60">
        <f>'Phase-Resource Allocation'!$D$86</f>
        <v>1</v>
      </c>
      <c r="AE397" s="51">
        <f>IFERROR(INDEX('02_SCHEDULE'!$K$5:$K$124,MATCH(AA397&amp;"|"&amp;AB397,'02_SCHEDULE'!$M$5:$M$124,0)),0)</f>
        <v>39</v>
      </c>
      <c r="AF397" s="51">
        <f>IFERROR(INDEX('02_SCHEDULE'!$L$5:$L$124,MATCH(AA397&amp;"|"&amp;AB397,'02_SCHEDULE'!$M$5:$M$124,0)),0)</f>
        <v>40</v>
      </c>
      <c r="AG397" s="51">
        <f t="shared" si="28"/>
        <v>2</v>
      </c>
    </row>
    <row r="398" spans="27:33" x14ac:dyDescent="0.3">
      <c r="AA398" s="51" t="str">
        <f>'Sites Master'!$B$8</f>
        <v>Site 07</v>
      </c>
      <c r="AB398" s="51" t="str">
        <f>'Phase-Resource Allocation'!$B$87</f>
        <v>UAT</v>
      </c>
      <c r="AC398" s="51" t="str">
        <f>'Phase-Resource Allocation'!$C$87</f>
        <v>SAP Integrations Lead</v>
      </c>
      <c r="AD398" s="60">
        <f>'Phase-Resource Allocation'!$D$87</f>
        <v>0.5</v>
      </c>
      <c r="AE398" s="51">
        <f>IFERROR(INDEX('02_SCHEDULE'!$K$5:$K$124,MATCH(AA398&amp;"|"&amp;AB398,'02_SCHEDULE'!$M$5:$M$124,0)),0)</f>
        <v>39</v>
      </c>
      <c r="AF398" s="51">
        <f>IFERROR(INDEX('02_SCHEDULE'!$L$5:$L$124,MATCH(AA398&amp;"|"&amp;AB398,'02_SCHEDULE'!$M$5:$M$124,0)),0)</f>
        <v>40</v>
      </c>
      <c r="AG398" s="51">
        <f t="shared" si="28"/>
        <v>1</v>
      </c>
    </row>
    <row r="399" spans="27:33" x14ac:dyDescent="0.3">
      <c r="AA399" s="51" t="str">
        <f>'Sites Master'!$B$8</f>
        <v>Site 07</v>
      </c>
      <c r="AB399" s="51" t="str">
        <f>'Phase-Resource Allocation'!$B$88</f>
        <v>UAT</v>
      </c>
      <c r="AC399" s="51" t="str">
        <f>'Phase-Resource Allocation'!$C$88</f>
        <v>SAP Integrations Specialist</v>
      </c>
      <c r="AD399" s="60">
        <f>'Phase-Resource Allocation'!$D$88</f>
        <v>0.5</v>
      </c>
      <c r="AE399" s="51">
        <f>IFERROR(INDEX('02_SCHEDULE'!$K$5:$K$124,MATCH(AA399&amp;"|"&amp;AB399,'02_SCHEDULE'!$M$5:$M$124,0)),0)</f>
        <v>39</v>
      </c>
      <c r="AF399" s="51">
        <f>IFERROR(INDEX('02_SCHEDULE'!$L$5:$L$124,MATCH(AA399&amp;"|"&amp;AB399,'02_SCHEDULE'!$M$5:$M$124,0)),0)</f>
        <v>40</v>
      </c>
      <c r="AG399" s="51">
        <f t="shared" si="28"/>
        <v>1</v>
      </c>
    </row>
    <row r="400" spans="27:33" x14ac:dyDescent="0.3">
      <c r="AA400" s="51" t="str">
        <f>'Sites Master'!$B$8</f>
        <v>Site 07</v>
      </c>
      <c r="AB400" s="51" t="str">
        <f>'Phase-Resource Allocation'!$B$89</f>
        <v>UAT</v>
      </c>
      <c r="AC400" s="51" t="str">
        <f>'Phase-Resource Allocation'!$C$89</f>
        <v>Azure Lead</v>
      </c>
      <c r="AD400" s="60">
        <f>'Phase-Resource Allocation'!$D$89</f>
        <v>0.5</v>
      </c>
      <c r="AE400" s="51">
        <f>IFERROR(INDEX('02_SCHEDULE'!$K$5:$K$124,MATCH(AA400&amp;"|"&amp;AB400,'02_SCHEDULE'!$M$5:$M$124,0)),0)</f>
        <v>39</v>
      </c>
      <c r="AF400" s="51">
        <f>IFERROR(INDEX('02_SCHEDULE'!$L$5:$L$124,MATCH(AA400&amp;"|"&amp;AB400,'02_SCHEDULE'!$M$5:$M$124,0)),0)</f>
        <v>40</v>
      </c>
      <c r="AG400" s="51">
        <f t="shared" si="28"/>
        <v>1</v>
      </c>
    </row>
    <row r="401" spans="27:33" x14ac:dyDescent="0.3">
      <c r="AA401" s="51" t="str">
        <f>'Sites Master'!$B$8</f>
        <v>Site 07</v>
      </c>
      <c r="AB401" s="51" t="str">
        <f>'Phase-Resource Allocation'!$B$90</f>
        <v>UAT</v>
      </c>
      <c r="AC401" s="51" t="str">
        <f>'Phase-Resource Allocation'!$C$90</f>
        <v>Azure Specialist</v>
      </c>
      <c r="AD401" s="60">
        <f>'Phase-Resource Allocation'!$D$90</f>
        <v>0.5</v>
      </c>
      <c r="AE401" s="51">
        <f>IFERROR(INDEX('02_SCHEDULE'!$K$5:$K$124,MATCH(AA401&amp;"|"&amp;AB401,'02_SCHEDULE'!$M$5:$M$124,0)),0)</f>
        <v>39</v>
      </c>
      <c r="AF401" s="51">
        <f>IFERROR(INDEX('02_SCHEDULE'!$L$5:$L$124,MATCH(AA401&amp;"|"&amp;AB401,'02_SCHEDULE'!$M$5:$M$124,0)),0)</f>
        <v>40</v>
      </c>
      <c r="AG401" s="51">
        <f t="shared" si="28"/>
        <v>1</v>
      </c>
    </row>
    <row r="402" spans="27:33" x14ac:dyDescent="0.3">
      <c r="AA402" s="51" t="str">
        <f>'Sites Master'!$B$8</f>
        <v>Site 07</v>
      </c>
      <c r="AB402" s="51" t="str">
        <f>'Phase-Resource Allocation'!$B$91</f>
        <v>UAT</v>
      </c>
      <c r="AC402" s="51" t="str">
        <f>'Phase-Resource Allocation'!$C$91</f>
        <v>Testing Lead</v>
      </c>
      <c r="AD402" s="60">
        <f>'Phase-Resource Allocation'!$D$91</f>
        <v>0.5</v>
      </c>
      <c r="AE402" s="51">
        <f>IFERROR(INDEX('02_SCHEDULE'!$K$5:$K$124,MATCH(AA402&amp;"|"&amp;AB402,'02_SCHEDULE'!$M$5:$M$124,0)),0)</f>
        <v>39</v>
      </c>
      <c r="AF402" s="51">
        <f>IFERROR(INDEX('02_SCHEDULE'!$L$5:$L$124,MATCH(AA402&amp;"|"&amp;AB402,'02_SCHEDULE'!$M$5:$M$124,0)),0)</f>
        <v>40</v>
      </c>
      <c r="AG402" s="51">
        <f t="shared" si="28"/>
        <v>1</v>
      </c>
    </row>
    <row r="403" spans="27:33" x14ac:dyDescent="0.3">
      <c r="AA403" s="51" t="str">
        <f>'Sites Master'!$B$8</f>
        <v>Site 07</v>
      </c>
      <c r="AB403" s="51" t="str">
        <f>'Phase-Resource Allocation'!$B$92</f>
        <v>UAT</v>
      </c>
      <c r="AC403" s="51" t="str">
        <f>'Phase-Resource Allocation'!$C$92</f>
        <v>Functional Lead</v>
      </c>
      <c r="AD403" s="60">
        <f>'Phase-Resource Allocation'!$D$92</f>
        <v>1</v>
      </c>
      <c r="AE403" s="51">
        <f>IFERROR(INDEX('02_SCHEDULE'!$K$5:$K$124,MATCH(AA403&amp;"|"&amp;AB403,'02_SCHEDULE'!$M$5:$M$124,0)),0)</f>
        <v>39</v>
      </c>
      <c r="AF403" s="51">
        <f>IFERROR(INDEX('02_SCHEDULE'!$L$5:$L$124,MATCH(AA403&amp;"|"&amp;AB403,'02_SCHEDULE'!$M$5:$M$124,0)),0)</f>
        <v>40</v>
      </c>
      <c r="AG403" s="51">
        <f t="shared" si="28"/>
        <v>2</v>
      </c>
    </row>
    <row r="404" spans="27:33" x14ac:dyDescent="0.3">
      <c r="AA404" s="51" t="str">
        <f>'Sites Master'!$B$8</f>
        <v>Site 07</v>
      </c>
      <c r="AB404" s="51" t="str">
        <f>'Phase-Resource Allocation'!$B$93</f>
        <v>UAT</v>
      </c>
      <c r="AC404" s="51" t="str">
        <f>'Phase-Resource Allocation'!$C$93</f>
        <v>Trainers</v>
      </c>
      <c r="AD404" s="60">
        <f>'Phase-Resource Allocation'!$D$93</f>
        <v>1</v>
      </c>
      <c r="AE404" s="51">
        <f>IFERROR(INDEX('02_SCHEDULE'!$K$5:$K$124,MATCH(AA404&amp;"|"&amp;AB404,'02_SCHEDULE'!$M$5:$M$124,0)),0)</f>
        <v>39</v>
      </c>
      <c r="AF404" s="51">
        <f>IFERROR(INDEX('02_SCHEDULE'!$L$5:$L$124,MATCH(AA404&amp;"|"&amp;AB404,'02_SCHEDULE'!$M$5:$M$124,0)),0)</f>
        <v>40</v>
      </c>
      <c r="AG404" s="51">
        <f t="shared" si="28"/>
        <v>2</v>
      </c>
    </row>
    <row r="405" spans="27:33" x14ac:dyDescent="0.3">
      <c r="AA405" s="51" t="str">
        <f>'Sites Master'!$B$8</f>
        <v>Site 07</v>
      </c>
      <c r="AB405" s="51" t="str">
        <f>'Phase-Resource Allocation'!$B$94</f>
        <v>Training</v>
      </c>
      <c r="AC405" s="51" t="str">
        <f>'Phase-Resource Allocation'!$C$94</f>
        <v>Change Management Lead</v>
      </c>
      <c r="AD405" s="60">
        <f>'Phase-Resource Allocation'!$D$94</f>
        <v>1</v>
      </c>
      <c r="AE405" s="51">
        <f>IFERROR(INDEX('02_SCHEDULE'!$K$5:$K$124,MATCH(AA405&amp;"|"&amp;AB405,'02_SCHEDULE'!$M$5:$M$124,0)),0)</f>
        <v>41</v>
      </c>
      <c r="AF405" s="51">
        <f>IFERROR(INDEX('02_SCHEDULE'!$L$5:$L$124,MATCH(AA405&amp;"|"&amp;AB405,'02_SCHEDULE'!$M$5:$M$124,0)),0)</f>
        <v>42</v>
      </c>
      <c r="AG405" s="51">
        <f t="shared" si="28"/>
        <v>2</v>
      </c>
    </row>
    <row r="406" spans="27:33" x14ac:dyDescent="0.3">
      <c r="AA406" s="51" t="str">
        <f>'Sites Master'!$B$8</f>
        <v>Site 07</v>
      </c>
      <c r="AB406" s="51" t="str">
        <f>'Phase-Resource Allocation'!$B$95</f>
        <v>Training</v>
      </c>
      <c r="AC406" s="51" t="str">
        <f>'Phase-Resource Allocation'!$C$95</f>
        <v>Trainers</v>
      </c>
      <c r="AD406" s="60">
        <f>'Phase-Resource Allocation'!$D$95</f>
        <v>1</v>
      </c>
      <c r="AE406" s="51">
        <f>IFERROR(INDEX('02_SCHEDULE'!$K$5:$K$124,MATCH(AA406&amp;"|"&amp;AB406,'02_SCHEDULE'!$M$5:$M$124,0)),0)</f>
        <v>41</v>
      </c>
      <c r="AF406" s="51">
        <f>IFERROR(INDEX('02_SCHEDULE'!$L$5:$L$124,MATCH(AA406&amp;"|"&amp;AB406,'02_SCHEDULE'!$M$5:$M$124,0)),0)</f>
        <v>42</v>
      </c>
      <c r="AG406" s="51">
        <f t="shared" si="28"/>
        <v>2</v>
      </c>
    </row>
    <row r="407" spans="27:33" x14ac:dyDescent="0.3">
      <c r="AA407" s="51" t="str">
        <f>'Sites Master'!$B$8</f>
        <v>Site 07</v>
      </c>
      <c r="AB407" s="51" t="str">
        <f>'Phase-Resource Allocation'!$B$96</f>
        <v>DIALT</v>
      </c>
      <c r="AC407" s="51" t="str">
        <f>'Phase-Resource Allocation'!$C$96</f>
        <v>Solution Architect</v>
      </c>
      <c r="AD407" s="60">
        <f>'Phase-Resource Allocation'!$D$96</f>
        <v>0.5</v>
      </c>
      <c r="AE407" s="51">
        <f>IFERROR(INDEX('02_SCHEDULE'!$K$5:$K$124,MATCH(AA407&amp;"|"&amp;AB407,'02_SCHEDULE'!$M$5:$M$124,0)),0)</f>
        <v>43</v>
      </c>
      <c r="AF407" s="51">
        <f>IFERROR(INDEX('02_SCHEDULE'!$L$5:$L$124,MATCH(AA407&amp;"|"&amp;AB407,'02_SCHEDULE'!$M$5:$M$124,0)),0)</f>
        <v>43</v>
      </c>
      <c r="AG407" s="51">
        <f t="shared" si="28"/>
        <v>0.5</v>
      </c>
    </row>
    <row r="408" spans="27:33" x14ac:dyDescent="0.3">
      <c r="AA408" s="51" t="str">
        <f>'Sites Master'!$B$8</f>
        <v>Site 07</v>
      </c>
      <c r="AB408" s="51" t="str">
        <f>'Phase-Resource Allocation'!$B$97</f>
        <v>DIALT</v>
      </c>
      <c r="AC408" s="51" t="str">
        <f>'Phase-Resource Allocation'!$C$97</f>
        <v>Change Management Lead</v>
      </c>
      <c r="AD408" s="60">
        <f>'Phase-Resource Allocation'!$D$97</f>
        <v>1</v>
      </c>
      <c r="AE408" s="51">
        <f>IFERROR(INDEX('02_SCHEDULE'!$K$5:$K$124,MATCH(AA408&amp;"|"&amp;AB408,'02_SCHEDULE'!$M$5:$M$124,0)),0)</f>
        <v>43</v>
      </c>
      <c r="AF408" s="51">
        <f>IFERROR(INDEX('02_SCHEDULE'!$L$5:$L$124,MATCH(AA408&amp;"|"&amp;AB408,'02_SCHEDULE'!$M$5:$M$124,0)),0)</f>
        <v>43</v>
      </c>
      <c r="AG408" s="51">
        <f t="shared" si="28"/>
        <v>1</v>
      </c>
    </row>
    <row r="409" spans="27:33" x14ac:dyDescent="0.3">
      <c r="AA409" s="51" t="str">
        <f>'Sites Master'!$B$8</f>
        <v>Site 07</v>
      </c>
      <c r="AB409" s="51" t="str">
        <f>'Phase-Resource Allocation'!$B$98</f>
        <v>DIALT</v>
      </c>
      <c r="AC409" s="51" t="str">
        <f>'Phase-Resource Allocation'!$C$98</f>
        <v>Azure Lead</v>
      </c>
      <c r="AD409" s="60">
        <f>'Phase-Resource Allocation'!$D$98</f>
        <v>0.75</v>
      </c>
      <c r="AE409" s="51">
        <f>IFERROR(INDEX('02_SCHEDULE'!$K$5:$K$124,MATCH(AA409&amp;"|"&amp;AB409,'02_SCHEDULE'!$M$5:$M$124,0)),0)</f>
        <v>43</v>
      </c>
      <c r="AF409" s="51">
        <f>IFERROR(INDEX('02_SCHEDULE'!$L$5:$L$124,MATCH(AA409&amp;"|"&amp;AB409,'02_SCHEDULE'!$M$5:$M$124,0)),0)</f>
        <v>43</v>
      </c>
      <c r="AG409" s="51">
        <f t="shared" si="28"/>
        <v>0.75</v>
      </c>
    </row>
    <row r="410" spans="27:33" x14ac:dyDescent="0.3">
      <c r="AA410" s="51" t="str">
        <f>'Sites Master'!$B$8</f>
        <v>Site 07</v>
      </c>
      <c r="AB410" s="51" t="str">
        <f>'Phase-Resource Allocation'!$B$99</f>
        <v>DIALT</v>
      </c>
      <c r="AC410" s="51" t="str">
        <f>'Phase-Resource Allocation'!$C$99</f>
        <v>Azure Specialist</v>
      </c>
      <c r="AD410" s="60">
        <f>'Phase-Resource Allocation'!$D$99</f>
        <v>0.75</v>
      </c>
      <c r="AE410" s="51">
        <f>IFERROR(INDEX('02_SCHEDULE'!$K$5:$K$124,MATCH(AA410&amp;"|"&amp;AB410,'02_SCHEDULE'!$M$5:$M$124,0)),0)</f>
        <v>43</v>
      </c>
      <c r="AF410" s="51">
        <f>IFERROR(INDEX('02_SCHEDULE'!$L$5:$L$124,MATCH(AA410&amp;"|"&amp;AB410,'02_SCHEDULE'!$M$5:$M$124,0)),0)</f>
        <v>43</v>
      </c>
      <c r="AG410" s="51">
        <f t="shared" si="28"/>
        <v>0.75</v>
      </c>
    </row>
    <row r="411" spans="27:33" x14ac:dyDescent="0.3">
      <c r="AA411" s="51" t="str">
        <f>'Sites Master'!$B$8</f>
        <v>Site 07</v>
      </c>
      <c r="AB411" s="51" t="str">
        <f>'Phase-Resource Allocation'!$B$100</f>
        <v>DIALT</v>
      </c>
      <c r="AC411" s="51" t="str">
        <f>'Phase-Resource Allocation'!$C$100</f>
        <v>Functional Lead</v>
      </c>
      <c r="AD411" s="60">
        <f>'Phase-Resource Allocation'!$D$100</f>
        <v>1</v>
      </c>
      <c r="AE411" s="51">
        <f>IFERROR(INDEX('02_SCHEDULE'!$K$5:$K$124,MATCH(AA411&amp;"|"&amp;AB411,'02_SCHEDULE'!$M$5:$M$124,0)),0)</f>
        <v>43</v>
      </c>
      <c r="AF411" s="51">
        <f>IFERROR(INDEX('02_SCHEDULE'!$L$5:$L$124,MATCH(AA411&amp;"|"&amp;AB411,'02_SCHEDULE'!$M$5:$M$124,0)),0)</f>
        <v>43</v>
      </c>
      <c r="AG411" s="51">
        <f t="shared" si="28"/>
        <v>1</v>
      </c>
    </row>
    <row r="412" spans="27:33" x14ac:dyDescent="0.3">
      <c r="AA412" s="51" t="str">
        <f>'Sites Master'!$B$8</f>
        <v>Site 07</v>
      </c>
      <c r="AB412" s="51" t="str">
        <f>'Phase-Resource Allocation'!$B$101</f>
        <v>DIALT</v>
      </c>
      <c r="AC412" s="51" t="str">
        <f>'Phase-Resource Allocation'!$C$101</f>
        <v>Trainers</v>
      </c>
      <c r="AD412" s="60">
        <f>'Phase-Resource Allocation'!$D$101</f>
        <v>1</v>
      </c>
      <c r="AE412" s="51">
        <f>IFERROR(INDEX('02_SCHEDULE'!$K$5:$K$124,MATCH(AA412&amp;"|"&amp;AB412,'02_SCHEDULE'!$M$5:$M$124,0)),0)</f>
        <v>43</v>
      </c>
      <c r="AF412" s="51">
        <f>IFERROR(INDEX('02_SCHEDULE'!$L$5:$L$124,MATCH(AA412&amp;"|"&amp;AB412,'02_SCHEDULE'!$M$5:$M$124,0)),0)</f>
        <v>43</v>
      </c>
      <c r="AG412" s="51">
        <f t="shared" si="28"/>
        <v>1</v>
      </c>
    </row>
    <row r="413" spans="27:33" x14ac:dyDescent="0.3">
      <c r="AA413" s="51" t="str">
        <f>'Sites Master'!$B$8</f>
        <v>Site 07</v>
      </c>
      <c r="AB413" s="51" t="str">
        <f>'Phase-Resource Allocation'!$B$102</f>
        <v>DIALT</v>
      </c>
      <c r="AC413" s="51" t="str">
        <f>'Phase-Resource Allocation'!$C$102</f>
        <v>Functional Lead Vendor A</v>
      </c>
      <c r="AD413" s="60">
        <f>'Phase-Resource Allocation'!$D$102</f>
        <v>1</v>
      </c>
      <c r="AE413" s="51">
        <f>IFERROR(INDEX('02_SCHEDULE'!$K$5:$K$124,MATCH(AA413&amp;"|"&amp;AB413,'02_SCHEDULE'!$M$5:$M$124,0)),0)</f>
        <v>43</v>
      </c>
      <c r="AF413" s="51">
        <f>IFERROR(INDEX('02_SCHEDULE'!$L$5:$L$124,MATCH(AA413&amp;"|"&amp;AB413,'02_SCHEDULE'!$M$5:$M$124,0)),0)</f>
        <v>43</v>
      </c>
      <c r="AG413" s="51">
        <f t="shared" si="28"/>
        <v>1</v>
      </c>
    </row>
    <row r="414" spans="27:33" x14ac:dyDescent="0.3">
      <c r="AA414" s="51" t="str">
        <f>'Sites Master'!$B$8</f>
        <v>Site 07</v>
      </c>
      <c r="AB414" s="51" t="str">
        <f>'Phase-Resource Allocation'!$B$103</f>
        <v>Go Live</v>
      </c>
      <c r="AC414" s="51" t="str">
        <f>'Phase-Resource Allocation'!$C$103</f>
        <v>Solution Architect</v>
      </c>
      <c r="AD414" s="60">
        <f>'Phase-Resource Allocation'!$D$103</f>
        <v>1</v>
      </c>
      <c r="AE414" s="51">
        <f>IFERROR(INDEX('02_SCHEDULE'!$K$5:$K$124,MATCH(AA414&amp;"|"&amp;AB414,'02_SCHEDULE'!$M$5:$M$124,0)),0)</f>
        <v>44</v>
      </c>
      <c r="AF414" s="51">
        <f>IFERROR(INDEX('02_SCHEDULE'!$L$5:$L$124,MATCH(AA414&amp;"|"&amp;AB414,'02_SCHEDULE'!$M$5:$M$124,0)),0)</f>
        <v>44</v>
      </c>
      <c r="AG414" s="51">
        <f t="shared" si="28"/>
        <v>1</v>
      </c>
    </row>
    <row r="415" spans="27:33" x14ac:dyDescent="0.3">
      <c r="AA415" s="51" t="str">
        <f>'Sites Master'!$B$8</f>
        <v>Site 07</v>
      </c>
      <c r="AB415" s="51" t="str">
        <f>'Phase-Resource Allocation'!$B$104</f>
        <v>Go Live</v>
      </c>
      <c r="AC415" s="51" t="str">
        <f>'Phase-Resource Allocation'!$C$104</f>
        <v>Change Management Lead</v>
      </c>
      <c r="AD415" s="60">
        <f>'Phase-Resource Allocation'!$D$104</f>
        <v>1</v>
      </c>
      <c r="AE415" s="51">
        <f>IFERROR(INDEX('02_SCHEDULE'!$K$5:$K$124,MATCH(AA415&amp;"|"&amp;AB415,'02_SCHEDULE'!$M$5:$M$124,0)),0)</f>
        <v>44</v>
      </c>
      <c r="AF415" s="51">
        <f>IFERROR(INDEX('02_SCHEDULE'!$L$5:$L$124,MATCH(AA415&amp;"|"&amp;AB415,'02_SCHEDULE'!$M$5:$M$124,0)),0)</f>
        <v>44</v>
      </c>
      <c r="AG415" s="51">
        <f t="shared" si="28"/>
        <v>1</v>
      </c>
    </row>
    <row r="416" spans="27:33" x14ac:dyDescent="0.3">
      <c r="AA416" s="51" t="str">
        <f>'Sites Master'!$B$8</f>
        <v>Site 07</v>
      </c>
      <c r="AB416" s="51" t="str">
        <f>'Phase-Resource Allocation'!$B$105</f>
        <v>Go Live</v>
      </c>
      <c r="AC416" s="51" t="str">
        <f>'Phase-Resource Allocation'!$C$105</f>
        <v>SAP Integrations Lead</v>
      </c>
      <c r="AD416" s="60">
        <f>'Phase-Resource Allocation'!$D$105</f>
        <v>1</v>
      </c>
      <c r="AE416" s="51">
        <f>IFERROR(INDEX('02_SCHEDULE'!$K$5:$K$124,MATCH(AA416&amp;"|"&amp;AB416,'02_SCHEDULE'!$M$5:$M$124,0)),0)</f>
        <v>44</v>
      </c>
      <c r="AF416" s="51">
        <f>IFERROR(INDEX('02_SCHEDULE'!$L$5:$L$124,MATCH(AA416&amp;"|"&amp;AB416,'02_SCHEDULE'!$M$5:$M$124,0)),0)</f>
        <v>44</v>
      </c>
      <c r="AG416" s="51">
        <f t="shared" si="28"/>
        <v>1</v>
      </c>
    </row>
    <row r="417" spans="27:33" x14ac:dyDescent="0.3">
      <c r="AA417" s="51" t="str">
        <f>'Sites Master'!$B$8</f>
        <v>Site 07</v>
      </c>
      <c r="AB417" s="51" t="str">
        <f>'Phase-Resource Allocation'!$B$106</f>
        <v>Go Live</v>
      </c>
      <c r="AC417" s="51" t="str">
        <f>'Phase-Resource Allocation'!$C$106</f>
        <v>SAP Integrations Specialist</v>
      </c>
      <c r="AD417" s="60">
        <f>'Phase-Resource Allocation'!$D$106</f>
        <v>1</v>
      </c>
      <c r="AE417" s="51">
        <f>IFERROR(INDEX('02_SCHEDULE'!$K$5:$K$124,MATCH(AA417&amp;"|"&amp;AB417,'02_SCHEDULE'!$M$5:$M$124,0)),0)</f>
        <v>44</v>
      </c>
      <c r="AF417" s="51">
        <f>IFERROR(INDEX('02_SCHEDULE'!$L$5:$L$124,MATCH(AA417&amp;"|"&amp;AB417,'02_SCHEDULE'!$M$5:$M$124,0)),0)</f>
        <v>44</v>
      </c>
      <c r="AG417" s="51">
        <f t="shared" si="28"/>
        <v>1</v>
      </c>
    </row>
    <row r="418" spans="27:33" x14ac:dyDescent="0.3">
      <c r="AA418" s="51" t="str">
        <f>'Sites Master'!$B$8</f>
        <v>Site 07</v>
      </c>
      <c r="AB418" s="51" t="str">
        <f>'Phase-Resource Allocation'!$B$107</f>
        <v>Go Live</v>
      </c>
      <c r="AC418" s="51" t="str">
        <f>'Phase-Resource Allocation'!$C$107</f>
        <v>Azure Lead</v>
      </c>
      <c r="AD418" s="60">
        <f>'Phase-Resource Allocation'!$D$107</f>
        <v>1</v>
      </c>
      <c r="AE418" s="51">
        <f>IFERROR(INDEX('02_SCHEDULE'!$K$5:$K$124,MATCH(AA418&amp;"|"&amp;AB418,'02_SCHEDULE'!$M$5:$M$124,0)),0)</f>
        <v>44</v>
      </c>
      <c r="AF418" s="51">
        <f>IFERROR(INDEX('02_SCHEDULE'!$L$5:$L$124,MATCH(AA418&amp;"|"&amp;AB418,'02_SCHEDULE'!$M$5:$M$124,0)),0)</f>
        <v>44</v>
      </c>
      <c r="AG418" s="51">
        <f t="shared" si="28"/>
        <v>1</v>
      </c>
    </row>
    <row r="419" spans="27:33" x14ac:dyDescent="0.3">
      <c r="AA419" s="51" t="str">
        <f>'Sites Master'!$B$8</f>
        <v>Site 07</v>
      </c>
      <c r="AB419" s="51" t="str">
        <f>'Phase-Resource Allocation'!$B$108</f>
        <v>Go Live</v>
      </c>
      <c r="AC419" s="51" t="str">
        <f>'Phase-Resource Allocation'!$C$108</f>
        <v>Azure Specialist</v>
      </c>
      <c r="AD419" s="60">
        <f>'Phase-Resource Allocation'!$D$108</f>
        <v>1</v>
      </c>
      <c r="AE419" s="51">
        <f>IFERROR(INDEX('02_SCHEDULE'!$K$5:$K$124,MATCH(AA419&amp;"|"&amp;AB419,'02_SCHEDULE'!$M$5:$M$124,0)),0)</f>
        <v>44</v>
      </c>
      <c r="AF419" s="51">
        <f>IFERROR(INDEX('02_SCHEDULE'!$L$5:$L$124,MATCH(AA419&amp;"|"&amp;AB419,'02_SCHEDULE'!$M$5:$M$124,0)),0)</f>
        <v>44</v>
      </c>
      <c r="AG419" s="51">
        <f t="shared" si="28"/>
        <v>1</v>
      </c>
    </row>
    <row r="420" spans="27:33" x14ac:dyDescent="0.3">
      <c r="AA420" s="51" t="str">
        <f>'Sites Master'!$B$8</f>
        <v>Site 07</v>
      </c>
      <c r="AB420" s="51" t="str">
        <f>'Phase-Resource Allocation'!$B$109</f>
        <v>Go Live</v>
      </c>
      <c r="AC420" s="51" t="str">
        <f>'Phase-Resource Allocation'!$C$109</f>
        <v>Functional Lead</v>
      </c>
      <c r="AD420" s="60">
        <f>'Phase-Resource Allocation'!$D$109</f>
        <v>1</v>
      </c>
      <c r="AE420" s="51">
        <f>IFERROR(INDEX('02_SCHEDULE'!$K$5:$K$124,MATCH(AA420&amp;"|"&amp;AB420,'02_SCHEDULE'!$M$5:$M$124,0)),0)</f>
        <v>44</v>
      </c>
      <c r="AF420" s="51">
        <f>IFERROR(INDEX('02_SCHEDULE'!$L$5:$L$124,MATCH(AA420&amp;"|"&amp;AB420,'02_SCHEDULE'!$M$5:$M$124,0)),0)</f>
        <v>44</v>
      </c>
      <c r="AG420" s="51">
        <f t="shared" si="28"/>
        <v>1</v>
      </c>
    </row>
    <row r="421" spans="27:33" x14ac:dyDescent="0.3">
      <c r="AA421" s="51" t="str">
        <f>'Sites Master'!$B$8</f>
        <v>Site 07</v>
      </c>
      <c r="AB421" s="51" t="str">
        <f>'Phase-Resource Allocation'!$B$110</f>
        <v>Go Live</v>
      </c>
      <c r="AC421" s="51" t="str">
        <f>'Phase-Resource Allocation'!$C$110</f>
        <v>Trainers</v>
      </c>
      <c r="AD421" s="60">
        <f>'Phase-Resource Allocation'!$D$110</f>
        <v>1</v>
      </c>
      <c r="AE421" s="51">
        <f>IFERROR(INDEX('02_SCHEDULE'!$K$5:$K$124,MATCH(AA421&amp;"|"&amp;AB421,'02_SCHEDULE'!$M$5:$M$124,0)),0)</f>
        <v>44</v>
      </c>
      <c r="AF421" s="51">
        <f>IFERROR(INDEX('02_SCHEDULE'!$L$5:$L$124,MATCH(AA421&amp;"|"&amp;AB421,'02_SCHEDULE'!$M$5:$M$124,0)),0)</f>
        <v>44</v>
      </c>
      <c r="AG421" s="51">
        <f t="shared" si="28"/>
        <v>1</v>
      </c>
    </row>
    <row r="422" spans="27:33" x14ac:dyDescent="0.3">
      <c r="AA422" s="51" t="str">
        <f>'Sites Master'!$B$8</f>
        <v>Site 07</v>
      </c>
      <c r="AB422" s="51" t="str">
        <f>'Phase-Resource Allocation'!$B$111</f>
        <v>Go Live</v>
      </c>
      <c r="AC422" s="51" t="str">
        <f>'Phase-Resource Allocation'!$C$111</f>
        <v>Infrastructure Lead</v>
      </c>
      <c r="AD422" s="60">
        <f>'Phase-Resource Allocation'!$D$111</f>
        <v>1</v>
      </c>
      <c r="AE422" s="51">
        <f>IFERROR(INDEX('02_SCHEDULE'!$K$5:$K$124,MATCH(AA422&amp;"|"&amp;AB422,'02_SCHEDULE'!$M$5:$M$124,0)),0)</f>
        <v>44</v>
      </c>
      <c r="AF422" s="51">
        <f>IFERROR(INDEX('02_SCHEDULE'!$L$5:$L$124,MATCH(AA422&amp;"|"&amp;AB422,'02_SCHEDULE'!$M$5:$M$124,0)),0)</f>
        <v>44</v>
      </c>
      <c r="AG422" s="51">
        <f t="shared" si="28"/>
        <v>1</v>
      </c>
    </row>
    <row r="423" spans="27:33" x14ac:dyDescent="0.3">
      <c r="AA423" s="51" t="str">
        <f>'Sites Master'!$B$8</f>
        <v>Site 07</v>
      </c>
      <c r="AB423" s="51" t="str">
        <f>'Phase-Resource Allocation'!$B$112</f>
        <v>Go Live</v>
      </c>
      <c r="AC423" s="51" t="str">
        <f>'Phase-Resource Allocation'!$C$112</f>
        <v>Functional Lead Vendor A</v>
      </c>
      <c r="AD423" s="60">
        <f>'Phase-Resource Allocation'!$D$112</f>
        <v>1</v>
      </c>
      <c r="AE423" s="51">
        <f>IFERROR(INDEX('02_SCHEDULE'!$K$5:$K$124,MATCH(AA423&amp;"|"&amp;AB423,'02_SCHEDULE'!$M$5:$M$124,0)),0)</f>
        <v>44</v>
      </c>
      <c r="AF423" s="51">
        <f>IFERROR(INDEX('02_SCHEDULE'!$L$5:$L$124,MATCH(AA423&amp;"|"&amp;AB423,'02_SCHEDULE'!$M$5:$M$124,0)),0)</f>
        <v>44</v>
      </c>
      <c r="AG423" s="51">
        <f t="shared" si="28"/>
        <v>1</v>
      </c>
    </row>
    <row r="424" spans="27:33" x14ac:dyDescent="0.3">
      <c r="AA424" s="51" t="str">
        <f>'Sites Master'!$B$8</f>
        <v>Site 07</v>
      </c>
      <c r="AB424" s="51" t="str">
        <f>'Phase-Resource Allocation'!$B$113</f>
        <v>Hypercare</v>
      </c>
      <c r="AC424" s="51" t="str">
        <f>'Phase-Resource Allocation'!$C$113</f>
        <v>Solution Architect</v>
      </c>
      <c r="AD424" s="60">
        <f>'Phase-Resource Allocation'!$D$113</f>
        <v>0.5</v>
      </c>
      <c r="AE424" s="51">
        <f>IFERROR(INDEX('02_SCHEDULE'!$K$5:$K$124,MATCH(AA424&amp;"|"&amp;AB424,'02_SCHEDULE'!$M$5:$M$124,0)),0)</f>
        <v>45</v>
      </c>
      <c r="AF424" s="51">
        <f>IFERROR(INDEX('02_SCHEDULE'!$L$5:$L$124,MATCH(AA424&amp;"|"&amp;AB424,'02_SCHEDULE'!$M$5:$M$124,0)),0)</f>
        <v>48</v>
      </c>
      <c r="AG424" s="51">
        <f t="shared" si="28"/>
        <v>2</v>
      </c>
    </row>
    <row r="425" spans="27:33" x14ac:dyDescent="0.3">
      <c r="AA425" s="51" t="str">
        <f>'Sites Master'!$B$8</f>
        <v>Site 07</v>
      </c>
      <c r="AB425" s="51" t="str">
        <f>'Phase-Resource Allocation'!$B$114</f>
        <v>Hypercare</v>
      </c>
      <c r="AC425" s="51" t="str">
        <f>'Phase-Resource Allocation'!$C$114</f>
        <v>Change Management Lead</v>
      </c>
      <c r="AD425" s="60">
        <f>'Phase-Resource Allocation'!$D$114</f>
        <v>1</v>
      </c>
      <c r="AE425" s="51">
        <f>IFERROR(INDEX('02_SCHEDULE'!$K$5:$K$124,MATCH(AA425&amp;"|"&amp;AB425,'02_SCHEDULE'!$M$5:$M$124,0)),0)</f>
        <v>45</v>
      </c>
      <c r="AF425" s="51">
        <f>IFERROR(INDEX('02_SCHEDULE'!$L$5:$L$124,MATCH(AA425&amp;"|"&amp;AB425,'02_SCHEDULE'!$M$5:$M$124,0)),0)</f>
        <v>48</v>
      </c>
      <c r="AG425" s="51">
        <f t="shared" si="28"/>
        <v>4</v>
      </c>
    </row>
    <row r="426" spans="27:33" x14ac:dyDescent="0.3">
      <c r="AA426" s="51" t="str">
        <f>'Sites Master'!$B$8</f>
        <v>Site 07</v>
      </c>
      <c r="AB426" s="51" t="str">
        <f>'Phase-Resource Allocation'!$B$115</f>
        <v>Hypercare</v>
      </c>
      <c r="AC426" s="51" t="str">
        <f>'Phase-Resource Allocation'!$C$115</f>
        <v>SAP Integrations Lead</v>
      </c>
      <c r="AD426" s="60">
        <f>'Phase-Resource Allocation'!$D$115</f>
        <v>0.5</v>
      </c>
      <c r="AE426" s="51">
        <f>IFERROR(INDEX('02_SCHEDULE'!$K$5:$K$124,MATCH(AA426&amp;"|"&amp;AB426,'02_SCHEDULE'!$M$5:$M$124,0)),0)</f>
        <v>45</v>
      </c>
      <c r="AF426" s="51">
        <f>IFERROR(INDEX('02_SCHEDULE'!$L$5:$L$124,MATCH(AA426&amp;"|"&amp;AB426,'02_SCHEDULE'!$M$5:$M$124,0)),0)</f>
        <v>48</v>
      </c>
      <c r="AG426" s="51">
        <f t="shared" si="28"/>
        <v>2</v>
      </c>
    </row>
    <row r="427" spans="27:33" x14ac:dyDescent="0.3">
      <c r="AA427" s="51" t="str">
        <f>'Sites Master'!$B$8</f>
        <v>Site 07</v>
      </c>
      <c r="AB427" s="51" t="str">
        <f>'Phase-Resource Allocation'!$B$116</f>
        <v>Hypercare</v>
      </c>
      <c r="AC427" s="51" t="str">
        <f>'Phase-Resource Allocation'!$C$116</f>
        <v>SAP Integrations Specialist</v>
      </c>
      <c r="AD427" s="60">
        <f>'Phase-Resource Allocation'!$D$116</f>
        <v>0.5</v>
      </c>
      <c r="AE427" s="51">
        <f>IFERROR(INDEX('02_SCHEDULE'!$K$5:$K$124,MATCH(AA427&amp;"|"&amp;AB427,'02_SCHEDULE'!$M$5:$M$124,0)),0)</f>
        <v>45</v>
      </c>
      <c r="AF427" s="51">
        <f>IFERROR(INDEX('02_SCHEDULE'!$L$5:$L$124,MATCH(AA427&amp;"|"&amp;AB427,'02_SCHEDULE'!$M$5:$M$124,0)),0)</f>
        <v>48</v>
      </c>
      <c r="AG427" s="51">
        <f t="shared" si="28"/>
        <v>2</v>
      </c>
    </row>
    <row r="428" spans="27:33" x14ac:dyDescent="0.3">
      <c r="AA428" s="51" t="str">
        <f>'Sites Master'!$B$8</f>
        <v>Site 07</v>
      </c>
      <c r="AB428" s="51" t="str">
        <f>'Phase-Resource Allocation'!$B$117</f>
        <v>Hypercare</v>
      </c>
      <c r="AC428" s="51" t="str">
        <f>'Phase-Resource Allocation'!$C$117</f>
        <v>Azure Lead</v>
      </c>
      <c r="AD428" s="60">
        <f>'Phase-Resource Allocation'!$D$117</f>
        <v>0.5</v>
      </c>
      <c r="AE428" s="51">
        <f>IFERROR(INDEX('02_SCHEDULE'!$K$5:$K$124,MATCH(AA428&amp;"|"&amp;AB428,'02_SCHEDULE'!$M$5:$M$124,0)),0)</f>
        <v>45</v>
      </c>
      <c r="AF428" s="51">
        <f>IFERROR(INDEX('02_SCHEDULE'!$L$5:$L$124,MATCH(AA428&amp;"|"&amp;AB428,'02_SCHEDULE'!$M$5:$M$124,0)),0)</f>
        <v>48</v>
      </c>
      <c r="AG428" s="51">
        <f t="shared" si="28"/>
        <v>2</v>
      </c>
    </row>
    <row r="429" spans="27:33" x14ac:dyDescent="0.3">
      <c r="AA429" s="51" t="str">
        <f>'Sites Master'!$B$8</f>
        <v>Site 07</v>
      </c>
      <c r="AB429" s="51" t="str">
        <f>'Phase-Resource Allocation'!$B$118</f>
        <v>Hypercare</v>
      </c>
      <c r="AC429" s="51" t="str">
        <f>'Phase-Resource Allocation'!$C$118</f>
        <v>Azure Specialist</v>
      </c>
      <c r="AD429" s="60">
        <f>'Phase-Resource Allocation'!$D$118</f>
        <v>0.5</v>
      </c>
      <c r="AE429" s="51">
        <f>IFERROR(INDEX('02_SCHEDULE'!$K$5:$K$124,MATCH(AA429&amp;"|"&amp;AB429,'02_SCHEDULE'!$M$5:$M$124,0)),0)</f>
        <v>45</v>
      </c>
      <c r="AF429" s="51">
        <f>IFERROR(INDEX('02_SCHEDULE'!$L$5:$L$124,MATCH(AA429&amp;"|"&amp;AB429,'02_SCHEDULE'!$M$5:$M$124,0)),0)</f>
        <v>48</v>
      </c>
      <c r="AG429" s="51">
        <f t="shared" si="28"/>
        <v>2</v>
      </c>
    </row>
    <row r="430" spans="27:33" x14ac:dyDescent="0.3">
      <c r="AA430" s="51" t="str">
        <f>'Sites Master'!$B$8</f>
        <v>Site 07</v>
      </c>
      <c r="AB430" s="51" t="str">
        <f>'Phase-Resource Allocation'!$B$119</f>
        <v>Hypercare</v>
      </c>
      <c r="AC430" s="51" t="str">
        <f>'Phase-Resource Allocation'!$C$119</f>
        <v>Functional Lead</v>
      </c>
      <c r="AD430" s="60">
        <f>'Phase-Resource Allocation'!$D$119</f>
        <v>1</v>
      </c>
      <c r="AE430" s="51">
        <f>IFERROR(INDEX('02_SCHEDULE'!$K$5:$K$124,MATCH(AA430&amp;"|"&amp;AB430,'02_SCHEDULE'!$M$5:$M$124,0)),0)</f>
        <v>45</v>
      </c>
      <c r="AF430" s="51">
        <f>IFERROR(INDEX('02_SCHEDULE'!$L$5:$L$124,MATCH(AA430&amp;"|"&amp;AB430,'02_SCHEDULE'!$M$5:$M$124,0)),0)</f>
        <v>48</v>
      </c>
      <c r="AG430" s="51">
        <f t="shared" si="28"/>
        <v>4</v>
      </c>
    </row>
    <row r="431" spans="27:33" x14ac:dyDescent="0.3">
      <c r="AA431" s="51" t="str">
        <f>'Sites Master'!$B$8</f>
        <v>Site 07</v>
      </c>
      <c r="AB431" s="51" t="str">
        <f>'Phase-Resource Allocation'!$B$120</f>
        <v>Hypercare</v>
      </c>
      <c r="AC431" s="51" t="str">
        <f>'Phase-Resource Allocation'!$C$120</f>
        <v>Functional Lead</v>
      </c>
      <c r="AD431" s="60">
        <f>'Phase-Resource Allocation'!$D$120</f>
        <v>1</v>
      </c>
      <c r="AE431" s="51">
        <f>IFERROR(INDEX('02_SCHEDULE'!$K$5:$K$124,MATCH(AA431&amp;"|"&amp;AB431,'02_SCHEDULE'!$M$5:$M$124,0)),0)</f>
        <v>45</v>
      </c>
      <c r="AF431" s="51">
        <f>IFERROR(INDEX('02_SCHEDULE'!$L$5:$L$124,MATCH(AA431&amp;"|"&amp;AB431,'02_SCHEDULE'!$M$5:$M$124,0)),0)</f>
        <v>48</v>
      </c>
      <c r="AG431" s="51">
        <f t="shared" si="28"/>
        <v>4</v>
      </c>
    </row>
    <row r="432" spans="27:33" x14ac:dyDescent="0.3">
      <c r="AA432" s="51" t="str">
        <f>'Sites Master'!$B$8</f>
        <v>Site 07</v>
      </c>
      <c r="AB432" s="51" t="str">
        <f>'Phase-Resource Allocation'!$B$121</f>
        <v>Hypercare</v>
      </c>
      <c r="AC432" s="51" t="str">
        <f>'Phase-Resource Allocation'!$C$121</f>
        <v>Trainers</v>
      </c>
      <c r="AD432" s="60">
        <f>'Phase-Resource Allocation'!$D$121</f>
        <v>1</v>
      </c>
      <c r="AE432" s="51">
        <f>IFERROR(INDEX('02_SCHEDULE'!$K$5:$K$124,MATCH(AA432&amp;"|"&amp;AB432,'02_SCHEDULE'!$M$5:$M$124,0)),0)</f>
        <v>45</v>
      </c>
      <c r="AF432" s="51">
        <f>IFERROR(INDEX('02_SCHEDULE'!$L$5:$L$124,MATCH(AA432&amp;"|"&amp;AB432,'02_SCHEDULE'!$M$5:$M$124,0)),0)</f>
        <v>48</v>
      </c>
      <c r="AG432" s="51">
        <f t="shared" si="28"/>
        <v>4</v>
      </c>
    </row>
    <row r="433" spans="27:33" x14ac:dyDescent="0.3">
      <c r="AA433" s="51" t="str">
        <f>'Sites Master'!$B$8</f>
        <v>Site 07</v>
      </c>
      <c r="AB433" s="51" t="str">
        <f>'Phase-Resource Allocation'!$B$122</f>
        <v>Hypercare</v>
      </c>
      <c r="AC433" s="51" t="str">
        <f>'Phase-Resource Allocation'!$C$122</f>
        <v>Trainers</v>
      </c>
      <c r="AD433" s="60">
        <f>'Phase-Resource Allocation'!$D$122</f>
        <v>1</v>
      </c>
      <c r="AE433" s="51">
        <f>IFERROR(INDEX('02_SCHEDULE'!$K$5:$K$124,MATCH(AA433&amp;"|"&amp;AB433,'02_SCHEDULE'!$M$5:$M$124,0)),0)</f>
        <v>45</v>
      </c>
      <c r="AF433" s="51">
        <f>IFERROR(INDEX('02_SCHEDULE'!$L$5:$L$124,MATCH(AA433&amp;"|"&amp;AB433,'02_SCHEDULE'!$M$5:$M$124,0)),0)</f>
        <v>48</v>
      </c>
      <c r="AG433" s="51">
        <f t="shared" si="28"/>
        <v>4</v>
      </c>
    </row>
    <row r="434" spans="27:33" x14ac:dyDescent="0.3">
      <c r="AA434" s="51" t="str">
        <f>'Sites Master'!$B$8</f>
        <v>Site 07</v>
      </c>
      <c r="AB434" s="51" t="str">
        <f>'Phase-Resource Allocation'!$B$123</f>
        <v>Hypercare</v>
      </c>
      <c r="AC434" s="51" t="str">
        <f>'Phase-Resource Allocation'!$C$123</f>
        <v>Trainers</v>
      </c>
      <c r="AD434" s="60">
        <f>'Phase-Resource Allocation'!$D$123</f>
        <v>1</v>
      </c>
      <c r="AE434" s="51">
        <f>IFERROR(INDEX('02_SCHEDULE'!$K$5:$K$124,MATCH(AA434&amp;"|"&amp;AB434,'02_SCHEDULE'!$M$5:$M$124,0)),0)</f>
        <v>45</v>
      </c>
      <c r="AF434" s="51">
        <f>IFERROR(INDEX('02_SCHEDULE'!$L$5:$L$124,MATCH(AA434&amp;"|"&amp;AB434,'02_SCHEDULE'!$M$5:$M$124,0)),0)</f>
        <v>48</v>
      </c>
      <c r="AG434" s="51">
        <f t="shared" si="28"/>
        <v>4</v>
      </c>
    </row>
    <row r="435" spans="27:33" x14ac:dyDescent="0.3">
      <c r="AA435" s="51" t="str">
        <f>'Sites Master'!$B$8</f>
        <v>Site 07</v>
      </c>
      <c r="AB435" s="51" t="str">
        <f>'Phase-Resource Allocation'!$B$124</f>
        <v>Hypercare</v>
      </c>
      <c r="AC435" s="51" t="str">
        <f>'Phase-Resource Allocation'!$C$124</f>
        <v>Infrastructure Lead</v>
      </c>
      <c r="AD435" s="60">
        <f>'Phase-Resource Allocation'!$D$124</f>
        <v>1</v>
      </c>
      <c r="AE435" s="51">
        <f>IFERROR(INDEX('02_SCHEDULE'!$K$5:$K$124,MATCH(AA435&amp;"|"&amp;AB435,'02_SCHEDULE'!$M$5:$M$124,0)),0)</f>
        <v>45</v>
      </c>
      <c r="AF435" s="51">
        <f>IFERROR(INDEX('02_SCHEDULE'!$L$5:$L$124,MATCH(AA435&amp;"|"&amp;AB435,'02_SCHEDULE'!$M$5:$M$124,0)),0)</f>
        <v>48</v>
      </c>
      <c r="AG435" s="51">
        <f t="shared" si="28"/>
        <v>4</v>
      </c>
    </row>
    <row r="436" spans="27:33" x14ac:dyDescent="0.3">
      <c r="AA436" s="51" t="str">
        <f>'Sites Master'!$B$8</f>
        <v>Site 07</v>
      </c>
      <c r="AB436" s="51" t="str">
        <f>'Phase-Resource Allocation'!$B$125</f>
        <v>Hypercare</v>
      </c>
      <c r="AC436" s="51" t="str">
        <f>'Phase-Resource Allocation'!$C$125</f>
        <v>Functional Lead Vendor A</v>
      </c>
      <c r="AD436" s="60">
        <f>'Phase-Resource Allocation'!$D$125</f>
        <v>0.5</v>
      </c>
      <c r="AE436" s="51">
        <f>IFERROR(INDEX('02_SCHEDULE'!$K$5:$K$124,MATCH(AA436&amp;"|"&amp;AB436,'02_SCHEDULE'!$M$5:$M$124,0)),0)</f>
        <v>45</v>
      </c>
      <c r="AF436" s="51">
        <f>IFERROR(INDEX('02_SCHEDULE'!$L$5:$L$124,MATCH(AA436&amp;"|"&amp;AB436,'02_SCHEDULE'!$M$5:$M$124,0)),0)</f>
        <v>48</v>
      </c>
      <c r="AG436" s="51">
        <f t="shared" si="28"/>
        <v>2</v>
      </c>
    </row>
    <row r="437" spans="27:33" x14ac:dyDescent="0.3">
      <c r="AA437" s="51" t="str">
        <f>'Sites Master'!$B$9</f>
        <v>Site 08</v>
      </c>
      <c r="AB437" s="51" t="str">
        <f>'Phase-Resource Allocation'!$B$2</f>
        <v>Site Readiness</v>
      </c>
      <c r="AC437" s="51" t="str">
        <f>'Phase-Resource Allocation'!$C$2</f>
        <v>Infrastructure Lead</v>
      </c>
      <c r="AD437" s="60">
        <f>'Phase-Resource Allocation'!$D$2</f>
        <v>1</v>
      </c>
      <c r="AE437" s="51">
        <f>IFERROR(INDEX('02_SCHEDULE'!$K$5:$K$124,MATCH(AA437&amp;"|"&amp;AB437,'02_SCHEDULE'!$M$5:$M$124,0)),0)</f>
        <v>32</v>
      </c>
      <c r="AF437" s="51">
        <f>IFERROR(INDEX('02_SCHEDULE'!$L$5:$L$124,MATCH(AA437&amp;"|"&amp;AB437,'02_SCHEDULE'!$M$5:$M$124,0)),0)</f>
        <v>36</v>
      </c>
      <c r="AG437" s="51">
        <f t="shared" si="28"/>
        <v>5</v>
      </c>
    </row>
    <row r="438" spans="27:33" x14ac:dyDescent="0.3">
      <c r="AA438" s="51" t="str">
        <f>'Sites Master'!$B$9</f>
        <v>Site 08</v>
      </c>
      <c r="AB438" s="51" t="str">
        <f>'Phase-Resource Allocation'!$B$3</f>
        <v>Site Readiness</v>
      </c>
      <c r="AC438" s="51" t="str">
        <f>'Phase-Resource Allocation'!$C$3</f>
        <v>SAP Integrations Lead</v>
      </c>
      <c r="AD438" s="60">
        <f>'Phase-Resource Allocation'!$D$3</f>
        <v>0.5</v>
      </c>
      <c r="AE438" s="51">
        <f>IFERROR(INDEX('02_SCHEDULE'!$K$5:$K$124,MATCH(AA438&amp;"|"&amp;AB438,'02_SCHEDULE'!$M$5:$M$124,0)),0)</f>
        <v>32</v>
      </c>
      <c r="AF438" s="51">
        <f>IFERROR(INDEX('02_SCHEDULE'!$L$5:$L$124,MATCH(AA438&amp;"|"&amp;AB438,'02_SCHEDULE'!$M$5:$M$124,0)),0)</f>
        <v>36</v>
      </c>
      <c r="AG438" s="51">
        <f t="shared" si="28"/>
        <v>2.5</v>
      </c>
    </row>
    <row r="439" spans="27:33" x14ac:dyDescent="0.3">
      <c r="AA439" s="51" t="str">
        <f>'Sites Master'!$B$9</f>
        <v>Site 08</v>
      </c>
      <c r="AB439" s="51" t="str">
        <f>'Phase-Resource Allocation'!$B$4</f>
        <v>Design Adaptation</v>
      </c>
      <c r="AC439" s="51" t="str">
        <f>'Phase-Resource Allocation'!$C$4</f>
        <v>Solution Architect</v>
      </c>
      <c r="AD439" s="60">
        <f>'Phase-Resource Allocation'!$D$4</f>
        <v>1</v>
      </c>
      <c r="AE439" s="51">
        <f>IFERROR(INDEX('02_SCHEDULE'!$K$5:$K$124,MATCH(AA439&amp;"|"&amp;AB439,'02_SCHEDULE'!$M$5:$M$124,0)),0)</f>
        <v>37</v>
      </c>
      <c r="AF439" s="51">
        <f>IFERROR(INDEX('02_SCHEDULE'!$L$5:$L$124,MATCH(AA439&amp;"|"&amp;AB439,'02_SCHEDULE'!$M$5:$M$124,0)),0)</f>
        <v>38</v>
      </c>
      <c r="AG439" s="51">
        <f t="shared" si="28"/>
        <v>2</v>
      </c>
    </row>
    <row r="440" spans="27:33" x14ac:dyDescent="0.3">
      <c r="AA440" s="51" t="str">
        <f>'Sites Master'!$B$9</f>
        <v>Site 08</v>
      </c>
      <c r="AB440" s="51" t="str">
        <f>'Phase-Resource Allocation'!$B$5</f>
        <v>Design Adaptation</v>
      </c>
      <c r="AC440" s="51" t="str">
        <f>'Phase-Resource Allocation'!$C$5</f>
        <v>SAP Integrations Lead</v>
      </c>
      <c r="AD440" s="60">
        <f>'Phase-Resource Allocation'!$D$5</f>
        <v>0.5</v>
      </c>
      <c r="AE440" s="51">
        <f>IFERROR(INDEX('02_SCHEDULE'!$K$5:$K$124,MATCH(AA440&amp;"|"&amp;AB440,'02_SCHEDULE'!$M$5:$M$124,0)),0)</f>
        <v>37</v>
      </c>
      <c r="AF440" s="51">
        <f>IFERROR(INDEX('02_SCHEDULE'!$L$5:$L$124,MATCH(AA440&amp;"|"&amp;AB440,'02_SCHEDULE'!$M$5:$M$124,0)),0)</f>
        <v>38</v>
      </c>
      <c r="AG440" s="51">
        <f t="shared" si="28"/>
        <v>1</v>
      </c>
    </row>
    <row r="441" spans="27:33" x14ac:dyDescent="0.3">
      <c r="AA441" s="51" t="str">
        <f>'Sites Master'!$B$9</f>
        <v>Site 08</v>
      </c>
      <c r="AB441" s="51" t="str">
        <f>'Phase-Resource Allocation'!$B$6</f>
        <v>Design Adaptation</v>
      </c>
      <c r="AC441" s="51" t="str">
        <f>'Phase-Resource Allocation'!$C$6</f>
        <v>SAP Integrations Specialist</v>
      </c>
      <c r="AD441" s="60">
        <f>'Phase-Resource Allocation'!$D$6</f>
        <v>0.5</v>
      </c>
      <c r="AE441" s="51">
        <f>IFERROR(INDEX('02_SCHEDULE'!$K$5:$K$124,MATCH(AA441&amp;"|"&amp;AB441,'02_SCHEDULE'!$M$5:$M$124,0)),0)</f>
        <v>37</v>
      </c>
      <c r="AF441" s="51">
        <f>IFERROR(INDEX('02_SCHEDULE'!$L$5:$L$124,MATCH(AA441&amp;"|"&amp;AB441,'02_SCHEDULE'!$M$5:$M$124,0)),0)</f>
        <v>38</v>
      </c>
      <c r="AG441" s="51">
        <f t="shared" si="28"/>
        <v>1</v>
      </c>
    </row>
    <row r="442" spans="27:33" x14ac:dyDescent="0.3">
      <c r="AA442" s="51" t="str">
        <f>'Sites Master'!$B$9</f>
        <v>Site 08</v>
      </c>
      <c r="AB442" s="51" t="str">
        <f>'Phase-Resource Allocation'!$B$7</f>
        <v>Design Adaptation</v>
      </c>
      <c r="AC442" s="51" t="str">
        <f>'Phase-Resource Allocation'!$C$7</f>
        <v>Azure Lead</v>
      </c>
      <c r="AD442" s="60">
        <f>'Phase-Resource Allocation'!$D$7</f>
        <v>0.5</v>
      </c>
      <c r="AE442" s="51">
        <f>IFERROR(INDEX('02_SCHEDULE'!$K$5:$K$124,MATCH(AA442&amp;"|"&amp;AB442,'02_SCHEDULE'!$M$5:$M$124,0)),0)</f>
        <v>37</v>
      </c>
      <c r="AF442" s="51">
        <f>IFERROR(INDEX('02_SCHEDULE'!$L$5:$L$124,MATCH(AA442&amp;"|"&amp;AB442,'02_SCHEDULE'!$M$5:$M$124,0)),0)</f>
        <v>38</v>
      </c>
      <c r="AG442" s="51">
        <f t="shared" si="28"/>
        <v>1</v>
      </c>
    </row>
    <row r="443" spans="27:33" x14ac:dyDescent="0.3">
      <c r="AA443" s="51" t="str">
        <f>'Sites Master'!$B$9</f>
        <v>Site 08</v>
      </c>
      <c r="AB443" s="51" t="str">
        <f>'Phase-Resource Allocation'!$B$8</f>
        <v>Design Adaptation</v>
      </c>
      <c r="AC443" s="51" t="str">
        <f>'Phase-Resource Allocation'!$C$8</f>
        <v>Azure Specialist</v>
      </c>
      <c r="AD443" s="60">
        <f>'Phase-Resource Allocation'!$D$8</f>
        <v>0.5</v>
      </c>
      <c r="AE443" s="51">
        <f>IFERROR(INDEX('02_SCHEDULE'!$K$5:$K$124,MATCH(AA443&amp;"|"&amp;AB443,'02_SCHEDULE'!$M$5:$M$124,0)),0)</f>
        <v>37</v>
      </c>
      <c r="AF443" s="51">
        <f>IFERROR(INDEX('02_SCHEDULE'!$L$5:$L$124,MATCH(AA443&amp;"|"&amp;AB443,'02_SCHEDULE'!$M$5:$M$124,0)),0)</f>
        <v>38</v>
      </c>
      <c r="AG443" s="51">
        <f t="shared" si="28"/>
        <v>1</v>
      </c>
    </row>
    <row r="444" spans="27:33" x14ac:dyDescent="0.3">
      <c r="AA444" s="51" t="str">
        <f>'Sites Master'!$B$9</f>
        <v>Site 08</v>
      </c>
      <c r="AB444" s="51" t="str">
        <f>'Phase-Resource Allocation'!$B$9</f>
        <v>Design Adaptation</v>
      </c>
      <c r="AC444" s="51" t="str">
        <f>'Phase-Resource Allocation'!$C$9</f>
        <v>Testing Lead</v>
      </c>
      <c r="AD444" s="60">
        <f>'Phase-Resource Allocation'!$D$9</f>
        <v>1</v>
      </c>
      <c r="AE444" s="51">
        <f>IFERROR(INDEX('02_SCHEDULE'!$K$5:$K$124,MATCH(AA444&amp;"|"&amp;AB444,'02_SCHEDULE'!$M$5:$M$124,0)),0)</f>
        <v>37</v>
      </c>
      <c r="AF444" s="51">
        <f>IFERROR(INDEX('02_SCHEDULE'!$L$5:$L$124,MATCH(AA444&amp;"|"&amp;AB444,'02_SCHEDULE'!$M$5:$M$124,0)),0)</f>
        <v>38</v>
      </c>
      <c r="AG444" s="51">
        <f t="shared" si="28"/>
        <v>2</v>
      </c>
    </row>
    <row r="445" spans="27:33" x14ac:dyDescent="0.3">
      <c r="AA445" s="51" t="str">
        <f>'Sites Master'!$B$9</f>
        <v>Site 08</v>
      </c>
      <c r="AB445" s="51" t="str">
        <f>'Phase-Resource Allocation'!$B$10</f>
        <v>Design Adaptation</v>
      </c>
      <c r="AC445" s="51" t="str">
        <f>'Phase-Resource Allocation'!$C$10</f>
        <v>Functional Lead</v>
      </c>
      <c r="AD445" s="60">
        <f>'Phase-Resource Allocation'!$D$10</f>
        <v>1</v>
      </c>
      <c r="AE445" s="51">
        <f>IFERROR(INDEX('02_SCHEDULE'!$K$5:$K$124,MATCH(AA445&amp;"|"&amp;AB445,'02_SCHEDULE'!$M$5:$M$124,0)),0)</f>
        <v>37</v>
      </c>
      <c r="AF445" s="51">
        <f>IFERROR(INDEX('02_SCHEDULE'!$L$5:$L$124,MATCH(AA445&amp;"|"&amp;AB445,'02_SCHEDULE'!$M$5:$M$124,0)),0)</f>
        <v>38</v>
      </c>
      <c r="AG445" s="51">
        <f t="shared" si="28"/>
        <v>2</v>
      </c>
    </row>
    <row r="446" spans="27:33" x14ac:dyDescent="0.3">
      <c r="AA446" s="51" t="str">
        <f>'Sites Master'!$B$9</f>
        <v>Site 08</v>
      </c>
      <c r="AB446" s="51" t="str">
        <f>'Phase-Resource Allocation'!$B$11</f>
        <v>Design Adaptation</v>
      </c>
      <c r="AC446" s="51" t="str">
        <f>'Phase-Resource Allocation'!$C$11</f>
        <v>Trainers</v>
      </c>
      <c r="AD446" s="60">
        <f>'Phase-Resource Allocation'!$D$11</f>
        <v>1</v>
      </c>
      <c r="AE446" s="51">
        <f>IFERROR(INDEX('02_SCHEDULE'!$K$5:$K$124,MATCH(AA446&amp;"|"&amp;AB446,'02_SCHEDULE'!$M$5:$M$124,0)),0)</f>
        <v>37</v>
      </c>
      <c r="AF446" s="51">
        <f>IFERROR(INDEX('02_SCHEDULE'!$L$5:$L$124,MATCH(AA446&amp;"|"&amp;AB446,'02_SCHEDULE'!$M$5:$M$124,0)),0)</f>
        <v>38</v>
      </c>
      <c r="AG446" s="51">
        <f t="shared" si="28"/>
        <v>2</v>
      </c>
    </row>
    <row r="447" spans="27:33" x14ac:dyDescent="0.3">
      <c r="AA447" s="51" t="str">
        <f>'Sites Master'!$B$9</f>
        <v>Site 08</v>
      </c>
      <c r="AB447" s="51" t="str">
        <f>'Phase-Resource Allocation'!$B$12</f>
        <v>Design Adaptation</v>
      </c>
      <c r="AC447" s="51" t="str">
        <f>'Phase-Resource Allocation'!$C$12</f>
        <v>Infrastructure Lead</v>
      </c>
      <c r="AD447" s="60">
        <f>'Phase-Resource Allocation'!$D$12</f>
        <v>1</v>
      </c>
      <c r="AE447" s="51">
        <f>IFERROR(INDEX('02_SCHEDULE'!$K$5:$K$124,MATCH(AA447&amp;"|"&amp;AB447,'02_SCHEDULE'!$M$5:$M$124,0)),0)</f>
        <v>37</v>
      </c>
      <c r="AF447" s="51">
        <f>IFERROR(INDEX('02_SCHEDULE'!$L$5:$L$124,MATCH(AA447&amp;"|"&amp;AB447,'02_SCHEDULE'!$M$5:$M$124,0)),0)</f>
        <v>38</v>
      </c>
      <c r="AG447" s="51">
        <f t="shared" si="28"/>
        <v>2</v>
      </c>
    </row>
    <row r="448" spans="27:33" x14ac:dyDescent="0.3">
      <c r="AA448" s="51" t="str">
        <f>'Sites Master'!$B$9</f>
        <v>Site 08</v>
      </c>
      <c r="AB448" s="51" t="str">
        <f>'Phase-Resource Allocation'!$B$13</f>
        <v>Design Adaptation</v>
      </c>
      <c r="AC448" s="51" t="str">
        <f>'Phase-Resource Allocation'!$C$13</f>
        <v>Functional Lead Vendor A</v>
      </c>
      <c r="AD448" s="60">
        <f>'Phase-Resource Allocation'!$D$13</f>
        <v>1</v>
      </c>
      <c r="AE448" s="51">
        <f>IFERROR(INDEX('02_SCHEDULE'!$K$5:$K$124,MATCH(AA448&amp;"|"&amp;AB448,'02_SCHEDULE'!$M$5:$M$124,0)),0)</f>
        <v>37</v>
      </c>
      <c r="AF448" s="51">
        <f>IFERROR(INDEX('02_SCHEDULE'!$L$5:$L$124,MATCH(AA448&amp;"|"&amp;AB448,'02_SCHEDULE'!$M$5:$M$124,0)),0)</f>
        <v>38</v>
      </c>
      <c r="AG448" s="51">
        <f t="shared" si="28"/>
        <v>2</v>
      </c>
    </row>
    <row r="449" spans="27:33" x14ac:dyDescent="0.3">
      <c r="AA449" s="51" t="str">
        <f>'Sites Master'!$B$9</f>
        <v>Site 08</v>
      </c>
      <c r="AB449" s="51" t="str">
        <f>'Phase-Resource Allocation'!$B$14</f>
        <v>Functional Review</v>
      </c>
      <c r="AC449" s="51" t="str">
        <f>'Phase-Resource Allocation'!$C$14</f>
        <v>Solution Architect</v>
      </c>
      <c r="AD449" s="60">
        <f>'Phase-Resource Allocation'!$D$14</f>
        <v>0.5</v>
      </c>
      <c r="AE449" s="51">
        <f>IFERROR(INDEX('02_SCHEDULE'!$K$5:$K$124,MATCH(AA449&amp;"|"&amp;AB449,'02_SCHEDULE'!$M$5:$M$124,0)),0)</f>
        <v>39</v>
      </c>
      <c r="AF449" s="51">
        <f>IFERROR(INDEX('02_SCHEDULE'!$L$5:$L$124,MATCH(AA449&amp;"|"&amp;AB449,'02_SCHEDULE'!$M$5:$M$124,0)),0)</f>
        <v>39</v>
      </c>
      <c r="AG449" s="51">
        <f t="shared" si="28"/>
        <v>0.5</v>
      </c>
    </row>
    <row r="450" spans="27:33" x14ac:dyDescent="0.3">
      <c r="AA450" s="51" t="str">
        <f>'Sites Master'!$B$9</f>
        <v>Site 08</v>
      </c>
      <c r="AB450" s="51" t="str">
        <f>'Phase-Resource Allocation'!$B$15</f>
        <v>Functional Review</v>
      </c>
      <c r="AC450" s="51" t="str">
        <f>'Phase-Resource Allocation'!$C$15</f>
        <v>Change Management Lead</v>
      </c>
      <c r="AD450" s="60">
        <f>'Phase-Resource Allocation'!$D$15</f>
        <v>1</v>
      </c>
      <c r="AE450" s="51">
        <f>IFERROR(INDEX('02_SCHEDULE'!$K$5:$K$124,MATCH(AA450&amp;"|"&amp;AB450,'02_SCHEDULE'!$M$5:$M$124,0)),0)</f>
        <v>39</v>
      </c>
      <c r="AF450" s="51">
        <f>IFERROR(INDEX('02_SCHEDULE'!$L$5:$L$124,MATCH(AA450&amp;"|"&amp;AB450,'02_SCHEDULE'!$M$5:$M$124,0)),0)</f>
        <v>39</v>
      </c>
      <c r="AG450" s="51">
        <f t="shared" si="28"/>
        <v>1</v>
      </c>
    </row>
    <row r="451" spans="27:33" x14ac:dyDescent="0.3">
      <c r="AA451" s="51" t="str">
        <f>'Sites Master'!$B$9</f>
        <v>Site 08</v>
      </c>
      <c r="AB451" s="51" t="str">
        <f>'Phase-Resource Allocation'!$B$16</f>
        <v>Functional Review</v>
      </c>
      <c r="AC451" s="51" t="str">
        <f>'Phase-Resource Allocation'!$C$16</f>
        <v>SAP Integrations Lead</v>
      </c>
      <c r="AD451" s="60">
        <f>'Phase-Resource Allocation'!$D$16</f>
        <v>0.5</v>
      </c>
      <c r="AE451" s="51">
        <f>IFERROR(INDEX('02_SCHEDULE'!$K$5:$K$124,MATCH(AA451&amp;"|"&amp;AB451,'02_SCHEDULE'!$M$5:$M$124,0)),0)</f>
        <v>39</v>
      </c>
      <c r="AF451" s="51">
        <f>IFERROR(INDEX('02_SCHEDULE'!$L$5:$L$124,MATCH(AA451&amp;"|"&amp;AB451,'02_SCHEDULE'!$M$5:$M$124,0)),0)</f>
        <v>39</v>
      </c>
      <c r="AG451" s="51">
        <f t="shared" ref="AG451:AG514" si="29">AD451*(AF451-AE451+1)</f>
        <v>0.5</v>
      </c>
    </row>
    <row r="452" spans="27:33" x14ac:dyDescent="0.3">
      <c r="AA452" s="51" t="str">
        <f>'Sites Master'!$B$9</f>
        <v>Site 08</v>
      </c>
      <c r="AB452" s="51" t="str">
        <f>'Phase-Resource Allocation'!$B$17</f>
        <v>Functional Review</v>
      </c>
      <c r="AC452" s="51" t="str">
        <f>'Phase-Resource Allocation'!$C$17</f>
        <v>SAP Integrations Specialist</v>
      </c>
      <c r="AD452" s="60">
        <f>'Phase-Resource Allocation'!$D$17</f>
        <v>0.5</v>
      </c>
      <c r="AE452" s="51">
        <f>IFERROR(INDEX('02_SCHEDULE'!$K$5:$K$124,MATCH(AA452&amp;"|"&amp;AB452,'02_SCHEDULE'!$M$5:$M$124,0)),0)</f>
        <v>39</v>
      </c>
      <c r="AF452" s="51">
        <f>IFERROR(INDEX('02_SCHEDULE'!$L$5:$L$124,MATCH(AA452&amp;"|"&amp;AB452,'02_SCHEDULE'!$M$5:$M$124,0)),0)</f>
        <v>39</v>
      </c>
      <c r="AG452" s="51">
        <f t="shared" si="29"/>
        <v>0.5</v>
      </c>
    </row>
    <row r="453" spans="27:33" x14ac:dyDescent="0.3">
      <c r="AA453" s="51" t="str">
        <f>'Sites Master'!$B$9</f>
        <v>Site 08</v>
      </c>
      <c r="AB453" s="51" t="str">
        <f>'Phase-Resource Allocation'!$B$18</f>
        <v>Functional Review</v>
      </c>
      <c r="AC453" s="51" t="str">
        <f>'Phase-Resource Allocation'!$C$18</f>
        <v>Azure Lead</v>
      </c>
      <c r="AD453" s="60">
        <f>'Phase-Resource Allocation'!$D$18</f>
        <v>0.5</v>
      </c>
      <c r="AE453" s="51">
        <f>IFERROR(INDEX('02_SCHEDULE'!$K$5:$K$124,MATCH(AA453&amp;"|"&amp;AB453,'02_SCHEDULE'!$M$5:$M$124,0)),0)</f>
        <v>39</v>
      </c>
      <c r="AF453" s="51">
        <f>IFERROR(INDEX('02_SCHEDULE'!$L$5:$L$124,MATCH(AA453&amp;"|"&amp;AB453,'02_SCHEDULE'!$M$5:$M$124,0)),0)</f>
        <v>39</v>
      </c>
      <c r="AG453" s="51">
        <f t="shared" si="29"/>
        <v>0.5</v>
      </c>
    </row>
    <row r="454" spans="27:33" x14ac:dyDescent="0.3">
      <c r="AA454" s="51" t="str">
        <f>'Sites Master'!$B$9</f>
        <v>Site 08</v>
      </c>
      <c r="AB454" s="51" t="str">
        <f>'Phase-Resource Allocation'!$B$19</f>
        <v>Functional Review</v>
      </c>
      <c r="AC454" s="51" t="str">
        <f>'Phase-Resource Allocation'!$C$19</f>
        <v>Azure Specialist</v>
      </c>
      <c r="AD454" s="60">
        <f>'Phase-Resource Allocation'!$D$19</f>
        <v>0.5</v>
      </c>
      <c r="AE454" s="51">
        <f>IFERROR(INDEX('02_SCHEDULE'!$K$5:$K$124,MATCH(AA454&amp;"|"&amp;AB454,'02_SCHEDULE'!$M$5:$M$124,0)),0)</f>
        <v>39</v>
      </c>
      <c r="AF454" s="51">
        <f>IFERROR(INDEX('02_SCHEDULE'!$L$5:$L$124,MATCH(AA454&amp;"|"&amp;AB454,'02_SCHEDULE'!$M$5:$M$124,0)),0)</f>
        <v>39</v>
      </c>
      <c r="AG454" s="51">
        <f t="shared" si="29"/>
        <v>0.5</v>
      </c>
    </row>
    <row r="455" spans="27:33" x14ac:dyDescent="0.3">
      <c r="AA455" s="51" t="str">
        <f>'Sites Master'!$B$9</f>
        <v>Site 08</v>
      </c>
      <c r="AB455" s="51" t="str">
        <f>'Phase-Resource Allocation'!$B$20</f>
        <v>Functional Review</v>
      </c>
      <c r="AC455" s="51" t="str">
        <f>'Phase-Resource Allocation'!$C$20</f>
        <v>Testing Lead</v>
      </c>
      <c r="AD455" s="60">
        <f>'Phase-Resource Allocation'!$D$20</f>
        <v>0.5</v>
      </c>
      <c r="AE455" s="51">
        <f>IFERROR(INDEX('02_SCHEDULE'!$K$5:$K$124,MATCH(AA455&amp;"|"&amp;AB455,'02_SCHEDULE'!$M$5:$M$124,0)),0)</f>
        <v>39</v>
      </c>
      <c r="AF455" s="51">
        <f>IFERROR(INDEX('02_SCHEDULE'!$L$5:$L$124,MATCH(AA455&amp;"|"&amp;AB455,'02_SCHEDULE'!$M$5:$M$124,0)),0)</f>
        <v>39</v>
      </c>
      <c r="AG455" s="51">
        <f t="shared" si="29"/>
        <v>0.5</v>
      </c>
    </row>
    <row r="456" spans="27:33" x14ac:dyDescent="0.3">
      <c r="AA456" s="51" t="str">
        <f>'Sites Master'!$B$9</f>
        <v>Site 08</v>
      </c>
      <c r="AB456" s="51" t="str">
        <f>'Phase-Resource Allocation'!$B$21</f>
        <v>Functional Review</v>
      </c>
      <c r="AC456" s="51" t="str">
        <f>'Phase-Resource Allocation'!$C$21</f>
        <v>Functional Lead</v>
      </c>
      <c r="AD456" s="60">
        <f>'Phase-Resource Allocation'!$D$21</f>
        <v>1</v>
      </c>
      <c r="AE456" s="51">
        <f>IFERROR(INDEX('02_SCHEDULE'!$K$5:$K$124,MATCH(AA456&amp;"|"&amp;AB456,'02_SCHEDULE'!$M$5:$M$124,0)),0)</f>
        <v>39</v>
      </c>
      <c r="AF456" s="51">
        <f>IFERROR(INDEX('02_SCHEDULE'!$L$5:$L$124,MATCH(AA456&amp;"|"&amp;AB456,'02_SCHEDULE'!$M$5:$M$124,0)),0)</f>
        <v>39</v>
      </c>
      <c r="AG456" s="51">
        <f t="shared" si="29"/>
        <v>1</v>
      </c>
    </row>
    <row r="457" spans="27:33" x14ac:dyDescent="0.3">
      <c r="AA457" s="51" t="str">
        <f>'Sites Master'!$B$9</f>
        <v>Site 08</v>
      </c>
      <c r="AB457" s="51" t="str">
        <f>'Phase-Resource Allocation'!$B$22</f>
        <v>Functional Review</v>
      </c>
      <c r="AC457" s="51" t="str">
        <f>'Phase-Resource Allocation'!$C$22</f>
        <v>Trainers</v>
      </c>
      <c r="AD457" s="60">
        <f>'Phase-Resource Allocation'!$D$22</f>
        <v>1</v>
      </c>
      <c r="AE457" s="51">
        <f>IFERROR(INDEX('02_SCHEDULE'!$K$5:$K$124,MATCH(AA457&amp;"|"&amp;AB457,'02_SCHEDULE'!$M$5:$M$124,0)),0)</f>
        <v>39</v>
      </c>
      <c r="AF457" s="51">
        <f>IFERROR(INDEX('02_SCHEDULE'!$L$5:$L$124,MATCH(AA457&amp;"|"&amp;AB457,'02_SCHEDULE'!$M$5:$M$124,0)),0)</f>
        <v>39</v>
      </c>
      <c r="AG457" s="51">
        <f t="shared" si="29"/>
        <v>1</v>
      </c>
    </row>
    <row r="458" spans="27:33" x14ac:dyDescent="0.3">
      <c r="AA458" s="51" t="str">
        <f>'Sites Master'!$B$9</f>
        <v>Site 08</v>
      </c>
      <c r="AB458" s="51" t="str">
        <f>'Phase-Resource Allocation'!$B$23</f>
        <v>UAT</v>
      </c>
      <c r="AC458" s="51" t="str">
        <f>'Phase-Resource Allocation'!$C$23</f>
        <v>Solution Architect</v>
      </c>
      <c r="AD458" s="60">
        <f>'Phase-Resource Allocation'!$D$23</f>
        <v>0.5</v>
      </c>
      <c r="AE458" s="51">
        <f>IFERROR(INDEX('02_SCHEDULE'!$K$5:$K$124,MATCH(AA458&amp;"|"&amp;AB458,'02_SCHEDULE'!$M$5:$M$124,0)),0)</f>
        <v>40</v>
      </c>
      <c r="AF458" s="51">
        <f>IFERROR(INDEX('02_SCHEDULE'!$L$5:$L$124,MATCH(AA458&amp;"|"&amp;AB458,'02_SCHEDULE'!$M$5:$M$124,0)),0)</f>
        <v>41</v>
      </c>
      <c r="AG458" s="51">
        <f t="shared" si="29"/>
        <v>1</v>
      </c>
    </row>
    <row r="459" spans="27:33" x14ac:dyDescent="0.3">
      <c r="AA459" s="51" t="str">
        <f>'Sites Master'!$B$9</f>
        <v>Site 08</v>
      </c>
      <c r="AB459" s="51" t="str">
        <f>'Phase-Resource Allocation'!$B$24</f>
        <v>UAT</v>
      </c>
      <c r="AC459" s="51" t="str">
        <f>'Phase-Resource Allocation'!$C$24</f>
        <v>Change Management Lead</v>
      </c>
      <c r="AD459" s="60">
        <f>'Phase-Resource Allocation'!$D$24</f>
        <v>1</v>
      </c>
      <c r="AE459" s="51">
        <f>IFERROR(INDEX('02_SCHEDULE'!$K$5:$K$124,MATCH(AA459&amp;"|"&amp;AB459,'02_SCHEDULE'!$M$5:$M$124,0)),0)</f>
        <v>40</v>
      </c>
      <c r="AF459" s="51">
        <f>IFERROR(INDEX('02_SCHEDULE'!$L$5:$L$124,MATCH(AA459&amp;"|"&amp;AB459,'02_SCHEDULE'!$M$5:$M$124,0)),0)</f>
        <v>41</v>
      </c>
      <c r="AG459" s="51">
        <f t="shared" si="29"/>
        <v>2</v>
      </c>
    </row>
    <row r="460" spans="27:33" x14ac:dyDescent="0.3">
      <c r="AA460" s="51" t="str">
        <f>'Sites Master'!$B$9</f>
        <v>Site 08</v>
      </c>
      <c r="AB460" s="51" t="str">
        <f>'Phase-Resource Allocation'!$B$25</f>
        <v>UAT</v>
      </c>
      <c r="AC460" s="51" t="str">
        <f>'Phase-Resource Allocation'!$C$25</f>
        <v>SAP Integrations Lead</v>
      </c>
      <c r="AD460" s="60">
        <f>'Phase-Resource Allocation'!$D$25</f>
        <v>0.5</v>
      </c>
      <c r="AE460" s="51">
        <f>IFERROR(INDEX('02_SCHEDULE'!$K$5:$K$124,MATCH(AA460&amp;"|"&amp;AB460,'02_SCHEDULE'!$M$5:$M$124,0)),0)</f>
        <v>40</v>
      </c>
      <c r="AF460" s="51">
        <f>IFERROR(INDEX('02_SCHEDULE'!$L$5:$L$124,MATCH(AA460&amp;"|"&amp;AB460,'02_SCHEDULE'!$M$5:$M$124,0)),0)</f>
        <v>41</v>
      </c>
      <c r="AG460" s="51">
        <f t="shared" si="29"/>
        <v>1</v>
      </c>
    </row>
    <row r="461" spans="27:33" x14ac:dyDescent="0.3">
      <c r="AA461" s="51" t="str">
        <f>'Sites Master'!$B$9</f>
        <v>Site 08</v>
      </c>
      <c r="AB461" s="51" t="str">
        <f>'Phase-Resource Allocation'!$B$26</f>
        <v>UAT</v>
      </c>
      <c r="AC461" s="51" t="str">
        <f>'Phase-Resource Allocation'!$C$26</f>
        <v>SAP Integrations Specialist</v>
      </c>
      <c r="AD461" s="60">
        <f>'Phase-Resource Allocation'!$D$26</f>
        <v>0.5</v>
      </c>
      <c r="AE461" s="51">
        <f>IFERROR(INDEX('02_SCHEDULE'!$K$5:$K$124,MATCH(AA461&amp;"|"&amp;AB461,'02_SCHEDULE'!$M$5:$M$124,0)),0)</f>
        <v>40</v>
      </c>
      <c r="AF461" s="51">
        <f>IFERROR(INDEX('02_SCHEDULE'!$L$5:$L$124,MATCH(AA461&amp;"|"&amp;AB461,'02_SCHEDULE'!$M$5:$M$124,0)),0)</f>
        <v>41</v>
      </c>
      <c r="AG461" s="51">
        <f t="shared" si="29"/>
        <v>1</v>
      </c>
    </row>
    <row r="462" spans="27:33" x14ac:dyDescent="0.3">
      <c r="AA462" s="51" t="str">
        <f>'Sites Master'!$B$9</f>
        <v>Site 08</v>
      </c>
      <c r="AB462" s="51" t="str">
        <f>'Phase-Resource Allocation'!$B$27</f>
        <v>UAT</v>
      </c>
      <c r="AC462" s="51" t="str">
        <f>'Phase-Resource Allocation'!$C$27</f>
        <v>Azure Lead</v>
      </c>
      <c r="AD462" s="60">
        <f>'Phase-Resource Allocation'!$D$27</f>
        <v>0.5</v>
      </c>
      <c r="AE462" s="51">
        <f>IFERROR(INDEX('02_SCHEDULE'!$K$5:$K$124,MATCH(AA462&amp;"|"&amp;AB462,'02_SCHEDULE'!$M$5:$M$124,0)),0)</f>
        <v>40</v>
      </c>
      <c r="AF462" s="51">
        <f>IFERROR(INDEX('02_SCHEDULE'!$L$5:$L$124,MATCH(AA462&amp;"|"&amp;AB462,'02_SCHEDULE'!$M$5:$M$124,0)),0)</f>
        <v>41</v>
      </c>
      <c r="AG462" s="51">
        <f t="shared" si="29"/>
        <v>1</v>
      </c>
    </row>
    <row r="463" spans="27:33" x14ac:dyDescent="0.3">
      <c r="AA463" s="51" t="str">
        <f>'Sites Master'!$B$9</f>
        <v>Site 08</v>
      </c>
      <c r="AB463" s="51" t="str">
        <f>'Phase-Resource Allocation'!$B$28</f>
        <v>UAT</v>
      </c>
      <c r="AC463" s="51" t="str">
        <f>'Phase-Resource Allocation'!$C$28</f>
        <v>Azure Specialist</v>
      </c>
      <c r="AD463" s="60">
        <f>'Phase-Resource Allocation'!$D$28</f>
        <v>0.5</v>
      </c>
      <c r="AE463" s="51">
        <f>IFERROR(INDEX('02_SCHEDULE'!$K$5:$K$124,MATCH(AA463&amp;"|"&amp;AB463,'02_SCHEDULE'!$M$5:$M$124,0)),0)</f>
        <v>40</v>
      </c>
      <c r="AF463" s="51">
        <f>IFERROR(INDEX('02_SCHEDULE'!$L$5:$L$124,MATCH(AA463&amp;"|"&amp;AB463,'02_SCHEDULE'!$M$5:$M$124,0)),0)</f>
        <v>41</v>
      </c>
      <c r="AG463" s="51">
        <f t="shared" si="29"/>
        <v>1</v>
      </c>
    </row>
    <row r="464" spans="27:33" x14ac:dyDescent="0.3">
      <c r="AA464" s="51" t="str">
        <f>'Sites Master'!$B$9</f>
        <v>Site 08</v>
      </c>
      <c r="AB464" s="51" t="str">
        <f>'Phase-Resource Allocation'!$B$29</f>
        <v>UAT</v>
      </c>
      <c r="AC464" s="51" t="str">
        <f>'Phase-Resource Allocation'!$C$29</f>
        <v>Testing Lead</v>
      </c>
      <c r="AD464" s="60">
        <f>'Phase-Resource Allocation'!$D$29</f>
        <v>0.5</v>
      </c>
      <c r="AE464" s="51">
        <f>IFERROR(INDEX('02_SCHEDULE'!$K$5:$K$124,MATCH(AA464&amp;"|"&amp;AB464,'02_SCHEDULE'!$M$5:$M$124,0)),0)</f>
        <v>40</v>
      </c>
      <c r="AF464" s="51">
        <f>IFERROR(INDEX('02_SCHEDULE'!$L$5:$L$124,MATCH(AA464&amp;"|"&amp;AB464,'02_SCHEDULE'!$M$5:$M$124,0)),0)</f>
        <v>41</v>
      </c>
      <c r="AG464" s="51">
        <f t="shared" si="29"/>
        <v>1</v>
      </c>
    </row>
    <row r="465" spans="27:33" x14ac:dyDescent="0.3">
      <c r="AA465" s="51" t="str">
        <f>'Sites Master'!$B$9</f>
        <v>Site 08</v>
      </c>
      <c r="AB465" s="51" t="str">
        <f>'Phase-Resource Allocation'!$B$30</f>
        <v>UAT</v>
      </c>
      <c r="AC465" s="51" t="str">
        <f>'Phase-Resource Allocation'!$C$30</f>
        <v>Functional Lead</v>
      </c>
      <c r="AD465" s="60">
        <f>'Phase-Resource Allocation'!$D$30</f>
        <v>1</v>
      </c>
      <c r="AE465" s="51">
        <f>IFERROR(INDEX('02_SCHEDULE'!$K$5:$K$124,MATCH(AA465&amp;"|"&amp;AB465,'02_SCHEDULE'!$M$5:$M$124,0)),0)</f>
        <v>40</v>
      </c>
      <c r="AF465" s="51">
        <f>IFERROR(INDEX('02_SCHEDULE'!$L$5:$L$124,MATCH(AA465&amp;"|"&amp;AB465,'02_SCHEDULE'!$M$5:$M$124,0)),0)</f>
        <v>41</v>
      </c>
      <c r="AG465" s="51">
        <f t="shared" si="29"/>
        <v>2</v>
      </c>
    </row>
    <row r="466" spans="27:33" x14ac:dyDescent="0.3">
      <c r="AA466" s="51" t="str">
        <f>'Sites Master'!$B$9</f>
        <v>Site 08</v>
      </c>
      <c r="AB466" s="51" t="str">
        <f>'Phase-Resource Allocation'!$B$31</f>
        <v>UAT</v>
      </c>
      <c r="AC466" s="51" t="str">
        <f>'Phase-Resource Allocation'!$C$31</f>
        <v>Trainers</v>
      </c>
      <c r="AD466" s="60">
        <f>'Phase-Resource Allocation'!$D$31</f>
        <v>1</v>
      </c>
      <c r="AE466" s="51">
        <f>IFERROR(INDEX('02_SCHEDULE'!$K$5:$K$124,MATCH(AA466&amp;"|"&amp;AB466,'02_SCHEDULE'!$M$5:$M$124,0)),0)</f>
        <v>40</v>
      </c>
      <c r="AF466" s="51">
        <f>IFERROR(INDEX('02_SCHEDULE'!$L$5:$L$124,MATCH(AA466&amp;"|"&amp;AB466,'02_SCHEDULE'!$M$5:$M$124,0)),0)</f>
        <v>41</v>
      </c>
      <c r="AG466" s="51">
        <f t="shared" si="29"/>
        <v>2</v>
      </c>
    </row>
    <row r="467" spans="27:33" x14ac:dyDescent="0.3">
      <c r="AA467" s="51" t="str">
        <f>'Sites Master'!$B$9</f>
        <v>Site 08</v>
      </c>
      <c r="AB467" s="51" t="str">
        <f>'Phase-Resource Allocation'!$B$32</f>
        <v>Training</v>
      </c>
      <c r="AC467" s="51" t="str">
        <f>'Phase-Resource Allocation'!$C$32</f>
        <v>Change Management Lead</v>
      </c>
      <c r="AD467" s="60">
        <f>'Phase-Resource Allocation'!$D$32</f>
        <v>1</v>
      </c>
      <c r="AE467" s="51">
        <f>IFERROR(INDEX('02_SCHEDULE'!$K$5:$K$124,MATCH(AA467&amp;"|"&amp;AB467,'02_SCHEDULE'!$M$5:$M$124,0)),0)</f>
        <v>42</v>
      </c>
      <c r="AF467" s="51">
        <f>IFERROR(INDEX('02_SCHEDULE'!$L$5:$L$124,MATCH(AA467&amp;"|"&amp;AB467,'02_SCHEDULE'!$M$5:$M$124,0)),0)</f>
        <v>44</v>
      </c>
      <c r="AG467" s="51">
        <f t="shared" si="29"/>
        <v>3</v>
      </c>
    </row>
    <row r="468" spans="27:33" x14ac:dyDescent="0.3">
      <c r="AA468" s="51" t="str">
        <f>'Sites Master'!$B$9</f>
        <v>Site 08</v>
      </c>
      <c r="AB468" s="51" t="str">
        <f>'Phase-Resource Allocation'!$B$33</f>
        <v>Training</v>
      </c>
      <c r="AC468" s="51" t="str">
        <f>'Phase-Resource Allocation'!$C$33</f>
        <v>Trainers</v>
      </c>
      <c r="AD468" s="60">
        <f>'Phase-Resource Allocation'!$D$33</f>
        <v>1</v>
      </c>
      <c r="AE468" s="51">
        <f>IFERROR(INDEX('02_SCHEDULE'!$K$5:$K$124,MATCH(AA468&amp;"|"&amp;AB468,'02_SCHEDULE'!$M$5:$M$124,0)),0)</f>
        <v>42</v>
      </c>
      <c r="AF468" s="51">
        <f>IFERROR(INDEX('02_SCHEDULE'!$L$5:$L$124,MATCH(AA468&amp;"|"&amp;AB468,'02_SCHEDULE'!$M$5:$M$124,0)),0)</f>
        <v>44</v>
      </c>
      <c r="AG468" s="51">
        <f t="shared" si="29"/>
        <v>3</v>
      </c>
    </row>
    <row r="469" spans="27:33" x14ac:dyDescent="0.3">
      <c r="AA469" s="51" t="str">
        <f>'Sites Master'!$B$9</f>
        <v>Site 08</v>
      </c>
      <c r="AB469" s="51" t="str">
        <f>'Phase-Resource Allocation'!$B$34</f>
        <v>DIALT</v>
      </c>
      <c r="AC469" s="51" t="str">
        <f>'Phase-Resource Allocation'!$C$34</f>
        <v>Solution Architect</v>
      </c>
      <c r="AD469" s="60">
        <f>'Phase-Resource Allocation'!$D$34</f>
        <v>0.5</v>
      </c>
      <c r="AE469" s="51">
        <f>IFERROR(INDEX('02_SCHEDULE'!$K$5:$K$124,MATCH(AA469&amp;"|"&amp;AB469,'02_SCHEDULE'!$M$5:$M$124,0)),0)</f>
        <v>45</v>
      </c>
      <c r="AF469" s="51">
        <f>IFERROR(INDEX('02_SCHEDULE'!$L$5:$L$124,MATCH(AA469&amp;"|"&amp;AB469,'02_SCHEDULE'!$M$5:$M$124,0)),0)</f>
        <v>45</v>
      </c>
      <c r="AG469" s="51">
        <f t="shared" si="29"/>
        <v>0.5</v>
      </c>
    </row>
    <row r="470" spans="27:33" x14ac:dyDescent="0.3">
      <c r="AA470" s="51" t="str">
        <f>'Sites Master'!$B$9</f>
        <v>Site 08</v>
      </c>
      <c r="AB470" s="51" t="str">
        <f>'Phase-Resource Allocation'!$B$35</f>
        <v>DIALT</v>
      </c>
      <c r="AC470" s="51" t="str">
        <f>'Phase-Resource Allocation'!$C$35</f>
        <v>Change Management Lead</v>
      </c>
      <c r="AD470" s="60">
        <f>'Phase-Resource Allocation'!$D$35</f>
        <v>1</v>
      </c>
      <c r="AE470" s="51">
        <f>IFERROR(INDEX('02_SCHEDULE'!$K$5:$K$124,MATCH(AA470&amp;"|"&amp;AB470,'02_SCHEDULE'!$M$5:$M$124,0)),0)</f>
        <v>45</v>
      </c>
      <c r="AF470" s="51">
        <f>IFERROR(INDEX('02_SCHEDULE'!$L$5:$L$124,MATCH(AA470&amp;"|"&amp;AB470,'02_SCHEDULE'!$M$5:$M$124,0)),0)</f>
        <v>45</v>
      </c>
      <c r="AG470" s="51">
        <f t="shared" si="29"/>
        <v>1</v>
      </c>
    </row>
    <row r="471" spans="27:33" x14ac:dyDescent="0.3">
      <c r="AA471" s="51" t="str">
        <f>'Sites Master'!$B$9</f>
        <v>Site 08</v>
      </c>
      <c r="AB471" s="51" t="str">
        <f>'Phase-Resource Allocation'!$B$36</f>
        <v>DIALT</v>
      </c>
      <c r="AC471" s="51" t="str">
        <f>'Phase-Resource Allocation'!$C$36</f>
        <v>Azure Lead</v>
      </c>
      <c r="AD471" s="60">
        <f>'Phase-Resource Allocation'!$D$36</f>
        <v>0.75</v>
      </c>
      <c r="AE471" s="51">
        <f>IFERROR(INDEX('02_SCHEDULE'!$K$5:$K$124,MATCH(AA471&amp;"|"&amp;AB471,'02_SCHEDULE'!$M$5:$M$124,0)),0)</f>
        <v>45</v>
      </c>
      <c r="AF471" s="51">
        <f>IFERROR(INDEX('02_SCHEDULE'!$L$5:$L$124,MATCH(AA471&amp;"|"&amp;AB471,'02_SCHEDULE'!$M$5:$M$124,0)),0)</f>
        <v>45</v>
      </c>
      <c r="AG471" s="51">
        <f t="shared" si="29"/>
        <v>0.75</v>
      </c>
    </row>
    <row r="472" spans="27:33" x14ac:dyDescent="0.3">
      <c r="AA472" s="51" t="str">
        <f>'Sites Master'!$B$9</f>
        <v>Site 08</v>
      </c>
      <c r="AB472" s="51" t="str">
        <f>'Phase-Resource Allocation'!$B$37</f>
        <v>DIALT</v>
      </c>
      <c r="AC472" s="51" t="str">
        <f>'Phase-Resource Allocation'!$C$37</f>
        <v>Azure Specialist</v>
      </c>
      <c r="AD472" s="60">
        <f>'Phase-Resource Allocation'!$D$37</f>
        <v>0.75</v>
      </c>
      <c r="AE472" s="51">
        <f>IFERROR(INDEX('02_SCHEDULE'!$K$5:$K$124,MATCH(AA472&amp;"|"&amp;AB472,'02_SCHEDULE'!$M$5:$M$124,0)),0)</f>
        <v>45</v>
      </c>
      <c r="AF472" s="51">
        <f>IFERROR(INDEX('02_SCHEDULE'!$L$5:$L$124,MATCH(AA472&amp;"|"&amp;AB472,'02_SCHEDULE'!$M$5:$M$124,0)),0)</f>
        <v>45</v>
      </c>
      <c r="AG472" s="51">
        <f t="shared" si="29"/>
        <v>0.75</v>
      </c>
    </row>
    <row r="473" spans="27:33" x14ac:dyDescent="0.3">
      <c r="AA473" s="51" t="str">
        <f>'Sites Master'!$B$9</f>
        <v>Site 08</v>
      </c>
      <c r="AB473" s="51" t="str">
        <f>'Phase-Resource Allocation'!$B$38</f>
        <v>DIALT</v>
      </c>
      <c r="AC473" s="51" t="str">
        <f>'Phase-Resource Allocation'!$C$38</f>
        <v>Functional Lead</v>
      </c>
      <c r="AD473" s="60">
        <f>'Phase-Resource Allocation'!$D$38</f>
        <v>1</v>
      </c>
      <c r="AE473" s="51">
        <f>IFERROR(INDEX('02_SCHEDULE'!$K$5:$K$124,MATCH(AA473&amp;"|"&amp;AB473,'02_SCHEDULE'!$M$5:$M$124,0)),0)</f>
        <v>45</v>
      </c>
      <c r="AF473" s="51">
        <f>IFERROR(INDEX('02_SCHEDULE'!$L$5:$L$124,MATCH(AA473&amp;"|"&amp;AB473,'02_SCHEDULE'!$M$5:$M$124,0)),0)</f>
        <v>45</v>
      </c>
      <c r="AG473" s="51">
        <f t="shared" si="29"/>
        <v>1</v>
      </c>
    </row>
    <row r="474" spans="27:33" x14ac:dyDescent="0.3">
      <c r="AA474" s="51" t="str">
        <f>'Sites Master'!$B$9</f>
        <v>Site 08</v>
      </c>
      <c r="AB474" s="51" t="str">
        <f>'Phase-Resource Allocation'!$B$39</f>
        <v>DIALT</v>
      </c>
      <c r="AC474" s="51" t="str">
        <f>'Phase-Resource Allocation'!$C$39</f>
        <v>Trainers</v>
      </c>
      <c r="AD474" s="60">
        <f>'Phase-Resource Allocation'!$D$39</f>
        <v>1</v>
      </c>
      <c r="AE474" s="51">
        <f>IFERROR(INDEX('02_SCHEDULE'!$K$5:$K$124,MATCH(AA474&amp;"|"&amp;AB474,'02_SCHEDULE'!$M$5:$M$124,0)),0)</f>
        <v>45</v>
      </c>
      <c r="AF474" s="51">
        <f>IFERROR(INDEX('02_SCHEDULE'!$L$5:$L$124,MATCH(AA474&amp;"|"&amp;AB474,'02_SCHEDULE'!$M$5:$M$124,0)),0)</f>
        <v>45</v>
      </c>
      <c r="AG474" s="51">
        <f t="shared" si="29"/>
        <v>1</v>
      </c>
    </row>
    <row r="475" spans="27:33" x14ac:dyDescent="0.3">
      <c r="AA475" s="51" t="str">
        <f>'Sites Master'!$B$9</f>
        <v>Site 08</v>
      </c>
      <c r="AB475" s="51" t="str">
        <f>'Phase-Resource Allocation'!$B$40</f>
        <v>DIALT</v>
      </c>
      <c r="AC475" s="51" t="str">
        <f>'Phase-Resource Allocation'!$C$40</f>
        <v>Functional Lead Vendor A</v>
      </c>
      <c r="AD475" s="60">
        <f>'Phase-Resource Allocation'!$D$40</f>
        <v>1</v>
      </c>
      <c r="AE475" s="51">
        <f>IFERROR(INDEX('02_SCHEDULE'!$K$5:$K$124,MATCH(AA475&amp;"|"&amp;AB475,'02_SCHEDULE'!$M$5:$M$124,0)),0)</f>
        <v>45</v>
      </c>
      <c r="AF475" s="51">
        <f>IFERROR(INDEX('02_SCHEDULE'!$L$5:$L$124,MATCH(AA475&amp;"|"&amp;AB475,'02_SCHEDULE'!$M$5:$M$124,0)),0)</f>
        <v>45</v>
      </c>
      <c r="AG475" s="51">
        <f t="shared" si="29"/>
        <v>1</v>
      </c>
    </row>
    <row r="476" spans="27:33" x14ac:dyDescent="0.3">
      <c r="AA476" s="51" t="str">
        <f>'Sites Master'!$B$9</f>
        <v>Site 08</v>
      </c>
      <c r="AB476" s="51" t="str">
        <f>'Phase-Resource Allocation'!$B$41</f>
        <v>Go Live</v>
      </c>
      <c r="AC476" s="51" t="str">
        <f>'Phase-Resource Allocation'!$C$41</f>
        <v>Solution Architect</v>
      </c>
      <c r="AD476" s="60">
        <f>'Phase-Resource Allocation'!$D$41</f>
        <v>1</v>
      </c>
      <c r="AE476" s="51">
        <f>IFERROR(INDEX('02_SCHEDULE'!$K$5:$K$124,MATCH(AA476&amp;"|"&amp;AB476,'02_SCHEDULE'!$M$5:$M$124,0)),0)</f>
        <v>46</v>
      </c>
      <c r="AF476" s="51">
        <f>IFERROR(INDEX('02_SCHEDULE'!$L$5:$L$124,MATCH(AA476&amp;"|"&amp;AB476,'02_SCHEDULE'!$M$5:$M$124,0)),0)</f>
        <v>46</v>
      </c>
      <c r="AG476" s="51">
        <f t="shared" si="29"/>
        <v>1</v>
      </c>
    </row>
    <row r="477" spans="27:33" x14ac:dyDescent="0.3">
      <c r="AA477" s="51" t="str">
        <f>'Sites Master'!$B$9</f>
        <v>Site 08</v>
      </c>
      <c r="AB477" s="51" t="str">
        <f>'Phase-Resource Allocation'!$B$42</f>
        <v>Go Live</v>
      </c>
      <c r="AC477" s="51" t="str">
        <f>'Phase-Resource Allocation'!$C$42</f>
        <v>Change Management Lead</v>
      </c>
      <c r="AD477" s="60">
        <f>'Phase-Resource Allocation'!$D$42</f>
        <v>1</v>
      </c>
      <c r="AE477" s="51">
        <f>IFERROR(INDEX('02_SCHEDULE'!$K$5:$K$124,MATCH(AA477&amp;"|"&amp;AB477,'02_SCHEDULE'!$M$5:$M$124,0)),0)</f>
        <v>46</v>
      </c>
      <c r="AF477" s="51">
        <f>IFERROR(INDEX('02_SCHEDULE'!$L$5:$L$124,MATCH(AA477&amp;"|"&amp;AB477,'02_SCHEDULE'!$M$5:$M$124,0)),0)</f>
        <v>46</v>
      </c>
      <c r="AG477" s="51">
        <f t="shared" si="29"/>
        <v>1</v>
      </c>
    </row>
    <row r="478" spans="27:33" x14ac:dyDescent="0.3">
      <c r="AA478" s="51" t="str">
        <f>'Sites Master'!$B$9</f>
        <v>Site 08</v>
      </c>
      <c r="AB478" s="51" t="str">
        <f>'Phase-Resource Allocation'!$B$43</f>
        <v>Go Live</v>
      </c>
      <c r="AC478" s="51" t="str">
        <f>'Phase-Resource Allocation'!$C$43</f>
        <v>SAP Integrations Lead</v>
      </c>
      <c r="AD478" s="60">
        <f>'Phase-Resource Allocation'!$D$43</f>
        <v>1</v>
      </c>
      <c r="AE478" s="51">
        <f>IFERROR(INDEX('02_SCHEDULE'!$K$5:$K$124,MATCH(AA478&amp;"|"&amp;AB478,'02_SCHEDULE'!$M$5:$M$124,0)),0)</f>
        <v>46</v>
      </c>
      <c r="AF478" s="51">
        <f>IFERROR(INDEX('02_SCHEDULE'!$L$5:$L$124,MATCH(AA478&amp;"|"&amp;AB478,'02_SCHEDULE'!$M$5:$M$124,0)),0)</f>
        <v>46</v>
      </c>
      <c r="AG478" s="51">
        <f t="shared" si="29"/>
        <v>1</v>
      </c>
    </row>
    <row r="479" spans="27:33" x14ac:dyDescent="0.3">
      <c r="AA479" s="51" t="str">
        <f>'Sites Master'!$B$9</f>
        <v>Site 08</v>
      </c>
      <c r="AB479" s="51" t="str">
        <f>'Phase-Resource Allocation'!$B$44</f>
        <v>Go Live</v>
      </c>
      <c r="AC479" s="51" t="str">
        <f>'Phase-Resource Allocation'!$C$44</f>
        <v>SAP Integrations Specialist</v>
      </c>
      <c r="AD479" s="60">
        <f>'Phase-Resource Allocation'!$D$44</f>
        <v>1</v>
      </c>
      <c r="AE479" s="51">
        <f>IFERROR(INDEX('02_SCHEDULE'!$K$5:$K$124,MATCH(AA479&amp;"|"&amp;AB479,'02_SCHEDULE'!$M$5:$M$124,0)),0)</f>
        <v>46</v>
      </c>
      <c r="AF479" s="51">
        <f>IFERROR(INDEX('02_SCHEDULE'!$L$5:$L$124,MATCH(AA479&amp;"|"&amp;AB479,'02_SCHEDULE'!$M$5:$M$124,0)),0)</f>
        <v>46</v>
      </c>
      <c r="AG479" s="51">
        <f t="shared" si="29"/>
        <v>1</v>
      </c>
    </row>
    <row r="480" spans="27:33" x14ac:dyDescent="0.3">
      <c r="AA480" s="51" t="str">
        <f>'Sites Master'!$B$9</f>
        <v>Site 08</v>
      </c>
      <c r="AB480" s="51" t="str">
        <f>'Phase-Resource Allocation'!$B$45</f>
        <v>Go Live</v>
      </c>
      <c r="AC480" s="51" t="str">
        <f>'Phase-Resource Allocation'!$C$45</f>
        <v>Azure Lead</v>
      </c>
      <c r="AD480" s="60">
        <f>'Phase-Resource Allocation'!$D$45</f>
        <v>1</v>
      </c>
      <c r="AE480" s="51">
        <f>IFERROR(INDEX('02_SCHEDULE'!$K$5:$K$124,MATCH(AA480&amp;"|"&amp;AB480,'02_SCHEDULE'!$M$5:$M$124,0)),0)</f>
        <v>46</v>
      </c>
      <c r="AF480" s="51">
        <f>IFERROR(INDEX('02_SCHEDULE'!$L$5:$L$124,MATCH(AA480&amp;"|"&amp;AB480,'02_SCHEDULE'!$M$5:$M$124,0)),0)</f>
        <v>46</v>
      </c>
      <c r="AG480" s="51">
        <f t="shared" si="29"/>
        <v>1</v>
      </c>
    </row>
    <row r="481" spans="27:33" x14ac:dyDescent="0.3">
      <c r="AA481" s="51" t="str">
        <f>'Sites Master'!$B$9</f>
        <v>Site 08</v>
      </c>
      <c r="AB481" s="51" t="str">
        <f>'Phase-Resource Allocation'!$B$46</f>
        <v>Go Live</v>
      </c>
      <c r="AC481" s="51" t="str">
        <f>'Phase-Resource Allocation'!$C$46</f>
        <v>Azure Specialist</v>
      </c>
      <c r="AD481" s="60">
        <f>'Phase-Resource Allocation'!$D$46</f>
        <v>1</v>
      </c>
      <c r="AE481" s="51">
        <f>IFERROR(INDEX('02_SCHEDULE'!$K$5:$K$124,MATCH(AA481&amp;"|"&amp;AB481,'02_SCHEDULE'!$M$5:$M$124,0)),0)</f>
        <v>46</v>
      </c>
      <c r="AF481" s="51">
        <f>IFERROR(INDEX('02_SCHEDULE'!$L$5:$L$124,MATCH(AA481&amp;"|"&amp;AB481,'02_SCHEDULE'!$M$5:$M$124,0)),0)</f>
        <v>46</v>
      </c>
      <c r="AG481" s="51">
        <f t="shared" si="29"/>
        <v>1</v>
      </c>
    </row>
    <row r="482" spans="27:33" x14ac:dyDescent="0.3">
      <c r="AA482" s="51" t="str">
        <f>'Sites Master'!$B$9</f>
        <v>Site 08</v>
      </c>
      <c r="AB482" s="51" t="str">
        <f>'Phase-Resource Allocation'!$B$47</f>
        <v>Go Live</v>
      </c>
      <c r="AC482" s="51" t="str">
        <f>'Phase-Resource Allocation'!$C$47</f>
        <v>Functional Lead</v>
      </c>
      <c r="AD482" s="60">
        <f>'Phase-Resource Allocation'!$D$47</f>
        <v>1</v>
      </c>
      <c r="AE482" s="51">
        <f>IFERROR(INDEX('02_SCHEDULE'!$K$5:$K$124,MATCH(AA482&amp;"|"&amp;AB482,'02_SCHEDULE'!$M$5:$M$124,0)),0)</f>
        <v>46</v>
      </c>
      <c r="AF482" s="51">
        <f>IFERROR(INDEX('02_SCHEDULE'!$L$5:$L$124,MATCH(AA482&amp;"|"&amp;AB482,'02_SCHEDULE'!$M$5:$M$124,0)),0)</f>
        <v>46</v>
      </c>
      <c r="AG482" s="51">
        <f t="shared" si="29"/>
        <v>1</v>
      </c>
    </row>
    <row r="483" spans="27:33" x14ac:dyDescent="0.3">
      <c r="AA483" s="51" t="str">
        <f>'Sites Master'!$B$9</f>
        <v>Site 08</v>
      </c>
      <c r="AB483" s="51" t="str">
        <f>'Phase-Resource Allocation'!$B$48</f>
        <v>Go Live</v>
      </c>
      <c r="AC483" s="51" t="str">
        <f>'Phase-Resource Allocation'!$C$48</f>
        <v>Trainers</v>
      </c>
      <c r="AD483" s="60">
        <f>'Phase-Resource Allocation'!$D$48</f>
        <v>1</v>
      </c>
      <c r="AE483" s="51">
        <f>IFERROR(INDEX('02_SCHEDULE'!$K$5:$K$124,MATCH(AA483&amp;"|"&amp;AB483,'02_SCHEDULE'!$M$5:$M$124,0)),0)</f>
        <v>46</v>
      </c>
      <c r="AF483" s="51">
        <f>IFERROR(INDEX('02_SCHEDULE'!$L$5:$L$124,MATCH(AA483&amp;"|"&amp;AB483,'02_SCHEDULE'!$M$5:$M$124,0)),0)</f>
        <v>46</v>
      </c>
      <c r="AG483" s="51">
        <f t="shared" si="29"/>
        <v>1</v>
      </c>
    </row>
    <row r="484" spans="27:33" x14ac:dyDescent="0.3">
      <c r="AA484" s="51" t="str">
        <f>'Sites Master'!$B$9</f>
        <v>Site 08</v>
      </c>
      <c r="AB484" s="51" t="str">
        <f>'Phase-Resource Allocation'!$B$49</f>
        <v>Go Live</v>
      </c>
      <c r="AC484" s="51" t="str">
        <f>'Phase-Resource Allocation'!$C$49</f>
        <v>Infrastructure Lead</v>
      </c>
      <c r="AD484" s="60">
        <f>'Phase-Resource Allocation'!$D$49</f>
        <v>1</v>
      </c>
      <c r="AE484" s="51">
        <f>IFERROR(INDEX('02_SCHEDULE'!$K$5:$K$124,MATCH(AA484&amp;"|"&amp;AB484,'02_SCHEDULE'!$M$5:$M$124,0)),0)</f>
        <v>46</v>
      </c>
      <c r="AF484" s="51">
        <f>IFERROR(INDEX('02_SCHEDULE'!$L$5:$L$124,MATCH(AA484&amp;"|"&amp;AB484,'02_SCHEDULE'!$M$5:$M$124,0)),0)</f>
        <v>46</v>
      </c>
      <c r="AG484" s="51">
        <f t="shared" si="29"/>
        <v>1</v>
      </c>
    </row>
    <row r="485" spans="27:33" x14ac:dyDescent="0.3">
      <c r="AA485" s="51" t="str">
        <f>'Sites Master'!$B$9</f>
        <v>Site 08</v>
      </c>
      <c r="AB485" s="51" t="str">
        <f>'Phase-Resource Allocation'!$B$50</f>
        <v>Go Live</v>
      </c>
      <c r="AC485" s="51" t="str">
        <f>'Phase-Resource Allocation'!$C$50</f>
        <v>Functional Lead Vendor A</v>
      </c>
      <c r="AD485" s="60">
        <f>'Phase-Resource Allocation'!$D$50</f>
        <v>1</v>
      </c>
      <c r="AE485" s="51">
        <f>IFERROR(INDEX('02_SCHEDULE'!$K$5:$K$124,MATCH(AA485&amp;"|"&amp;AB485,'02_SCHEDULE'!$M$5:$M$124,0)),0)</f>
        <v>46</v>
      </c>
      <c r="AF485" s="51">
        <f>IFERROR(INDEX('02_SCHEDULE'!$L$5:$L$124,MATCH(AA485&amp;"|"&amp;AB485,'02_SCHEDULE'!$M$5:$M$124,0)),0)</f>
        <v>46</v>
      </c>
      <c r="AG485" s="51">
        <f t="shared" si="29"/>
        <v>1</v>
      </c>
    </row>
    <row r="486" spans="27:33" x14ac:dyDescent="0.3">
      <c r="AA486" s="51" t="str">
        <f>'Sites Master'!$B$9</f>
        <v>Site 08</v>
      </c>
      <c r="AB486" s="51" t="str">
        <f>'Phase-Resource Allocation'!$B$51</f>
        <v>Hypercare</v>
      </c>
      <c r="AC486" s="51" t="str">
        <f>'Phase-Resource Allocation'!$C$51</f>
        <v>Solution Architect</v>
      </c>
      <c r="AD486" s="60">
        <f>'Phase-Resource Allocation'!$D$51</f>
        <v>0.5</v>
      </c>
      <c r="AE486" s="51">
        <f>IFERROR(INDEX('02_SCHEDULE'!$K$5:$K$124,MATCH(AA486&amp;"|"&amp;AB486,'02_SCHEDULE'!$M$5:$M$124,0)),0)</f>
        <v>47</v>
      </c>
      <c r="AF486" s="51">
        <f>IFERROR(INDEX('02_SCHEDULE'!$L$5:$L$124,MATCH(AA486&amp;"|"&amp;AB486,'02_SCHEDULE'!$M$5:$M$124,0)),0)</f>
        <v>50</v>
      </c>
      <c r="AG486" s="51">
        <f t="shared" si="29"/>
        <v>2</v>
      </c>
    </row>
    <row r="487" spans="27:33" x14ac:dyDescent="0.3">
      <c r="AA487" s="51" t="str">
        <f>'Sites Master'!$B$9</f>
        <v>Site 08</v>
      </c>
      <c r="AB487" s="51" t="str">
        <f>'Phase-Resource Allocation'!$B$52</f>
        <v>Hypercare</v>
      </c>
      <c r="AC487" s="51" t="str">
        <f>'Phase-Resource Allocation'!$C$52</f>
        <v>Change Management Lead</v>
      </c>
      <c r="AD487" s="60">
        <f>'Phase-Resource Allocation'!$D$52</f>
        <v>1</v>
      </c>
      <c r="AE487" s="51">
        <f>IFERROR(INDEX('02_SCHEDULE'!$K$5:$K$124,MATCH(AA487&amp;"|"&amp;AB487,'02_SCHEDULE'!$M$5:$M$124,0)),0)</f>
        <v>47</v>
      </c>
      <c r="AF487" s="51">
        <f>IFERROR(INDEX('02_SCHEDULE'!$L$5:$L$124,MATCH(AA487&amp;"|"&amp;AB487,'02_SCHEDULE'!$M$5:$M$124,0)),0)</f>
        <v>50</v>
      </c>
      <c r="AG487" s="51">
        <f t="shared" si="29"/>
        <v>4</v>
      </c>
    </row>
    <row r="488" spans="27:33" x14ac:dyDescent="0.3">
      <c r="AA488" s="51" t="str">
        <f>'Sites Master'!$B$9</f>
        <v>Site 08</v>
      </c>
      <c r="AB488" s="51" t="str">
        <f>'Phase-Resource Allocation'!$B$53</f>
        <v>Hypercare</v>
      </c>
      <c r="AC488" s="51" t="str">
        <f>'Phase-Resource Allocation'!$C$53</f>
        <v>SAP Integrations Lead</v>
      </c>
      <c r="AD488" s="60">
        <f>'Phase-Resource Allocation'!$D$53</f>
        <v>0.5</v>
      </c>
      <c r="AE488" s="51">
        <f>IFERROR(INDEX('02_SCHEDULE'!$K$5:$K$124,MATCH(AA488&amp;"|"&amp;AB488,'02_SCHEDULE'!$M$5:$M$124,0)),0)</f>
        <v>47</v>
      </c>
      <c r="AF488" s="51">
        <f>IFERROR(INDEX('02_SCHEDULE'!$L$5:$L$124,MATCH(AA488&amp;"|"&amp;AB488,'02_SCHEDULE'!$M$5:$M$124,0)),0)</f>
        <v>50</v>
      </c>
      <c r="AG488" s="51">
        <f t="shared" si="29"/>
        <v>2</v>
      </c>
    </row>
    <row r="489" spans="27:33" x14ac:dyDescent="0.3">
      <c r="AA489" s="51" t="str">
        <f>'Sites Master'!$B$9</f>
        <v>Site 08</v>
      </c>
      <c r="AB489" s="51" t="str">
        <f>'Phase-Resource Allocation'!$B$54</f>
        <v>Hypercare</v>
      </c>
      <c r="AC489" s="51" t="str">
        <f>'Phase-Resource Allocation'!$C$54</f>
        <v>SAP Integrations Specialist</v>
      </c>
      <c r="AD489" s="60">
        <f>'Phase-Resource Allocation'!$D$54</f>
        <v>0.5</v>
      </c>
      <c r="AE489" s="51">
        <f>IFERROR(INDEX('02_SCHEDULE'!$K$5:$K$124,MATCH(AA489&amp;"|"&amp;AB489,'02_SCHEDULE'!$M$5:$M$124,0)),0)</f>
        <v>47</v>
      </c>
      <c r="AF489" s="51">
        <f>IFERROR(INDEX('02_SCHEDULE'!$L$5:$L$124,MATCH(AA489&amp;"|"&amp;AB489,'02_SCHEDULE'!$M$5:$M$124,0)),0)</f>
        <v>50</v>
      </c>
      <c r="AG489" s="51">
        <f t="shared" si="29"/>
        <v>2</v>
      </c>
    </row>
    <row r="490" spans="27:33" x14ac:dyDescent="0.3">
      <c r="AA490" s="51" t="str">
        <f>'Sites Master'!$B$9</f>
        <v>Site 08</v>
      </c>
      <c r="AB490" s="51" t="str">
        <f>'Phase-Resource Allocation'!$B$55</f>
        <v>Hypercare</v>
      </c>
      <c r="AC490" s="51" t="str">
        <f>'Phase-Resource Allocation'!$C$55</f>
        <v>Azure Lead</v>
      </c>
      <c r="AD490" s="60">
        <f>'Phase-Resource Allocation'!$D$55</f>
        <v>0.5</v>
      </c>
      <c r="AE490" s="51">
        <f>IFERROR(INDEX('02_SCHEDULE'!$K$5:$K$124,MATCH(AA490&amp;"|"&amp;AB490,'02_SCHEDULE'!$M$5:$M$124,0)),0)</f>
        <v>47</v>
      </c>
      <c r="AF490" s="51">
        <f>IFERROR(INDEX('02_SCHEDULE'!$L$5:$L$124,MATCH(AA490&amp;"|"&amp;AB490,'02_SCHEDULE'!$M$5:$M$124,0)),0)</f>
        <v>50</v>
      </c>
      <c r="AG490" s="51">
        <f t="shared" si="29"/>
        <v>2</v>
      </c>
    </row>
    <row r="491" spans="27:33" x14ac:dyDescent="0.3">
      <c r="AA491" s="51" t="str">
        <f>'Sites Master'!$B$9</f>
        <v>Site 08</v>
      </c>
      <c r="AB491" s="51" t="str">
        <f>'Phase-Resource Allocation'!$B$56</f>
        <v>Hypercare</v>
      </c>
      <c r="AC491" s="51" t="str">
        <f>'Phase-Resource Allocation'!$C$56</f>
        <v>Azure Specialist</v>
      </c>
      <c r="AD491" s="60">
        <f>'Phase-Resource Allocation'!$D$56</f>
        <v>0.5</v>
      </c>
      <c r="AE491" s="51">
        <f>IFERROR(INDEX('02_SCHEDULE'!$K$5:$K$124,MATCH(AA491&amp;"|"&amp;AB491,'02_SCHEDULE'!$M$5:$M$124,0)),0)</f>
        <v>47</v>
      </c>
      <c r="AF491" s="51">
        <f>IFERROR(INDEX('02_SCHEDULE'!$L$5:$L$124,MATCH(AA491&amp;"|"&amp;AB491,'02_SCHEDULE'!$M$5:$M$124,0)),0)</f>
        <v>50</v>
      </c>
      <c r="AG491" s="51">
        <f t="shared" si="29"/>
        <v>2</v>
      </c>
    </row>
    <row r="492" spans="27:33" x14ac:dyDescent="0.3">
      <c r="AA492" s="51" t="str">
        <f>'Sites Master'!$B$9</f>
        <v>Site 08</v>
      </c>
      <c r="AB492" s="51" t="str">
        <f>'Phase-Resource Allocation'!$B$57</f>
        <v>Hypercare</v>
      </c>
      <c r="AC492" s="51" t="str">
        <f>'Phase-Resource Allocation'!$C$57</f>
        <v>Functional Lead</v>
      </c>
      <c r="AD492" s="60">
        <f>'Phase-Resource Allocation'!$D$57</f>
        <v>1</v>
      </c>
      <c r="AE492" s="51">
        <f>IFERROR(INDEX('02_SCHEDULE'!$K$5:$K$124,MATCH(AA492&amp;"|"&amp;AB492,'02_SCHEDULE'!$M$5:$M$124,0)),0)</f>
        <v>47</v>
      </c>
      <c r="AF492" s="51">
        <f>IFERROR(INDEX('02_SCHEDULE'!$L$5:$L$124,MATCH(AA492&amp;"|"&amp;AB492,'02_SCHEDULE'!$M$5:$M$124,0)),0)</f>
        <v>50</v>
      </c>
      <c r="AG492" s="51">
        <f t="shared" si="29"/>
        <v>4</v>
      </c>
    </row>
    <row r="493" spans="27:33" x14ac:dyDescent="0.3">
      <c r="AA493" s="51" t="str">
        <f>'Sites Master'!$B$9</f>
        <v>Site 08</v>
      </c>
      <c r="AB493" s="51" t="str">
        <f>'Phase-Resource Allocation'!$B$58</f>
        <v>Hypercare</v>
      </c>
      <c r="AC493" s="51" t="str">
        <f>'Phase-Resource Allocation'!$C$58</f>
        <v>Functional Lead</v>
      </c>
      <c r="AD493" s="60">
        <f>'Phase-Resource Allocation'!$D$58</f>
        <v>1</v>
      </c>
      <c r="AE493" s="51">
        <f>IFERROR(INDEX('02_SCHEDULE'!$K$5:$K$124,MATCH(AA493&amp;"|"&amp;AB493,'02_SCHEDULE'!$M$5:$M$124,0)),0)</f>
        <v>47</v>
      </c>
      <c r="AF493" s="51">
        <f>IFERROR(INDEX('02_SCHEDULE'!$L$5:$L$124,MATCH(AA493&amp;"|"&amp;AB493,'02_SCHEDULE'!$M$5:$M$124,0)),0)</f>
        <v>50</v>
      </c>
      <c r="AG493" s="51">
        <f t="shared" si="29"/>
        <v>4</v>
      </c>
    </row>
    <row r="494" spans="27:33" x14ac:dyDescent="0.3">
      <c r="AA494" s="51" t="str">
        <f>'Sites Master'!$B$9</f>
        <v>Site 08</v>
      </c>
      <c r="AB494" s="51" t="str">
        <f>'Phase-Resource Allocation'!$B$59</f>
        <v>Hypercare</v>
      </c>
      <c r="AC494" s="51" t="str">
        <f>'Phase-Resource Allocation'!$C$59</f>
        <v>Trainers</v>
      </c>
      <c r="AD494" s="60">
        <f>'Phase-Resource Allocation'!$D$59</f>
        <v>1</v>
      </c>
      <c r="AE494" s="51">
        <f>IFERROR(INDEX('02_SCHEDULE'!$K$5:$K$124,MATCH(AA494&amp;"|"&amp;AB494,'02_SCHEDULE'!$M$5:$M$124,0)),0)</f>
        <v>47</v>
      </c>
      <c r="AF494" s="51">
        <f>IFERROR(INDEX('02_SCHEDULE'!$L$5:$L$124,MATCH(AA494&amp;"|"&amp;AB494,'02_SCHEDULE'!$M$5:$M$124,0)),0)</f>
        <v>50</v>
      </c>
      <c r="AG494" s="51">
        <f t="shared" si="29"/>
        <v>4</v>
      </c>
    </row>
    <row r="495" spans="27:33" x14ac:dyDescent="0.3">
      <c r="AA495" s="51" t="str">
        <f>'Sites Master'!$B$9</f>
        <v>Site 08</v>
      </c>
      <c r="AB495" s="51" t="str">
        <f>'Phase-Resource Allocation'!$B$60</f>
        <v>Hypercare</v>
      </c>
      <c r="AC495" s="51" t="str">
        <f>'Phase-Resource Allocation'!$C$60</f>
        <v>Trainers</v>
      </c>
      <c r="AD495" s="60">
        <f>'Phase-Resource Allocation'!$D$60</f>
        <v>1</v>
      </c>
      <c r="AE495" s="51">
        <f>IFERROR(INDEX('02_SCHEDULE'!$K$5:$K$124,MATCH(AA495&amp;"|"&amp;AB495,'02_SCHEDULE'!$M$5:$M$124,0)),0)</f>
        <v>47</v>
      </c>
      <c r="AF495" s="51">
        <f>IFERROR(INDEX('02_SCHEDULE'!$L$5:$L$124,MATCH(AA495&amp;"|"&amp;AB495,'02_SCHEDULE'!$M$5:$M$124,0)),0)</f>
        <v>50</v>
      </c>
      <c r="AG495" s="51">
        <f t="shared" si="29"/>
        <v>4</v>
      </c>
    </row>
    <row r="496" spans="27:33" x14ac:dyDescent="0.3">
      <c r="AA496" s="51" t="str">
        <f>'Sites Master'!$B$9</f>
        <v>Site 08</v>
      </c>
      <c r="AB496" s="51" t="str">
        <f>'Phase-Resource Allocation'!$B$61</f>
        <v>Hypercare</v>
      </c>
      <c r="AC496" s="51" t="str">
        <f>'Phase-Resource Allocation'!$C$61</f>
        <v>Trainers</v>
      </c>
      <c r="AD496" s="60">
        <f>'Phase-Resource Allocation'!$D$61</f>
        <v>1</v>
      </c>
      <c r="AE496" s="51">
        <f>IFERROR(INDEX('02_SCHEDULE'!$K$5:$K$124,MATCH(AA496&amp;"|"&amp;AB496,'02_SCHEDULE'!$M$5:$M$124,0)),0)</f>
        <v>47</v>
      </c>
      <c r="AF496" s="51">
        <f>IFERROR(INDEX('02_SCHEDULE'!$L$5:$L$124,MATCH(AA496&amp;"|"&amp;AB496,'02_SCHEDULE'!$M$5:$M$124,0)),0)</f>
        <v>50</v>
      </c>
      <c r="AG496" s="51">
        <f t="shared" si="29"/>
        <v>4</v>
      </c>
    </row>
    <row r="497" spans="27:33" x14ac:dyDescent="0.3">
      <c r="AA497" s="51" t="str">
        <f>'Sites Master'!$B$9</f>
        <v>Site 08</v>
      </c>
      <c r="AB497" s="51" t="str">
        <f>'Phase-Resource Allocation'!$B$62</f>
        <v>Hypercare</v>
      </c>
      <c r="AC497" s="51" t="str">
        <f>'Phase-Resource Allocation'!$C$62</f>
        <v>Infrastructure Lead</v>
      </c>
      <c r="AD497" s="60">
        <f>'Phase-Resource Allocation'!$D$62</f>
        <v>1</v>
      </c>
      <c r="AE497" s="51">
        <f>IFERROR(INDEX('02_SCHEDULE'!$K$5:$K$124,MATCH(AA497&amp;"|"&amp;AB497,'02_SCHEDULE'!$M$5:$M$124,0)),0)</f>
        <v>47</v>
      </c>
      <c r="AF497" s="51">
        <f>IFERROR(INDEX('02_SCHEDULE'!$L$5:$L$124,MATCH(AA497&amp;"|"&amp;AB497,'02_SCHEDULE'!$M$5:$M$124,0)),0)</f>
        <v>50</v>
      </c>
      <c r="AG497" s="51">
        <f t="shared" si="29"/>
        <v>4</v>
      </c>
    </row>
    <row r="498" spans="27:33" x14ac:dyDescent="0.3">
      <c r="AA498" s="51" t="str">
        <f>'Sites Master'!$B$9</f>
        <v>Site 08</v>
      </c>
      <c r="AB498" s="51" t="str">
        <f>'Phase-Resource Allocation'!$B$63</f>
        <v>Hypercare</v>
      </c>
      <c r="AC498" s="51" t="str">
        <f>'Phase-Resource Allocation'!$C$63</f>
        <v>Functional Lead Vendor A</v>
      </c>
      <c r="AD498" s="60">
        <f>'Phase-Resource Allocation'!$D$63</f>
        <v>0.5</v>
      </c>
      <c r="AE498" s="51">
        <f>IFERROR(INDEX('02_SCHEDULE'!$K$5:$K$124,MATCH(AA498&amp;"|"&amp;AB498,'02_SCHEDULE'!$M$5:$M$124,0)),0)</f>
        <v>47</v>
      </c>
      <c r="AF498" s="51">
        <f>IFERROR(INDEX('02_SCHEDULE'!$L$5:$L$124,MATCH(AA498&amp;"|"&amp;AB498,'02_SCHEDULE'!$M$5:$M$124,0)),0)</f>
        <v>50</v>
      </c>
      <c r="AG498" s="51">
        <f t="shared" si="29"/>
        <v>2</v>
      </c>
    </row>
    <row r="499" spans="27:33" x14ac:dyDescent="0.3">
      <c r="AA499" s="51" t="str">
        <f>'Sites Master'!$B$10</f>
        <v>Site 09</v>
      </c>
      <c r="AB499" s="51" t="str">
        <f>'Phase-Resource Allocation'!$B$64</f>
        <v>Site Readiness</v>
      </c>
      <c r="AC499" s="51" t="str">
        <f>'Phase-Resource Allocation'!$C$64</f>
        <v>Infrastructure Lead</v>
      </c>
      <c r="AD499" s="60">
        <f>'Phase-Resource Allocation'!$D$64</f>
        <v>1</v>
      </c>
      <c r="AE499" s="51">
        <f>IFERROR(INDEX('02_SCHEDULE'!$K$5:$K$124,MATCH(AA499&amp;"|"&amp;AB499,'02_SCHEDULE'!$M$5:$M$124,0)),0)</f>
        <v>36</v>
      </c>
      <c r="AF499" s="51">
        <f>IFERROR(INDEX('02_SCHEDULE'!$L$5:$L$124,MATCH(AA499&amp;"|"&amp;AB499,'02_SCHEDULE'!$M$5:$M$124,0)),0)</f>
        <v>39</v>
      </c>
      <c r="AG499" s="51">
        <f t="shared" si="29"/>
        <v>4</v>
      </c>
    </row>
    <row r="500" spans="27:33" x14ac:dyDescent="0.3">
      <c r="AA500" s="51" t="str">
        <f>'Sites Master'!$B$10</f>
        <v>Site 09</v>
      </c>
      <c r="AB500" s="51" t="str">
        <f>'Phase-Resource Allocation'!$B$65</f>
        <v>Site Readiness</v>
      </c>
      <c r="AC500" s="51" t="str">
        <f>'Phase-Resource Allocation'!$C$65</f>
        <v>SAP Integrations Lead</v>
      </c>
      <c r="AD500" s="60">
        <f>'Phase-Resource Allocation'!$D$65</f>
        <v>0.5</v>
      </c>
      <c r="AE500" s="51">
        <f>IFERROR(INDEX('02_SCHEDULE'!$K$5:$K$124,MATCH(AA500&amp;"|"&amp;AB500,'02_SCHEDULE'!$M$5:$M$124,0)),0)</f>
        <v>36</v>
      </c>
      <c r="AF500" s="51">
        <f>IFERROR(INDEX('02_SCHEDULE'!$L$5:$L$124,MATCH(AA500&amp;"|"&amp;AB500,'02_SCHEDULE'!$M$5:$M$124,0)),0)</f>
        <v>39</v>
      </c>
      <c r="AG500" s="51">
        <f t="shared" si="29"/>
        <v>2</v>
      </c>
    </row>
    <row r="501" spans="27:33" x14ac:dyDescent="0.3">
      <c r="AA501" s="51" t="str">
        <f>'Sites Master'!$B$10</f>
        <v>Site 09</v>
      </c>
      <c r="AB501" s="51" t="str">
        <f>'Phase-Resource Allocation'!$B$66</f>
        <v>Design Adaptation</v>
      </c>
      <c r="AC501" s="51" t="str">
        <f>'Phase-Resource Allocation'!$C$66</f>
        <v>Solution Architect</v>
      </c>
      <c r="AD501" s="60">
        <f>'Phase-Resource Allocation'!$D$66</f>
        <v>1</v>
      </c>
      <c r="AE501" s="51">
        <f>IFERROR(INDEX('02_SCHEDULE'!$K$5:$K$124,MATCH(AA501&amp;"|"&amp;AB501,'02_SCHEDULE'!$M$5:$M$124,0)),0)</f>
        <v>40</v>
      </c>
      <c r="AF501" s="51">
        <f>IFERROR(INDEX('02_SCHEDULE'!$L$5:$L$124,MATCH(AA501&amp;"|"&amp;AB501,'02_SCHEDULE'!$M$5:$M$124,0)),0)</f>
        <v>40</v>
      </c>
      <c r="AG501" s="51">
        <f t="shared" si="29"/>
        <v>1</v>
      </c>
    </row>
    <row r="502" spans="27:33" x14ac:dyDescent="0.3">
      <c r="AA502" s="51" t="str">
        <f>'Sites Master'!$B$10</f>
        <v>Site 09</v>
      </c>
      <c r="AB502" s="51" t="str">
        <f>'Phase-Resource Allocation'!$B$67</f>
        <v>Design Adaptation</v>
      </c>
      <c r="AC502" s="51" t="str">
        <f>'Phase-Resource Allocation'!$C$67</f>
        <v>SAP Integrations Lead</v>
      </c>
      <c r="AD502" s="60">
        <f>'Phase-Resource Allocation'!$D$67</f>
        <v>0.5</v>
      </c>
      <c r="AE502" s="51">
        <f>IFERROR(INDEX('02_SCHEDULE'!$K$5:$K$124,MATCH(AA502&amp;"|"&amp;AB502,'02_SCHEDULE'!$M$5:$M$124,0)),0)</f>
        <v>40</v>
      </c>
      <c r="AF502" s="51">
        <f>IFERROR(INDEX('02_SCHEDULE'!$L$5:$L$124,MATCH(AA502&amp;"|"&amp;AB502,'02_SCHEDULE'!$M$5:$M$124,0)),0)</f>
        <v>40</v>
      </c>
      <c r="AG502" s="51">
        <f t="shared" si="29"/>
        <v>0.5</v>
      </c>
    </row>
    <row r="503" spans="27:33" x14ac:dyDescent="0.3">
      <c r="AA503" s="51" t="str">
        <f>'Sites Master'!$B$10</f>
        <v>Site 09</v>
      </c>
      <c r="AB503" s="51" t="str">
        <f>'Phase-Resource Allocation'!$B$68</f>
        <v>Design Adaptation</v>
      </c>
      <c r="AC503" s="51" t="str">
        <f>'Phase-Resource Allocation'!$C$68</f>
        <v>SAP Integrations Specialist</v>
      </c>
      <c r="AD503" s="60">
        <f>'Phase-Resource Allocation'!$D$68</f>
        <v>0.5</v>
      </c>
      <c r="AE503" s="51">
        <f>IFERROR(INDEX('02_SCHEDULE'!$K$5:$K$124,MATCH(AA503&amp;"|"&amp;AB503,'02_SCHEDULE'!$M$5:$M$124,0)),0)</f>
        <v>40</v>
      </c>
      <c r="AF503" s="51">
        <f>IFERROR(INDEX('02_SCHEDULE'!$L$5:$L$124,MATCH(AA503&amp;"|"&amp;AB503,'02_SCHEDULE'!$M$5:$M$124,0)),0)</f>
        <v>40</v>
      </c>
      <c r="AG503" s="51">
        <f t="shared" si="29"/>
        <v>0.5</v>
      </c>
    </row>
    <row r="504" spans="27:33" x14ac:dyDescent="0.3">
      <c r="AA504" s="51" t="str">
        <f>'Sites Master'!$B$10</f>
        <v>Site 09</v>
      </c>
      <c r="AB504" s="51" t="str">
        <f>'Phase-Resource Allocation'!$B$69</f>
        <v>Design Adaptation</v>
      </c>
      <c r="AC504" s="51" t="str">
        <f>'Phase-Resource Allocation'!$C$69</f>
        <v>Azure Lead</v>
      </c>
      <c r="AD504" s="60">
        <f>'Phase-Resource Allocation'!$D$69</f>
        <v>0.5</v>
      </c>
      <c r="AE504" s="51">
        <f>IFERROR(INDEX('02_SCHEDULE'!$K$5:$K$124,MATCH(AA504&amp;"|"&amp;AB504,'02_SCHEDULE'!$M$5:$M$124,0)),0)</f>
        <v>40</v>
      </c>
      <c r="AF504" s="51">
        <f>IFERROR(INDEX('02_SCHEDULE'!$L$5:$L$124,MATCH(AA504&amp;"|"&amp;AB504,'02_SCHEDULE'!$M$5:$M$124,0)),0)</f>
        <v>40</v>
      </c>
      <c r="AG504" s="51">
        <f t="shared" si="29"/>
        <v>0.5</v>
      </c>
    </row>
    <row r="505" spans="27:33" x14ac:dyDescent="0.3">
      <c r="AA505" s="51" t="str">
        <f>'Sites Master'!$B$10</f>
        <v>Site 09</v>
      </c>
      <c r="AB505" s="51" t="str">
        <f>'Phase-Resource Allocation'!$B$70</f>
        <v>Design Adaptation</v>
      </c>
      <c r="AC505" s="51" t="str">
        <f>'Phase-Resource Allocation'!$C$70</f>
        <v>Azure Specialist</v>
      </c>
      <c r="AD505" s="60">
        <f>'Phase-Resource Allocation'!$D$70</f>
        <v>0.5</v>
      </c>
      <c r="AE505" s="51">
        <f>IFERROR(INDEX('02_SCHEDULE'!$K$5:$K$124,MATCH(AA505&amp;"|"&amp;AB505,'02_SCHEDULE'!$M$5:$M$124,0)),0)</f>
        <v>40</v>
      </c>
      <c r="AF505" s="51">
        <f>IFERROR(INDEX('02_SCHEDULE'!$L$5:$L$124,MATCH(AA505&amp;"|"&amp;AB505,'02_SCHEDULE'!$M$5:$M$124,0)),0)</f>
        <v>40</v>
      </c>
      <c r="AG505" s="51">
        <f t="shared" si="29"/>
        <v>0.5</v>
      </c>
    </row>
    <row r="506" spans="27:33" x14ac:dyDescent="0.3">
      <c r="AA506" s="51" t="str">
        <f>'Sites Master'!$B$10</f>
        <v>Site 09</v>
      </c>
      <c r="AB506" s="51" t="str">
        <f>'Phase-Resource Allocation'!$B$71</f>
        <v>Design Adaptation</v>
      </c>
      <c r="AC506" s="51" t="str">
        <f>'Phase-Resource Allocation'!$C$71</f>
        <v>Testing Lead</v>
      </c>
      <c r="AD506" s="60">
        <f>'Phase-Resource Allocation'!$D$71</f>
        <v>1</v>
      </c>
      <c r="AE506" s="51">
        <f>IFERROR(INDEX('02_SCHEDULE'!$K$5:$K$124,MATCH(AA506&amp;"|"&amp;AB506,'02_SCHEDULE'!$M$5:$M$124,0)),0)</f>
        <v>40</v>
      </c>
      <c r="AF506" s="51">
        <f>IFERROR(INDEX('02_SCHEDULE'!$L$5:$L$124,MATCH(AA506&amp;"|"&amp;AB506,'02_SCHEDULE'!$M$5:$M$124,0)),0)</f>
        <v>40</v>
      </c>
      <c r="AG506" s="51">
        <f t="shared" si="29"/>
        <v>1</v>
      </c>
    </row>
    <row r="507" spans="27:33" x14ac:dyDescent="0.3">
      <c r="AA507" s="51" t="str">
        <f>'Sites Master'!$B$10</f>
        <v>Site 09</v>
      </c>
      <c r="AB507" s="51" t="str">
        <f>'Phase-Resource Allocation'!$B$72</f>
        <v>Design Adaptation</v>
      </c>
      <c r="AC507" s="51" t="str">
        <f>'Phase-Resource Allocation'!$C$72</f>
        <v>Functional Lead</v>
      </c>
      <c r="AD507" s="60">
        <f>'Phase-Resource Allocation'!$D$72</f>
        <v>1</v>
      </c>
      <c r="AE507" s="51">
        <f>IFERROR(INDEX('02_SCHEDULE'!$K$5:$K$124,MATCH(AA507&amp;"|"&amp;AB507,'02_SCHEDULE'!$M$5:$M$124,0)),0)</f>
        <v>40</v>
      </c>
      <c r="AF507" s="51">
        <f>IFERROR(INDEX('02_SCHEDULE'!$L$5:$L$124,MATCH(AA507&amp;"|"&amp;AB507,'02_SCHEDULE'!$M$5:$M$124,0)),0)</f>
        <v>40</v>
      </c>
      <c r="AG507" s="51">
        <f t="shared" si="29"/>
        <v>1</v>
      </c>
    </row>
    <row r="508" spans="27:33" x14ac:dyDescent="0.3">
      <c r="AA508" s="51" t="str">
        <f>'Sites Master'!$B$10</f>
        <v>Site 09</v>
      </c>
      <c r="AB508" s="51" t="str">
        <f>'Phase-Resource Allocation'!$B$73</f>
        <v>Design Adaptation</v>
      </c>
      <c r="AC508" s="51" t="str">
        <f>'Phase-Resource Allocation'!$C$73</f>
        <v>Trainers</v>
      </c>
      <c r="AD508" s="60">
        <f>'Phase-Resource Allocation'!$D$73</f>
        <v>1</v>
      </c>
      <c r="AE508" s="51">
        <f>IFERROR(INDEX('02_SCHEDULE'!$K$5:$K$124,MATCH(AA508&amp;"|"&amp;AB508,'02_SCHEDULE'!$M$5:$M$124,0)),0)</f>
        <v>40</v>
      </c>
      <c r="AF508" s="51">
        <f>IFERROR(INDEX('02_SCHEDULE'!$L$5:$L$124,MATCH(AA508&amp;"|"&amp;AB508,'02_SCHEDULE'!$M$5:$M$124,0)),0)</f>
        <v>40</v>
      </c>
      <c r="AG508" s="51">
        <f t="shared" si="29"/>
        <v>1</v>
      </c>
    </row>
    <row r="509" spans="27:33" x14ac:dyDescent="0.3">
      <c r="AA509" s="51" t="str">
        <f>'Sites Master'!$B$10</f>
        <v>Site 09</v>
      </c>
      <c r="AB509" s="51" t="str">
        <f>'Phase-Resource Allocation'!$B$74</f>
        <v>Design Adaptation</v>
      </c>
      <c r="AC509" s="51" t="str">
        <f>'Phase-Resource Allocation'!$C$74</f>
        <v>Infrastructure Lead</v>
      </c>
      <c r="AD509" s="60">
        <f>'Phase-Resource Allocation'!$D$74</f>
        <v>1</v>
      </c>
      <c r="AE509" s="51">
        <f>IFERROR(INDEX('02_SCHEDULE'!$K$5:$K$124,MATCH(AA509&amp;"|"&amp;AB509,'02_SCHEDULE'!$M$5:$M$124,0)),0)</f>
        <v>40</v>
      </c>
      <c r="AF509" s="51">
        <f>IFERROR(INDEX('02_SCHEDULE'!$L$5:$L$124,MATCH(AA509&amp;"|"&amp;AB509,'02_SCHEDULE'!$M$5:$M$124,0)),0)</f>
        <v>40</v>
      </c>
      <c r="AG509" s="51">
        <f t="shared" si="29"/>
        <v>1</v>
      </c>
    </row>
    <row r="510" spans="27:33" x14ac:dyDescent="0.3">
      <c r="AA510" s="51" t="str">
        <f>'Sites Master'!$B$10</f>
        <v>Site 09</v>
      </c>
      <c r="AB510" s="51" t="str">
        <f>'Phase-Resource Allocation'!$B$75</f>
        <v>Design Adaptation</v>
      </c>
      <c r="AC510" s="51" t="str">
        <f>'Phase-Resource Allocation'!$C$75</f>
        <v>Functional Lead Vendor A</v>
      </c>
      <c r="AD510" s="60">
        <f>'Phase-Resource Allocation'!$D$75</f>
        <v>1</v>
      </c>
      <c r="AE510" s="51">
        <f>IFERROR(INDEX('02_SCHEDULE'!$K$5:$K$124,MATCH(AA510&amp;"|"&amp;AB510,'02_SCHEDULE'!$M$5:$M$124,0)),0)</f>
        <v>40</v>
      </c>
      <c r="AF510" s="51">
        <f>IFERROR(INDEX('02_SCHEDULE'!$L$5:$L$124,MATCH(AA510&amp;"|"&amp;AB510,'02_SCHEDULE'!$M$5:$M$124,0)),0)</f>
        <v>40</v>
      </c>
      <c r="AG510" s="51">
        <f t="shared" si="29"/>
        <v>1</v>
      </c>
    </row>
    <row r="511" spans="27:33" x14ac:dyDescent="0.3">
      <c r="AA511" s="51" t="str">
        <f>'Sites Master'!$B$10</f>
        <v>Site 09</v>
      </c>
      <c r="AB511" s="51" t="str">
        <f>'Phase-Resource Allocation'!$B$76</f>
        <v>Functional Review</v>
      </c>
      <c r="AC511" s="51" t="str">
        <f>'Phase-Resource Allocation'!$C$76</f>
        <v>Solution Architect</v>
      </c>
      <c r="AD511" s="60">
        <f>'Phase-Resource Allocation'!$D$76</f>
        <v>0.5</v>
      </c>
      <c r="AE511" s="51">
        <f>IFERROR(INDEX('02_SCHEDULE'!$K$5:$K$124,MATCH(AA511&amp;"|"&amp;AB511,'02_SCHEDULE'!$M$5:$M$124,0)),0)</f>
        <v>41</v>
      </c>
      <c r="AF511" s="51">
        <f>IFERROR(INDEX('02_SCHEDULE'!$L$5:$L$124,MATCH(AA511&amp;"|"&amp;AB511,'02_SCHEDULE'!$M$5:$M$124,0)),0)</f>
        <v>41</v>
      </c>
      <c r="AG511" s="51">
        <f t="shared" si="29"/>
        <v>0.5</v>
      </c>
    </row>
    <row r="512" spans="27:33" x14ac:dyDescent="0.3">
      <c r="AA512" s="51" t="str">
        <f>'Sites Master'!$B$10</f>
        <v>Site 09</v>
      </c>
      <c r="AB512" s="51" t="str">
        <f>'Phase-Resource Allocation'!$B$77</f>
        <v>Functional Review</v>
      </c>
      <c r="AC512" s="51" t="str">
        <f>'Phase-Resource Allocation'!$C$77</f>
        <v>Change Management Lead</v>
      </c>
      <c r="AD512" s="60">
        <f>'Phase-Resource Allocation'!$D$77</f>
        <v>1</v>
      </c>
      <c r="AE512" s="51">
        <f>IFERROR(INDEX('02_SCHEDULE'!$K$5:$K$124,MATCH(AA512&amp;"|"&amp;AB512,'02_SCHEDULE'!$M$5:$M$124,0)),0)</f>
        <v>41</v>
      </c>
      <c r="AF512" s="51">
        <f>IFERROR(INDEX('02_SCHEDULE'!$L$5:$L$124,MATCH(AA512&amp;"|"&amp;AB512,'02_SCHEDULE'!$M$5:$M$124,0)),0)</f>
        <v>41</v>
      </c>
      <c r="AG512" s="51">
        <f t="shared" si="29"/>
        <v>1</v>
      </c>
    </row>
    <row r="513" spans="27:33" x14ac:dyDescent="0.3">
      <c r="AA513" s="51" t="str">
        <f>'Sites Master'!$B$10</f>
        <v>Site 09</v>
      </c>
      <c r="AB513" s="51" t="str">
        <f>'Phase-Resource Allocation'!$B$78</f>
        <v>Functional Review</v>
      </c>
      <c r="AC513" s="51" t="str">
        <f>'Phase-Resource Allocation'!$C$78</f>
        <v>SAP Integrations Lead</v>
      </c>
      <c r="AD513" s="60">
        <f>'Phase-Resource Allocation'!$D$78</f>
        <v>0.5</v>
      </c>
      <c r="AE513" s="51">
        <f>IFERROR(INDEX('02_SCHEDULE'!$K$5:$K$124,MATCH(AA513&amp;"|"&amp;AB513,'02_SCHEDULE'!$M$5:$M$124,0)),0)</f>
        <v>41</v>
      </c>
      <c r="AF513" s="51">
        <f>IFERROR(INDEX('02_SCHEDULE'!$L$5:$L$124,MATCH(AA513&amp;"|"&amp;AB513,'02_SCHEDULE'!$M$5:$M$124,0)),0)</f>
        <v>41</v>
      </c>
      <c r="AG513" s="51">
        <f t="shared" si="29"/>
        <v>0.5</v>
      </c>
    </row>
    <row r="514" spans="27:33" x14ac:dyDescent="0.3">
      <c r="AA514" s="51" t="str">
        <f>'Sites Master'!$B$10</f>
        <v>Site 09</v>
      </c>
      <c r="AB514" s="51" t="str">
        <f>'Phase-Resource Allocation'!$B$79</f>
        <v>Functional Review</v>
      </c>
      <c r="AC514" s="51" t="str">
        <f>'Phase-Resource Allocation'!$C$79</f>
        <v>SAP Integrations Specialist</v>
      </c>
      <c r="AD514" s="60">
        <f>'Phase-Resource Allocation'!$D$79</f>
        <v>0.5</v>
      </c>
      <c r="AE514" s="51">
        <f>IFERROR(INDEX('02_SCHEDULE'!$K$5:$K$124,MATCH(AA514&amp;"|"&amp;AB514,'02_SCHEDULE'!$M$5:$M$124,0)),0)</f>
        <v>41</v>
      </c>
      <c r="AF514" s="51">
        <f>IFERROR(INDEX('02_SCHEDULE'!$L$5:$L$124,MATCH(AA514&amp;"|"&amp;AB514,'02_SCHEDULE'!$M$5:$M$124,0)),0)</f>
        <v>41</v>
      </c>
      <c r="AG514" s="51">
        <f t="shared" si="29"/>
        <v>0.5</v>
      </c>
    </row>
    <row r="515" spans="27:33" x14ac:dyDescent="0.3">
      <c r="AA515" s="51" t="str">
        <f>'Sites Master'!$B$10</f>
        <v>Site 09</v>
      </c>
      <c r="AB515" s="51" t="str">
        <f>'Phase-Resource Allocation'!$B$80</f>
        <v>Functional Review</v>
      </c>
      <c r="AC515" s="51" t="str">
        <f>'Phase-Resource Allocation'!$C$80</f>
        <v>Azure Lead</v>
      </c>
      <c r="AD515" s="60">
        <f>'Phase-Resource Allocation'!$D$80</f>
        <v>0.5</v>
      </c>
      <c r="AE515" s="51">
        <f>IFERROR(INDEX('02_SCHEDULE'!$K$5:$K$124,MATCH(AA515&amp;"|"&amp;AB515,'02_SCHEDULE'!$M$5:$M$124,0)),0)</f>
        <v>41</v>
      </c>
      <c r="AF515" s="51">
        <f>IFERROR(INDEX('02_SCHEDULE'!$L$5:$L$124,MATCH(AA515&amp;"|"&amp;AB515,'02_SCHEDULE'!$M$5:$M$124,0)),0)</f>
        <v>41</v>
      </c>
      <c r="AG515" s="51">
        <f t="shared" ref="AG515:AG578" si="30">AD515*(AF515-AE515+1)</f>
        <v>0.5</v>
      </c>
    </row>
    <row r="516" spans="27:33" x14ac:dyDescent="0.3">
      <c r="AA516" s="51" t="str">
        <f>'Sites Master'!$B$10</f>
        <v>Site 09</v>
      </c>
      <c r="AB516" s="51" t="str">
        <f>'Phase-Resource Allocation'!$B$81</f>
        <v>Functional Review</v>
      </c>
      <c r="AC516" s="51" t="str">
        <f>'Phase-Resource Allocation'!$C$81</f>
        <v>Azure Specialist</v>
      </c>
      <c r="AD516" s="60">
        <f>'Phase-Resource Allocation'!$D$81</f>
        <v>0.5</v>
      </c>
      <c r="AE516" s="51">
        <f>IFERROR(INDEX('02_SCHEDULE'!$K$5:$K$124,MATCH(AA516&amp;"|"&amp;AB516,'02_SCHEDULE'!$M$5:$M$124,0)),0)</f>
        <v>41</v>
      </c>
      <c r="AF516" s="51">
        <f>IFERROR(INDEX('02_SCHEDULE'!$L$5:$L$124,MATCH(AA516&amp;"|"&amp;AB516,'02_SCHEDULE'!$M$5:$M$124,0)),0)</f>
        <v>41</v>
      </c>
      <c r="AG516" s="51">
        <f t="shared" si="30"/>
        <v>0.5</v>
      </c>
    </row>
    <row r="517" spans="27:33" x14ac:dyDescent="0.3">
      <c r="AA517" s="51" t="str">
        <f>'Sites Master'!$B$10</f>
        <v>Site 09</v>
      </c>
      <c r="AB517" s="51" t="str">
        <f>'Phase-Resource Allocation'!$B$82</f>
        <v>Functional Review</v>
      </c>
      <c r="AC517" s="51" t="str">
        <f>'Phase-Resource Allocation'!$C$82</f>
        <v>Testing Lead</v>
      </c>
      <c r="AD517" s="60">
        <f>'Phase-Resource Allocation'!$D$82</f>
        <v>0.5</v>
      </c>
      <c r="AE517" s="51">
        <f>IFERROR(INDEX('02_SCHEDULE'!$K$5:$K$124,MATCH(AA517&amp;"|"&amp;AB517,'02_SCHEDULE'!$M$5:$M$124,0)),0)</f>
        <v>41</v>
      </c>
      <c r="AF517" s="51">
        <f>IFERROR(INDEX('02_SCHEDULE'!$L$5:$L$124,MATCH(AA517&amp;"|"&amp;AB517,'02_SCHEDULE'!$M$5:$M$124,0)),0)</f>
        <v>41</v>
      </c>
      <c r="AG517" s="51">
        <f t="shared" si="30"/>
        <v>0.5</v>
      </c>
    </row>
    <row r="518" spans="27:33" x14ac:dyDescent="0.3">
      <c r="AA518" s="51" t="str">
        <f>'Sites Master'!$B$10</f>
        <v>Site 09</v>
      </c>
      <c r="AB518" s="51" t="str">
        <f>'Phase-Resource Allocation'!$B$83</f>
        <v>Functional Review</v>
      </c>
      <c r="AC518" s="51" t="str">
        <f>'Phase-Resource Allocation'!$C$83</f>
        <v>Functional Lead</v>
      </c>
      <c r="AD518" s="60">
        <f>'Phase-Resource Allocation'!$D$83</f>
        <v>1</v>
      </c>
      <c r="AE518" s="51">
        <f>IFERROR(INDEX('02_SCHEDULE'!$K$5:$K$124,MATCH(AA518&amp;"|"&amp;AB518,'02_SCHEDULE'!$M$5:$M$124,0)),0)</f>
        <v>41</v>
      </c>
      <c r="AF518" s="51">
        <f>IFERROR(INDEX('02_SCHEDULE'!$L$5:$L$124,MATCH(AA518&amp;"|"&amp;AB518,'02_SCHEDULE'!$M$5:$M$124,0)),0)</f>
        <v>41</v>
      </c>
      <c r="AG518" s="51">
        <f t="shared" si="30"/>
        <v>1</v>
      </c>
    </row>
    <row r="519" spans="27:33" x14ac:dyDescent="0.3">
      <c r="AA519" s="51" t="str">
        <f>'Sites Master'!$B$10</f>
        <v>Site 09</v>
      </c>
      <c r="AB519" s="51" t="str">
        <f>'Phase-Resource Allocation'!$B$84</f>
        <v>Functional Review</v>
      </c>
      <c r="AC519" s="51" t="str">
        <f>'Phase-Resource Allocation'!$C$84</f>
        <v>Trainers</v>
      </c>
      <c r="AD519" s="60">
        <f>'Phase-Resource Allocation'!$D$84</f>
        <v>1</v>
      </c>
      <c r="AE519" s="51">
        <f>IFERROR(INDEX('02_SCHEDULE'!$K$5:$K$124,MATCH(AA519&amp;"|"&amp;AB519,'02_SCHEDULE'!$M$5:$M$124,0)),0)</f>
        <v>41</v>
      </c>
      <c r="AF519" s="51">
        <f>IFERROR(INDEX('02_SCHEDULE'!$L$5:$L$124,MATCH(AA519&amp;"|"&amp;AB519,'02_SCHEDULE'!$M$5:$M$124,0)),0)</f>
        <v>41</v>
      </c>
      <c r="AG519" s="51">
        <f t="shared" si="30"/>
        <v>1</v>
      </c>
    </row>
    <row r="520" spans="27:33" x14ac:dyDescent="0.3">
      <c r="AA520" s="51" t="str">
        <f>'Sites Master'!$B$10</f>
        <v>Site 09</v>
      </c>
      <c r="AB520" s="51" t="str">
        <f>'Phase-Resource Allocation'!$B$85</f>
        <v>UAT</v>
      </c>
      <c r="AC520" s="51" t="str">
        <f>'Phase-Resource Allocation'!$C$85</f>
        <v>Solution Architect</v>
      </c>
      <c r="AD520" s="60">
        <f>'Phase-Resource Allocation'!$D$85</f>
        <v>0.5</v>
      </c>
      <c r="AE520" s="51">
        <f>IFERROR(INDEX('02_SCHEDULE'!$K$5:$K$124,MATCH(AA520&amp;"|"&amp;AB520,'02_SCHEDULE'!$M$5:$M$124,0)),0)</f>
        <v>42</v>
      </c>
      <c r="AF520" s="51">
        <f>IFERROR(INDEX('02_SCHEDULE'!$L$5:$L$124,MATCH(AA520&amp;"|"&amp;AB520,'02_SCHEDULE'!$M$5:$M$124,0)),0)</f>
        <v>43</v>
      </c>
      <c r="AG520" s="51">
        <f t="shared" si="30"/>
        <v>1</v>
      </c>
    </row>
    <row r="521" spans="27:33" x14ac:dyDescent="0.3">
      <c r="AA521" s="51" t="str">
        <f>'Sites Master'!$B$10</f>
        <v>Site 09</v>
      </c>
      <c r="AB521" s="51" t="str">
        <f>'Phase-Resource Allocation'!$B$86</f>
        <v>UAT</v>
      </c>
      <c r="AC521" s="51" t="str">
        <f>'Phase-Resource Allocation'!$C$86</f>
        <v>Change Management Lead</v>
      </c>
      <c r="AD521" s="60">
        <f>'Phase-Resource Allocation'!$D$86</f>
        <v>1</v>
      </c>
      <c r="AE521" s="51">
        <f>IFERROR(INDEX('02_SCHEDULE'!$K$5:$K$124,MATCH(AA521&amp;"|"&amp;AB521,'02_SCHEDULE'!$M$5:$M$124,0)),0)</f>
        <v>42</v>
      </c>
      <c r="AF521" s="51">
        <f>IFERROR(INDEX('02_SCHEDULE'!$L$5:$L$124,MATCH(AA521&amp;"|"&amp;AB521,'02_SCHEDULE'!$M$5:$M$124,0)),0)</f>
        <v>43</v>
      </c>
      <c r="AG521" s="51">
        <f t="shared" si="30"/>
        <v>2</v>
      </c>
    </row>
    <row r="522" spans="27:33" x14ac:dyDescent="0.3">
      <c r="AA522" s="51" t="str">
        <f>'Sites Master'!$B$10</f>
        <v>Site 09</v>
      </c>
      <c r="AB522" s="51" t="str">
        <f>'Phase-Resource Allocation'!$B$87</f>
        <v>UAT</v>
      </c>
      <c r="AC522" s="51" t="str">
        <f>'Phase-Resource Allocation'!$C$87</f>
        <v>SAP Integrations Lead</v>
      </c>
      <c r="AD522" s="60">
        <f>'Phase-Resource Allocation'!$D$87</f>
        <v>0.5</v>
      </c>
      <c r="AE522" s="51">
        <f>IFERROR(INDEX('02_SCHEDULE'!$K$5:$K$124,MATCH(AA522&amp;"|"&amp;AB522,'02_SCHEDULE'!$M$5:$M$124,0)),0)</f>
        <v>42</v>
      </c>
      <c r="AF522" s="51">
        <f>IFERROR(INDEX('02_SCHEDULE'!$L$5:$L$124,MATCH(AA522&amp;"|"&amp;AB522,'02_SCHEDULE'!$M$5:$M$124,0)),0)</f>
        <v>43</v>
      </c>
      <c r="AG522" s="51">
        <f t="shared" si="30"/>
        <v>1</v>
      </c>
    </row>
    <row r="523" spans="27:33" x14ac:dyDescent="0.3">
      <c r="AA523" s="51" t="str">
        <f>'Sites Master'!$B$10</f>
        <v>Site 09</v>
      </c>
      <c r="AB523" s="51" t="str">
        <f>'Phase-Resource Allocation'!$B$88</f>
        <v>UAT</v>
      </c>
      <c r="AC523" s="51" t="str">
        <f>'Phase-Resource Allocation'!$C$88</f>
        <v>SAP Integrations Specialist</v>
      </c>
      <c r="AD523" s="60">
        <f>'Phase-Resource Allocation'!$D$88</f>
        <v>0.5</v>
      </c>
      <c r="AE523" s="51">
        <f>IFERROR(INDEX('02_SCHEDULE'!$K$5:$K$124,MATCH(AA523&amp;"|"&amp;AB523,'02_SCHEDULE'!$M$5:$M$124,0)),0)</f>
        <v>42</v>
      </c>
      <c r="AF523" s="51">
        <f>IFERROR(INDEX('02_SCHEDULE'!$L$5:$L$124,MATCH(AA523&amp;"|"&amp;AB523,'02_SCHEDULE'!$M$5:$M$124,0)),0)</f>
        <v>43</v>
      </c>
      <c r="AG523" s="51">
        <f t="shared" si="30"/>
        <v>1</v>
      </c>
    </row>
    <row r="524" spans="27:33" x14ac:dyDescent="0.3">
      <c r="AA524" s="51" t="str">
        <f>'Sites Master'!$B$10</f>
        <v>Site 09</v>
      </c>
      <c r="AB524" s="51" t="str">
        <f>'Phase-Resource Allocation'!$B$89</f>
        <v>UAT</v>
      </c>
      <c r="AC524" s="51" t="str">
        <f>'Phase-Resource Allocation'!$C$89</f>
        <v>Azure Lead</v>
      </c>
      <c r="AD524" s="60">
        <f>'Phase-Resource Allocation'!$D$89</f>
        <v>0.5</v>
      </c>
      <c r="AE524" s="51">
        <f>IFERROR(INDEX('02_SCHEDULE'!$K$5:$K$124,MATCH(AA524&amp;"|"&amp;AB524,'02_SCHEDULE'!$M$5:$M$124,0)),0)</f>
        <v>42</v>
      </c>
      <c r="AF524" s="51">
        <f>IFERROR(INDEX('02_SCHEDULE'!$L$5:$L$124,MATCH(AA524&amp;"|"&amp;AB524,'02_SCHEDULE'!$M$5:$M$124,0)),0)</f>
        <v>43</v>
      </c>
      <c r="AG524" s="51">
        <f t="shared" si="30"/>
        <v>1</v>
      </c>
    </row>
    <row r="525" spans="27:33" x14ac:dyDescent="0.3">
      <c r="AA525" s="51" t="str">
        <f>'Sites Master'!$B$10</f>
        <v>Site 09</v>
      </c>
      <c r="AB525" s="51" t="str">
        <f>'Phase-Resource Allocation'!$B$90</f>
        <v>UAT</v>
      </c>
      <c r="AC525" s="51" t="str">
        <f>'Phase-Resource Allocation'!$C$90</f>
        <v>Azure Specialist</v>
      </c>
      <c r="AD525" s="60">
        <f>'Phase-Resource Allocation'!$D$90</f>
        <v>0.5</v>
      </c>
      <c r="AE525" s="51">
        <f>IFERROR(INDEX('02_SCHEDULE'!$K$5:$K$124,MATCH(AA525&amp;"|"&amp;AB525,'02_SCHEDULE'!$M$5:$M$124,0)),0)</f>
        <v>42</v>
      </c>
      <c r="AF525" s="51">
        <f>IFERROR(INDEX('02_SCHEDULE'!$L$5:$L$124,MATCH(AA525&amp;"|"&amp;AB525,'02_SCHEDULE'!$M$5:$M$124,0)),0)</f>
        <v>43</v>
      </c>
      <c r="AG525" s="51">
        <f t="shared" si="30"/>
        <v>1</v>
      </c>
    </row>
    <row r="526" spans="27:33" x14ac:dyDescent="0.3">
      <c r="AA526" s="51" t="str">
        <f>'Sites Master'!$B$10</f>
        <v>Site 09</v>
      </c>
      <c r="AB526" s="51" t="str">
        <f>'Phase-Resource Allocation'!$B$91</f>
        <v>UAT</v>
      </c>
      <c r="AC526" s="51" t="str">
        <f>'Phase-Resource Allocation'!$C$91</f>
        <v>Testing Lead</v>
      </c>
      <c r="AD526" s="60">
        <f>'Phase-Resource Allocation'!$D$91</f>
        <v>0.5</v>
      </c>
      <c r="AE526" s="51">
        <f>IFERROR(INDEX('02_SCHEDULE'!$K$5:$K$124,MATCH(AA526&amp;"|"&amp;AB526,'02_SCHEDULE'!$M$5:$M$124,0)),0)</f>
        <v>42</v>
      </c>
      <c r="AF526" s="51">
        <f>IFERROR(INDEX('02_SCHEDULE'!$L$5:$L$124,MATCH(AA526&amp;"|"&amp;AB526,'02_SCHEDULE'!$M$5:$M$124,0)),0)</f>
        <v>43</v>
      </c>
      <c r="AG526" s="51">
        <f t="shared" si="30"/>
        <v>1</v>
      </c>
    </row>
    <row r="527" spans="27:33" x14ac:dyDescent="0.3">
      <c r="AA527" s="51" t="str">
        <f>'Sites Master'!$B$10</f>
        <v>Site 09</v>
      </c>
      <c r="AB527" s="51" t="str">
        <f>'Phase-Resource Allocation'!$B$92</f>
        <v>UAT</v>
      </c>
      <c r="AC527" s="51" t="str">
        <f>'Phase-Resource Allocation'!$C$92</f>
        <v>Functional Lead</v>
      </c>
      <c r="AD527" s="60">
        <f>'Phase-Resource Allocation'!$D$92</f>
        <v>1</v>
      </c>
      <c r="AE527" s="51">
        <f>IFERROR(INDEX('02_SCHEDULE'!$K$5:$K$124,MATCH(AA527&amp;"|"&amp;AB527,'02_SCHEDULE'!$M$5:$M$124,0)),0)</f>
        <v>42</v>
      </c>
      <c r="AF527" s="51">
        <f>IFERROR(INDEX('02_SCHEDULE'!$L$5:$L$124,MATCH(AA527&amp;"|"&amp;AB527,'02_SCHEDULE'!$M$5:$M$124,0)),0)</f>
        <v>43</v>
      </c>
      <c r="AG527" s="51">
        <f t="shared" si="30"/>
        <v>2</v>
      </c>
    </row>
    <row r="528" spans="27:33" x14ac:dyDescent="0.3">
      <c r="AA528" s="51" t="str">
        <f>'Sites Master'!$B$10</f>
        <v>Site 09</v>
      </c>
      <c r="AB528" s="51" t="str">
        <f>'Phase-Resource Allocation'!$B$93</f>
        <v>UAT</v>
      </c>
      <c r="AC528" s="51" t="str">
        <f>'Phase-Resource Allocation'!$C$93</f>
        <v>Trainers</v>
      </c>
      <c r="AD528" s="60">
        <f>'Phase-Resource Allocation'!$D$93</f>
        <v>1</v>
      </c>
      <c r="AE528" s="51">
        <f>IFERROR(INDEX('02_SCHEDULE'!$K$5:$K$124,MATCH(AA528&amp;"|"&amp;AB528,'02_SCHEDULE'!$M$5:$M$124,0)),0)</f>
        <v>42</v>
      </c>
      <c r="AF528" s="51">
        <f>IFERROR(INDEX('02_SCHEDULE'!$L$5:$L$124,MATCH(AA528&amp;"|"&amp;AB528,'02_SCHEDULE'!$M$5:$M$124,0)),0)</f>
        <v>43</v>
      </c>
      <c r="AG528" s="51">
        <f t="shared" si="30"/>
        <v>2</v>
      </c>
    </row>
    <row r="529" spans="27:33" x14ac:dyDescent="0.3">
      <c r="AA529" s="51" t="str">
        <f>'Sites Master'!$B$10</f>
        <v>Site 09</v>
      </c>
      <c r="AB529" s="51" t="str">
        <f>'Phase-Resource Allocation'!$B$94</f>
        <v>Training</v>
      </c>
      <c r="AC529" s="51" t="str">
        <f>'Phase-Resource Allocation'!$C$94</f>
        <v>Change Management Lead</v>
      </c>
      <c r="AD529" s="60">
        <f>'Phase-Resource Allocation'!$D$94</f>
        <v>1</v>
      </c>
      <c r="AE529" s="51">
        <f>IFERROR(INDEX('02_SCHEDULE'!$K$5:$K$124,MATCH(AA529&amp;"|"&amp;AB529,'02_SCHEDULE'!$M$5:$M$124,0)),0)</f>
        <v>44</v>
      </c>
      <c r="AF529" s="51">
        <f>IFERROR(INDEX('02_SCHEDULE'!$L$5:$L$124,MATCH(AA529&amp;"|"&amp;AB529,'02_SCHEDULE'!$M$5:$M$124,0)),0)</f>
        <v>45</v>
      </c>
      <c r="AG529" s="51">
        <f t="shared" si="30"/>
        <v>2</v>
      </c>
    </row>
    <row r="530" spans="27:33" x14ac:dyDescent="0.3">
      <c r="AA530" s="51" t="str">
        <f>'Sites Master'!$B$10</f>
        <v>Site 09</v>
      </c>
      <c r="AB530" s="51" t="str">
        <f>'Phase-Resource Allocation'!$B$95</f>
        <v>Training</v>
      </c>
      <c r="AC530" s="51" t="str">
        <f>'Phase-Resource Allocation'!$C$95</f>
        <v>Trainers</v>
      </c>
      <c r="AD530" s="60">
        <f>'Phase-Resource Allocation'!$D$95</f>
        <v>1</v>
      </c>
      <c r="AE530" s="51">
        <f>IFERROR(INDEX('02_SCHEDULE'!$K$5:$K$124,MATCH(AA530&amp;"|"&amp;AB530,'02_SCHEDULE'!$M$5:$M$124,0)),0)</f>
        <v>44</v>
      </c>
      <c r="AF530" s="51">
        <f>IFERROR(INDEX('02_SCHEDULE'!$L$5:$L$124,MATCH(AA530&amp;"|"&amp;AB530,'02_SCHEDULE'!$M$5:$M$124,0)),0)</f>
        <v>45</v>
      </c>
      <c r="AG530" s="51">
        <f t="shared" si="30"/>
        <v>2</v>
      </c>
    </row>
    <row r="531" spans="27:33" x14ac:dyDescent="0.3">
      <c r="AA531" s="51" t="str">
        <f>'Sites Master'!$B$10</f>
        <v>Site 09</v>
      </c>
      <c r="AB531" s="51" t="str">
        <f>'Phase-Resource Allocation'!$B$96</f>
        <v>DIALT</v>
      </c>
      <c r="AC531" s="51" t="str">
        <f>'Phase-Resource Allocation'!$C$96</f>
        <v>Solution Architect</v>
      </c>
      <c r="AD531" s="60">
        <f>'Phase-Resource Allocation'!$D$96</f>
        <v>0.5</v>
      </c>
      <c r="AE531" s="51">
        <f>IFERROR(INDEX('02_SCHEDULE'!$K$5:$K$124,MATCH(AA531&amp;"|"&amp;AB531,'02_SCHEDULE'!$M$5:$M$124,0)),0)</f>
        <v>46</v>
      </c>
      <c r="AF531" s="51">
        <f>IFERROR(INDEX('02_SCHEDULE'!$L$5:$L$124,MATCH(AA531&amp;"|"&amp;AB531,'02_SCHEDULE'!$M$5:$M$124,0)),0)</f>
        <v>46</v>
      </c>
      <c r="AG531" s="51">
        <f t="shared" si="30"/>
        <v>0.5</v>
      </c>
    </row>
    <row r="532" spans="27:33" x14ac:dyDescent="0.3">
      <c r="AA532" s="51" t="str">
        <f>'Sites Master'!$B$10</f>
        <v>Site 09</v>
      </c>
      <c r="AB532" s="51" t="str">
        <f>'Phase-Resource Allocation'!$B$97</f>
        <v>DIALT</v>
      </c>
      <c r="AC532" s="51" t="str">
        <f>'Phase-Resource Allocation'!$C$97</f>
        <v>Change Management Lead</v>
      </c>
      <c r="AD532" s="60">
        <f>'Phase-Resource Allocation'!$D$97</f>
        <v>1</v>
      </c>
      <c r="AE532" s="51">
        <f>IFERROR(INDEX('02_SCHEDULE'!$K$5:$K$124,MATCH(AA532&amp;"|"&amp;AB532,'02_SCHEDULE'!$M$5:$M$124,0)),0)</f>
        <v>46</v>
      </c>
      <c r="AF532" s="51">
        <f>IFERROR(INDEX('02_SCHEDULE'!$L$5:$L$124,MATCH(AA532&amp;"|"&amp;AB532,'02_SCHEDULE'!$M$5:$M$124,0)),0)</f>
        <v>46</v>
      </c>
      <c r="AG532" s="51">
        <f t="shared" si="30"/>
        <v>1</v>
      </c>
    </row>
    <row r="533" spans="27:33" x14ac:dyDescent="0.3">
      <c r="AA533" s="51" t="str">
        <f>'Sites Master'!$B$10</f>
        <v>Site 09</v>
      </c>
      <c r="AB533" s="51" t="str">
        <f>'Phase-Resource Allocation'!$B$98</f>
        <v>DIALT</v>
      </c>
      <c r="AC533" s="51" t="str">
        <f>'Phase-Resource Allocation'!$C$98</f>
        <v>Azure Lead</v>
      </c>
      <c r="AD533" s="60">
        <f>'Phase-Resource Allocation'!$D$98</f>
        <v>0.75</v>
      </c>
      <c r="AE533" s="51">
        <f>IFERROR(INDEX('02_SCHEDULE'!$K$5:$K$124,MATCH(AA533&amp;"|"&amp;AB533,'02_SCHEDULE'!$M$5:$M$124,0)),0)</f>
        <v>46</v>
      </c>
      <c r="AF533" s="51">
        <f>IFERROR(INDEX('02_SCHEDULE'!$L$5:$L$124,MATCH(AA533&amp;"|"&amp;AB533,'02_SCHEDULE'!$M$5:$M$124,0)),0)</f>
        <v>46</v>
      </c>
      <c r="AG533" s="51">
        <f t="shared" si="30"/>
        <v>0.75</v>
      </c>
    </row>
    <row r="534" spans="27:33" x14ac:dyDescent="0.3">
      <c r="AA534" s="51" t="str">
        <f>'Sites Master'!$B$10</f>
        <v>Site 09</v>
      </c>
      <c r="AB534" s="51" t="str">
        <f>'Phase-Resource Allocation'!$B$99</f>
        <v>DIALT</v>
      </c>
      <c r="AC534" s="51" t="str">
        <f>'Phase-Resource Allocation'!$C$99</f>
        <v>Azure Specialist</v>
      </c>
      <c r="AD534" s="60">
        <f>'Phase-Resource Allocation'!$D$99</f>
        <v>0.75</v>
      </c>
      <c r="AE534" s="51">
        <f>IFERROR(INDEX('02_SCHEDULE'!$K$5:$K$124,MATCH(AA534&amp;"|"&amp;AB534,'02_SCHEDULE'!$M$5:$M$124,0)),0)</f>
        <v>46</v>
      </c>
      <c r="AF534" s="51">
        <f>IFERROR(INDEX('02_SCHEDULE'!$L$5:$L$124,MATCH(AA534&amp;"|"&amp;AB534,'02_SCHEDULE'!$M$5:$M$124,0)),0)</f>
        <v>46</v>
      </c>
      <c r="AG534" s="51">
        <f t="shared" si="30"/>
        <v>0.75</v>
      </c>
    </row>
    <row r="535" spans="27:33" x14ac:dyDescent="0.3">
      <c r="AA535" s="51" t="str">
        <f>'Sites Master'!$B$10</f>
        <v>Site 09</v>
      </c>
      <c r="AB535" s="51" t="str">
        <f>'Phase-Resource Allocation'!$B$100</f>
        <v>DIALT</v>
      </c>
      <c r="AC535" s="51" t="str">
        <f>'Phase-Resource Allocation'!$C$100</f>
        <v>Functional Lead</v>
      </c>
      <c r="AD535" s="60">
        <f>'Phase-Resource Allocation'!$D$100</f>
        <v>1</v>
      </c>
      <c r="AE535" s="51">
        <f>IFERROR(INDEX('02_SCHEDULE'!$K$5:$K$124,MATCH(AA535&amp;"|"&amp;AB535,'02_SCHEDULE'!$M$5:$M$124,0)),0)</f>
        <v>46</v>
      </c>
      <c r="AF535" s="51">
        <f>IFERROR(INDEX('02_SCHEDULE'!$L$5:$L$124,MATCH(AA535&amp;"|"&amp;AB535,'02_SCHEDULE'!$M$5:$M$124,0)),0)</f>
        <v>46</v>
      </c>
      <c r="AG535" s="51">
        <f t="shared" si="30"/>
        <v>1</v>
      </c>
    </row>
    <row r="536" spans="27:33" x14ac:dyDescent="0.3">
      <c r="AA536" s="51" t="str">
        <f>'Sites Master'!$B$10</f>
        <v>Site 09</v>
      </c>
      <c r="AB536" s="51" t="str">
        <f>'Phase-Resource Allocation'!$B$101</f>
        <v>DIALT</v>
      </c>
      <c r="AC536" s="51" t="str">
        <f>'Phase-Resource Allocation'!$C$101</f>
        <v>Trainers</v>
      </c>
      <c r="AD536" s="60">
        <f>'Phase-Resource Allocation'!$D$101</f>
        <v>1</v>
      </c>
      <c r="AE536" s="51">
        <f>IFERROR(INDEX('02_SCHEDULE'!$K$5:$K$124,MATCH(AA536&amp;"|"&amp;AB536,'02_SCHEDULE'!$M$5:$M$124,0)),0)</f>
        <v>46</v>
      </c>
      <c r="AF536" s="51">
        <f>IFERROR(INDEX('02_SCHEDULE'!$L$5:$L$124,MATCH(AA536&amp;"|"&amp;AB536,'02_SCHEDULE'!$M$5:$M$124,0)),0)</f>
        <v>46</v>
      </c>
      <c r="AG536" s="51">
        <f t="shared" si="30"/>
        <v>1</v>
      </c>
    </row>
    <row r="537" spans="27:33" x14ac:dyDescent="0.3">
      <c r="AA537" s="51" t="str">
        <f>'Sites Master'!$B$10</f>
        <v>Site 09</v>
      </c>
      <c r="AB537" s="51" t="str">
        <f>'Phase-Resource Allocation'!$B$102</f>
        <v>DIALT</v>
      </c>
      <c r="AC537" s="51" t="str">
        <f>'Phase-Resource Allocation'!$C$102</f>
        <v>Functional Lead Vendor A</v>
      </c>
      <c r="AD537" s="60">
        <f>'Phase-Resource Allocation'!$D$102</f>
        <v>1</v>
      </c>
      <c r="AE537" s="51">
        <f>IFERROR(INDEX('02_SCHEDULE'!$K$5:$K$124,MATCH(AA537&amp;"|"&amp;AB537,'02_SCHEDULE'!$M$5:$M$124,0)),0)</f>
        <v>46</v>
      </c>
      <c r="AF537" s="51">
        <f>IFERROR(INDEX('02_SCHEDULE'!$L$5:$L$124,MATCH(AA537&amp;"|"&amp;AB537,'02_SCHEDULE'!$M$5:$M$124,0)),0)</f>
        <v>46</v>
      </c>
      <c r="AG537" s="51">
        <f t="shared" si="30"/>
        <v>1</v>
      </c>
    </row>
    <row r="538" spans="27:33" x14ac:dyDescent="0.3">
      <c r="AA538" s="51" t="str">
        <f>'Sites Master'!$B$10</f>
        <v>Site 09</v>
      </c>
      <c r="AB538" s="51" t="str">
        <f>'Phase-Resource Allocation'!$B$103</f>
        <v>Go Live</v>
      </c>
      <c r="AC538" s="51" t="str">
        <f>'Phase-Resource Allocation'!$C$103</f>
        <v>Solution Architect</v>
      </c>
      <c r="AD538" s="60">
        <f>'Phase-Resource Allocation'!$D$103</f>
        <v>1</v>
      </c>
      <c r="AE538" s="51">
        <f>IFERROR(INDEX('02_SCHEDULE'!$K$5:$K$124,MATCH(AA538&amp;"|"&amp;AB538,'02_SCHEDULE'!$M$5:$M$124,0)),0)</f>
        <v>47</v>
      </c>
      <c r="AF538" s="51">
        <f>IFERROR(INDEX('02_SCHEDULE'!$L$5:$L$124,MATCH(AA538&amp;"|"&amp;AB538,'02_SCHEDULE'!$M$5:$M$124,0)),0)</f>
        <v>47</v>
      </c>
      <c r="AG538" s="51">
        <f t="shared" si="30"/>
        <v>1</v>
      </c>
    </row>
    <row r="539" spans="27:33" x14ac:dyDescent="0.3">
      <c r="AA539" s="51" t="str">
        <f>'Sites Master'!$B$10</f>
        <v>Site 09</v>
      </c>
      <c r="AB539" s="51" t="str">
        <f>'Phase-Resource Allocation'!$B$104</f>
        <v>Go Live</v>
      </c>
      <c r="AC539" s="51" t="str">
        <f>'Phase-Resource Allocation'!$C$104</f>
        <v>Change Management Lead</v>
      </c>
      <c r="AD539" s="60">
        <f>'Phase-Resource Allocation'!$D$104</f>
        <v>1</v>
      </c>
      <c r="AE539" s="51">
        <f>IFERROR(INDEX('02_SCHEDULE'!$K$5:$K$124,MATCH(AA539&amp;"|"&amp;AB539,'02_SCHEDULE'!$M$5:$M$124,0)),0)</f>
        <v>47</v>
      </c>
      <c r="AF539" s="51">
        <f>IFERROR(INDEX('02_SCHEDULE'!$L$5:$L$124,MATCH(AA539&amp;"|"&amp;AB539,'02_SCHEDULE'!$M$5:$M$124,0)),0)</f>
        <v>47</v>
      </c>
      <c r="AG539" s="51">
        <f t="shared" si="30"/>
        <v>1</v>
      </c>
    </row>
    <row r="540" spans="27:33" x14ac:dyDescent="0.3">
      <c r="AA540" s="51" t="str">
        <f>'Sites Master'!$B$10</f>
        <v>Site 09</v>
      </c>
      <c r="AB540" s="51" t="str">
        <f>'Phase-Resource Allocation'!$B$105</f>
        <v>Go Live</v>
      </c>
      <c r="AC540" s="51" t="str">
        <f>'Phase-Resource Allocation'!$C$105</f>
        <v>SAP Integrations Lead</v>
      </c>
      <c r="AD540" s="60">
        <f>'Phase-Resource Allocation'!$D$105</f>
        <v>1</v>
      </c>
      <c r="AE540" s="51">
        <f>IFERROR(INDEX('02_SCHEDULE'!$K$5:$K$124,MATCH(AA540&amp;"|"&amp;AB540,'02_SCHEDULE'!$M$5:$M$124,0)),0)</f>
        <v>47</v>
      </c>
      <c r="AF540" s="51">
        <f>IFERROR(INDEX('02_SCHEDULE'!$L$5:$L$124,MATCH(AA540&amp;"|"&amp;AB540,'02_SCHEDULE'!$M$5:$M$124,0)),0)</f>
        <v>47</v>
      </c>
      <c r="AG540" s="51">
        <f t="shared" si="30"/>
        <v>1</v>
      </c>
    </row>
    <row r="541" spans="27:33" x14ac:dyDescent="0.3">
      <c r="AA541" s="51" t="str">
        <f>'Sites Master'!$B$10</f>
        <v>Site 09</v>
      </c>
      <c r="AB541" s="51" t="str">
        <f>'Phase-Resource Allocation'!$B$106</f>
        <v>Go Live</v>
      </c>
      <c r="AC541" s="51" t="str">
        <f>'Phase-Resource Allocation'!$C$106</f>
        <v>SAP Integrations Specialist</v>
      </c>
      <c r="AD541" s="60">
        <f>'Phase-Resource Allocation'!$D$106</f>
        <v>1</v>
      </c>
      <c r="AE541" s="51">
        <f>IFERROR(INDEX('02_SCHEDULE'!$K$5:$K$124,MATCH(AA541&amp;"|"&amp;AB541,'02_SCHEDULE'!$M$5:$M$124,0)),0)</f>
        <v>47</v>
      </c>
      <c r="AF541" s="51">
        <f>IFERROR(INDEX('02_SCHEDULE'!$L$5:$L$124,MATCH(AA541&amp;"|"&amp;AB541,'02_SCHEDULE'!$M$5:$M$124,0)),0)</f>
        <v>47</v>
      </c>
      <c r="AG541" s="51">
        <f t="shared" si="30"/>
        <v>1</v>
      </c>
    </row>
    <row r="542" spans="27:33" x14ac:dyDescent="0.3">
      <c r="AA542" s="51" t="str">
        <f>'Sites Master'!$B$10</f>
        <v>Site 09</v>
      </c>
      <c r="AB542" s="51" t="str">
        <f>'Phase-Resource Allocation'!$B$107</f>
        <v>Go Live</v>
      </c>
      <c r="AC542" s="51" t="str">
        <f>'Phase-Resource Allocation'!$C$107</f>
        <v>Azure Lead</v>
      </c>
      <c r="AD542" s="60">
        <f>'Phase-Resource Allocation'!$D$107</f>
        <v>1</v>
      </c>
      <c r="AE542" s="51">
        <f>IFERROR(INDEX('02_SCHEDULE'!$K$5:$K$124,MATCH(AA542&amp;"|"&amp;AB542,'02_SCHEDULE'!$M$5:$M$124,0)),0)</f>
        <v>47</v>
      </c>
      <c r="AF542" s="51">
        <f>IFERROR(INDEX('02_SCHEDULE'!$L$5:$L$124,MATCH(AA542&amp;"|"&amp;AB542,'02_SCHEDULE'!$M$5:$M$124,0)),0)</f>
        <v>47</v>
      </c>
      <c r="AG542" s="51">
        <f t="shared" si="30"/>
        <v>1</v>
      </c>
    </row>
    <row r="543" spans="27:33" x14ac:dyDescent="0.3">
      <c r="AA543" s="51" t="str">
        <f>'Sites Master'!$B$10</f>
        <v>Site 09</v>
      </c>
      <c r="AB543" s="51" t="str">
        <f>'Phase-Resource Allocation'!$B$108</f>
        <v>Go Live</v>
      </c>
      <c r="AC543" s="51" t="str">
        <f>'Phase-Resource Allocation'!$C$108</f>
        <v>Azure Specialist</v>
      </c>
      <c r="AD543" s="60">
        <f>'Phase-Resource Allocation'!$D$108</f>
        <v>1</v>
      </c>
      <c r="AE543" s="51">
        <f>IFERROR(INDEX('02_SCHEDULE'!$K$5:$K$124,MATCH(AA543&amp;"|"&amp;AB543,'02_SCHEDULE'!$M$5:$M$124,0)),0)</f>
        <v>47</v>
      </c>
      <c r="AF543" s="51">
        <f>IFERROR(INDEX('02_SCHEDULE'!$L$5:$L$124,MATCH(AA543&amp;"|"&amp;AB543,'02_SCHEDULE'!$M$5:$M$124,0)),0)</f>
        <v>47</v>
      </c>
      <c r="AG543" s="51">
        <f t="shared" si="30"/>
        <v>1</v>
      </c>
    </row>
    <row r="544" spans="27:33" x14ac:dyDescent="0.3">
      <c r="AA544" s="51" t="str">
        <f>'Sites Master'!$B$10</f>
        <v>Site 09</v>
      </c>
      <c r="AB544" s="51" t="str">
        <f>'Phase-Resource Allocation'!$B$109</f>
        <v>Go Live</v>
      </c>
      <c r="AC544" s="51" t="str">
        <f>'Phase-Resource Allocation'!$C$109</f>
        <v>Functional Lead</v>
      </c>
      <c r="AD544" s="60">
        <f>'Phase-Resource Allocation'!$D$109</f>
        <v>1</v>
      </c>
      <c r="AE544" s="51">
        <f>IFERROR(INDEX('02_SCHEDULE'!$K$5:$K$124,MATCH(AA544&amp;"|"&amp;AB544,'02_SCHEDULE'!$M$5:$M$124,0)),0)</f>
        <v>47</v>
      </c>
      <c r="AF544" s="51">
        <f>IFERROR(INDEX('02_SCHEDULE'!$L$5:$L$124,MATCH(AA544&amp;"|"&amp;AB544,'02_SCHEDULE'!$M$5:$M$124,0)),0)</f>
        <v>47</v>
      </c>
      <c r="AG544" s="51">
        <f t="shared" si="30"/>
        <v>1</v>
      </c>
    </row>
    <row r="545" spans="27:33" x14ac:dyDescent="0.3">
      <c r="AA545" s="51" t="str">
        <f>'Sites Master'!$B$10</f>
        <v>Site 09</v>
      </c>
      <c r="AB545" s="51" t="str">
        <f>'Phase-Resource Allocation'!$B$110</f>
        <v>Go Live</v>
      </c>
      <c r="AC545" s="51" t="str">
        <f>'Phase-Resource Allocation'!$C$110</f>
        <v>Trainers</v>
      </c>
      <c r="AD545" s="60">
        <f>'Phase-Resource Allocation'!$D$110</f>
        <v>1</v>
      </c>
      <c r="AE545" s="51">
        <f>IFERROR(INDEX('02_SCHEDULE'!$K$5:$K$124,MATCH(AA545&amp;"|"&amp;AB545,'02_SCHEDULE'!$M$5:$M$124,0)),0)</f>
        <v>47</v>
      </c>
      <c r="AF545" s="51">
        <f>IFERROR(INDEX('02_SCHEDULE'!$L$5:$L$124,MATCH(AA545&amp;"|"&amp;AB545,'02_SCHEDULE'!$M$5:$M$124,0)),0)</f>
        <v>47</v>
      </c>
      <c r="AG545" s="51">
        <f t="shared" si="30"/>
        <v>1</v>
      </c>
    </row>
    <row r="546" spans="27:33" x14ac:dyDescent="0.3">
      <c r="AA546" s="51" t="str">
        <f>'Sites Master'!$B$10</f>
        <v>Site 09</v>
      </c>
      <c r="AB546" s="51" t="str">
        <f>'Phase-Resource Allocation'!$B$111</f>
        <v>Go Live</v>
      </c>
      <c r="AC546" s="51" t="str">
        <f>'Phase-Resource Allocation'!$C$111</f>
        <v>Infrastructure Lead</v>
      </c>
      <c r="AD546" s="60">
        <f>'Phase-Resource Allocation'!$D$111</f>
        <v>1</v>
      </c>
      <c r="AE546" s="51">
        <f>IFERROR(INDEX('02_SCHEDULE'!$K$5:$K$124,MATCH(AA546&amp;"|"&amp;AB546,'02_SCHEDULE'!$M$5:$M$124,0)),0)</f>
        <v>47</v>
      </c>
      <c r="AF546" s="51">
        <f>IFERROR(INDEX('02_SCHEDULE'!$L$5:$L$124,MATCH(AA546&amp;"|"&amp;AB546,'02_SCHEDULE'!$M$5:$M$124,0)),0)</f>
        <v>47</v>
      </c>
      <c r="AG546" s="51">
        <f t="shared" si="30"/>
        <v>1</v>
      </c>
    </row>
    <row r="547" spans="27:33" x14ac:dyDescent="0.3">
      <c r="AA547" s="51" t="str">
        <f>'Sites Master'!$B$10</f>
        <v>Site 09</v>
      </c>
      <c r="AB547" s="51" t="str">
        <f>'Phase-Resource Allocation'!$B$112</f>
        <v>Go Live</v>
      </c>
      <c r="AC547" s="51" t="str">
        <f>'Phase-Resource Allocation'!$C$112</f>
        <v>Functional Lead Vendor A</v>
      </c>
      <c r="AD547" s="60">
        <f>'Phase-Resource Allocation'!$D$112</f>
        <v>1</v>
      </c>
      <c r="AE547" s="51">
        <f>IFERROR(INDEX('02_SCHEDULE'!$K$5:$K$124,MATCH(AA547&amp;"|"&amp;AB547,'02_SCHEDULE'!$M$5:$M$124,0)),0)</f>
        <v>47</v>
      </c>
      <c r="AF547" s="51">
        <f>IFERROR(INDEX('02_SCHEDULE'!$L$5:$L$124,MATCH(AA547&amp;"|"&amp;AB547,'02_SCHEDULE'!$M$5:$M$124,0)),0)</f>
        <v>47</v>
      </c>
      <c r="AG547" s="51">
        <f t="shared" si="30"/>
        <v>1</v>
      </c>
    </row>
    <row r="548" spans="27:33" x14ac:dyDescent="0.3">
      <c r="AA548" s="51" t="str">
        <f>'Sites Master'!$B$10</f>
        <v>Site 09</v>
      </c>
      <c r="AB548" s="51" t="str">
        <f>'Phase-Resource Allocation'!$B$113</f>
        <v>Hypercare</v>
      </c>
      <c r="AC548" s="51" t="str">
        <f>'Phase-Resource Allocation'!$C$113</f>
        <v>Solution Architect</v>
      </c>
      <c r="AD548" s="60">
        <f>'Phase-Resource Allocation'!$D$113</f>
        <v>0.5</v>
      </c>
      <c r="AE548" s="51">
        <f>IFERROR(INDEX('02_SCHEDULE'!$K$5:$K$124,MATCH(AA548&amp;"|"&amp;AB548,'02_SCHEDULE'!$M$5:$M$124,0)),0)</f>
        <v>48</v>
      </c>
      <c r="AF548" s="51">
        <f>IFERROR(INDEX('02_SCHEDULE'!$L$5:$L$124,MATCH(AA548&amp;"|"&amp;AB548,'02_SCHEDULE'!$M$5:$M$124,0)),0)</f>
        <v>51</v>
      </c>
      <c r="AG548" s="51">
        <f t="shared" si="30"/>
        <v>2</v>
      </c>
    </row>
    <row r="549" spans="27:33" x14ac:dyDescent="0.3">
      <c r="AA549" s="51" t="str">
        <f>'Sites Master'!$B$10</f>
        <v>Site 09</v>
      </c>
      <c r="AB549" s="51" t="str">
        <f>'Phase-Resource Allocation'!$B$114</f>
        <v>Hypercare</v>
      </c>
      <c r="AC549" s="51" t="str">
        <f>'Phase-Resource Allocation'!$C$114</f>
        <v>Change Management Lead</v>
      </c>
      <c r="AD549" s="60">
        <f>'Phase-Resource Allocation'!$D$114</f>
        <v>1</v>
      </c>
      <c r="AE549" s="51">
        <f>IFERROR(INDEX('02_SCHEDULE'!$K$5:$K$124,MATCH(AA549&amp;"|"&amp;AB549,'02_SCHEDULE'!$M$5:$M$124,0)),0)</f>
        <v>48</v>
      </c>
      <c r="AF549" s="51">
        <f>IFERROR(INDEX('02_SCHEDULE'!$L$5:$L$124,MATCH(AA549&amp;"|"&amp;AB549,'02_SCHEDULE'!$M$5:$M$124,0)),0)</f>
        <v>51</v>
      </c>
      <c r="AG549" s="51">
        <f t="shared" si="30"/>
        <v>4</v>
      </c>
    </row>
    <row r="550" spans="27:33" x14ac:dyDescent="0.3">
      <c r="AA550" s="51" t="str">
        <f>'Sites Master'!$B$10</f>
        <v>Site 09</v>
      </c>
      <c r="AB550" s="51" t="str">
        <f>'Phase-Resource Allocation'!$B$115</f>
        <v>Hypercare</v>
      </c>
      <c r="AC550" s="51" t="str">
        <f>'Phase-Resource Allocation'!$C$115</f>
        <v>SAP Integrations Lead</v>
      </c>
      <c r="AD550" s="60">
        <f>'Phase-Resource Allocation'!$D$115</f>
        <v>0.5</v>
      </c>
      <c r="AE550" s="51">
        <f>IFERROR(INDEX('02_SCHEDULE'!$K$5:$K$124,MATCH(AA550&amp;"|"&amp;AB550,'02_SCHEDULE'!$M$5:$M$124,0)),0)</f>
        <v>48</v>
      </c>
      <c r="AF550" s="51">
        <f>IFERROR(INDEX('02_SCHEDULE'!$L$5:$L$124,MATCH(AA550&amp;"|"&amp;AB550,'02_SCHEDULE'!$M$5:$M$124,0)),0)</f>
        <v>51</v>
      </c>
      <c r="AG550" s="51">
        <f t="shared" si="30"/>
        <v>2</v>
      </c>
    </row>
    <row r="551" spans="27:33" x14ac:dyDescent="0.3">
      <c r="AA551" s="51" t="str">
        <f>'Sites Master'!$B$10</f>
        <v>Site 09</v>
      </c>
      <c r="AB551" s="51" t="str">
        <f>'Phase-Resource Allocation'!$B$116</f>
        <v>Hypercare</v>
      </c>
      <c r="AC551" s="51" t="str">
        <f>'Phase-Resource Allocation'!$C$116</f>
        <v>SAP Integrations Specialist</v>
      </c>
      <c r="AD551" s="60">
        <f>'Phase-Resource Allocation'!$D$116</f>
        <v>0.5</v>
      </c>
      <c r="AE551" s="51">
        <f>IFERROR(INDEX('02_SCHEDULE'!$K$5:$K$124,MATCH(AA551&amp;"|"&amp;AB551,'02_SCHEDULE'!$M$5:$M$124,0)),0)</f>
        <v>48</v>
      </c>
      <c r="AF551" s="51">
        <f>IFERROR(INDEX('02_SCHEDULE'!$L$5:$L$124,MATCH(AA551&amp;"|"&amp;AB551,'02_SCHEDULE'!$M$5:$M$124,0)),0)</f>
        <v>51</v>
      </c>
      <c r="AG551" s="51">
        <f t="shared" si="30"/>
        <v>2</v>
      </c>
    </row>
    <row r="552" spans="27:33" x14ac:dyDescent="0.3">
      <c r="AA552" s="51" t="str">
        <f>'Sites Master'!$B$10</f>
        <v>Site 09</v>
      </c>
      <c r="AB552" s="51" t="str">
        <f>'Phase-Resource Allocation'!$B$117</f>
        <v>Hypercare</v>
      </c>
      <c r="AC552" s="51" t="str">
        <f>'Phase-Resource Allocation'!$C$117</f>
        <v>Azure Lead</v>
      </c>
      <c r="AD552" s="60">
        <f>'Phase-Resource Allocation'!$D$117</f>
        <v>0.5</v>
      </c>
      <c r="AE552" s="51">
        <f>IFERROR(INDEX('02_SCHEDULE'!$K$5:$K$124,MATCH(AA552&amp;"|"&amp;AB552,'02_SCHEDULE'!$M$5:$M$124,0)),0)</f>
        <v>48</v>
      </c>
      <c r="AF552" s="51">
        <f>IFERROR(INDEX('02_SCHEDULE'!$L$5:$L$124,MATCH(AA552&amp;"|"&amp;AB552,'02_SCHEDULE'!$M$5:$M$124,0)),0)</f>
        <v>51</v>
      </c>
      <c r="AG552" s="51">
        <f t="shared" si="30"/>
        <v>2</v>
      </c>
    </row>
    <row r="553" spans="27:33" x14ac:dyDescent="0.3">
      <c r="AA553" s="51" t="str">
        <f>'Sites Master'!$B$10</f>
        <v>Site 09</v>
      </c>
      <c r="AB553" s="51" t="str">
        <f>'Phase-Resource Allocation'!$B$118</f>
        <v>Hypercare</v>
      </c>
      <c r="AC553" s="51" t="str">
        <f>'Phase-Resource Allocation'!$C$118</f>
        <v>Azure Specialist</v>
      </c>
      <c r="AD553" s="60">
        <f>'Phase-Resource Allocation'!$D$118</f>
        <v>0.5</v>
      </c>
      <c r="AE553" s="51">
        <f>IFERROR(INDEX('02_SCHEDULE'!$K$5:$K$124,MATCH(AA553&amp;"|"&amp;AB553,'02_SCHEDULE'!$M$5:$M$124,0)),0)</f>
        <v>48</v>
      </c>
      <c r="AF553" s="51">
        <f>IFERROR(INDEX('02_SCHEDULE'!$L$5:$L$124,MATCH(AA553&amp;"|"&amp;AB553,'02_SCHEDULE'!$M$5:$M$124,0)),0)</f>
        <v>51</v>
      </c>
      <c r="AG553" s="51">
        <f t="shared" si="30"/>
        <v>2</v>
      </c>
    </row>
    <row r="554" spans="27:33" x14ac:dyDescent="0.3">
      <c r="AA554" s="51" t="str">
        <f>'Sites Master'!$B$10</f>
        <v>Site 09</v>
      </c>
      <c r="AB554" s="51" t="str">
        <f>'Phase-Resource Allocation'!$B$119</f>
        <v>Hypercare</v>
      </c>
      <c r="AC554" s="51" t="str">
        <f>'Phase-Resource Allocation'!$C$119</f>
        <v>Functional Lead</v>
      </c>
      <c r="AD554" s="60">
        <f>'Phase-Resource Allocation'!$D$119</f>
        <v>1</v>
      </c>
      <c r="AE554" s="51">
        <f>IFERROR(INDEX('02_SCHEDULE'!$K$5:$K$124,MATCH(AA554&amp;"|"&amp;AB554,'02_SCHEDULE'!$M$5:$M$124,0)),0)</f>
        <v>48</v>
      </c>
      <c r="AF554" s="51">
        <f>IFERROR(INDEX('02_SCHEDULE'!$L$5:$L$124,MATCH(AA554&amp;"|"&amp;AB554,'02_SCHEDULE'!$M$5:$M$124,0)),0)</f>
        <v>51</v>
      </c>
      <c r="AG554" s="51">
        <f t="shared" si="30"/>
        <v>4</v>
      </c>
    </row>
    <row r="555" spans="27:33" x14ac:dyDescent="0.3">
      <c r="AA555" s="51" t="str">
        <f>'Sites Master'!$B$10</f>
        <v>Site 09</v>
      </c>
      <c r="AB555" s="51" t="str">
        <f>'Phase-Resource Allocation'!$B$120</f>
        <v>Hypercare</v>
      </c>
      <c r="AC555" s="51" t="str">
        <f>'Phase-Resource Allocation'!$C$120</f>
        <v>Functional Lead</v>
      </c>
      <c r="AD555" s="60">
        <f>'Phase-Resource Allocation'!$D$120</f>
        <v>1</v>
      </c>
      <c r="AE555" s="51">
        <f>IFERROR(INDEX('02_SCHEDULE'!$K$5:$K$124,MATCH(AA555&amp;"|"&amp;AB555,'02_SCHEDULE'!$M$5:$M$124,0)),0)</f>
        <v>48</v>
      </c>
      <c r="AF555" s="51">
        <f>IFERROR(INDEX('02_SCHEDULE'!$L$5:$L$124,MATCH(AA555&amp;"|"&amp;AB555,'02_SCHEDULE'!$M$5:$M$124,0)),0)</f>
        <v>51</v>
      </c>
      <c r="AG555" s="51">
        <f t="shared" si="30"/>
        <v>4</v>
      </c>
    </row>
    <row r="556" spans="27:33" x14ac:dyDescent="0.3">
      <c r="AA556" s="51" t="str">
        <f>'Sites Master'!$B$10</f>
        <v>Site 09</v>
      </c>
      <c r="AB556" s="51" t="str">
        <f>'Phase-Resource Allocation'!$B$121</f>
        <v>Hypercare</v>
      </c>
      <c r="AC556" s="51" t="str">
        <f>'Phase-Resource Allocation'!$C$121</f>
        <v>Trainers</v>
      </c>
      <c r="AD556" s="60">
        <f>'Phase-Resource Allocation'!$D$121</f>
        <v>1</v>
      </c>
      <c r="AE556" s="51">
        <f>IFERROR(INDEX('02_SCHEDULE'!$K$5:$K$124,MATCH(AA556&amp;"|"&amp;AB556,'02_SCHEDULE'!$M$5:$M$124,0)),0)</f>
        <v>48</v>
      </c>
      <c r="AF556" s="51">
        <f>IFERROR(INDEX('02_SCHEDULE'!$L$5:$L$124,MATCH(AA556&amp;"|"&amp;AB556,'02_SCHEDULE'!$M$5:$M$124,0)),0)</f>
        <v>51</v>
      </c>
      <c r="AG556" s="51">
        <f t="shared" si="30"/>
        <v>4</v>
      </c>
    </row>
    <row r="557" spans="27:33" x14ac:dyDescent="0.3">
      <c r="AA557" s="51" t="str">
        <f>'Sites Master'!$B$10</f>
        <v>Site 09</v>
      </c>
      <c r="AB557" s="51" t="str">
        <f>'Phase-Resource Allocation'!$B$122</f>
        <v>Hypercare</v>
      </c>
      <c r="AC557" s="51" t="str">
        <f>'Phase-Resource Allocation'!$C$122</f>
        <v>Trainers</v>
      </c>
      <c r="AD557" s="60">
        <f>'Phase-Resource Allocation'!$D$122</f>
        <v>1</v>
      </c>
      <c r="AE557" s="51">
        <f>IFERROR(INDEX('02_SCHEDULE'!$K$5:$K$124,MATCH(AA557&amp;"|"&amp;AB557,'02_SCHEDULE'!$M$5:$M$124,0)),0)</f>
        <v>48</v>
      </c>
      <c r="AF557" s="51">
        <f>IFERROR(INDEX('02_SCHEDULE'!$L$5:$L$124,MATCH(AA557&amp;"|"&amp;AB557,'02_SCHEDULE'!$M$5:$M$124,0)),0)</f>
        <v>51</v>
      </c>
      <c r="AG557" s="51">
        <f t="shared" si="30"/>
        <v>4</v>
      </c>
    </row>
    <row r="558" spans="27:33" x14ac:dyDescent="0.3">
      <c r="AA558" s="51" t="str">
        <f>'Sites Master'!$B$10</f>
        <v>Site 09</v>
      </c>
      <c r="AB558" s="51" t="str">
        <f>'Phase-Resource Allocation'!$B$123</f>
        <v>Hypercare</v>
      </c>
      <c r="AC558" s="51" t="str">
        <f>'Phase-Resource Allocation'!$C$123</f>
        <v>Trainers</v>
      </c>
      <c r="AD558" s="60">
        <f>'Phase-Resource Allocation'!$D$123</f>
        <v>1</v>
      </c>
      <c r="AE558" s="51">
        <f>IFERROR(INDEX('02_SCHEDULE'!$K$5:$K$124,MATCH(AA558&amp;"|"&amp;AB558,'02_SCHEDULE'!$M$5:$M$124,0)),0)</f>
        <v>48</v>
      </c>
      <c r="AF558" s="51">
        <f>IFERROR(INDEX('02_SCHEDULE'!$L$5:$L$124,MATCH(AA558&amp;"|"&amp;AB558,'02_SCHEDULE'!$M$5:$M$124,0)),0)</f>
        <v>51</v>
      </c>
      <c r="AG558" s="51">
        <f t="shared" si="30"/>
        <v>4</v>
      </c>
    </row>
    <row r="559" spans="27:33" x14ac:dyDescent="0.3">
      <c r="AA559" s="51" t="str">
        <f>'Sites Master'!$B$10</f>
        <v>Site 09</v>
      </c>
      <c r="AB559" s="51" t="str">
        <f>'Phase-Resource Allocation'!$B$124</f>
        <v>Hypercare</v>
      </c>
      <c r="AC559" s="51" t="str">
        <f>'Phase-Resource Allocation'!$C$124</f>
        <v>Infrastructure Lead</v>
      </c>
      <c r="AD559" s="60">
        <f>'Phase-Resource Allocation'!$D$124</f>
        <v>1</v>
      </c>
      <c r="AE559" s="51">
        <f>IFERROR(INDEX('02_SCHEDULE'!$K$5:$K$124,MATCH(AA559&amp;"|"&amp;AB559,'02_SCHEDULE'!$M$5:$M$124,0)),0)</f>
        <v>48</v>
      </c>
      <c r="AF559" s="51">
        <f>IFERROR(INDEX('02_SCHEDULE'!$L$5:$L$124,MATCH(AA559&amp;"|"&amp;AB559,'02_SCHEDULE'!$M$5:$M$124,0)),0)</f>
        <v>51</v>
      </c>
      <c r="AG559" s="51">
        <f t="shared" si="30"/>
        <v>4</v>
      </c>
    </row>
    <row r="560" spans="27:33" x14ac:dyDescent="0.3">
      <c r="AA560" s="51" t="str">
        <f>'Sites Master'!$B$10</f>
        <v>Site 09</v>
      </c>
      <c r="AB560" s="51" t="str">
        <f>'Phase-Resource Allocation'!$B$125</f>
        <v>Hypercare</v>
      </c>
      <c r="AC560" s="51" t="str">
        <f>'Phase-Resource Allocation'!$C$125</f>
        <v>Functional Lead Vendor A</v>
      </c>
      <c r="AD560" s="60">
        <f>'Phase-Resource Allocation'!$D$125</f>
        <v>0.5</v>
      </c>
      <c r="AE560" s="51">
        <f>IFERROR(INDEX('02_SCHEDULE'!$K$5:$K$124,MATCH(AA560&amp;"|"&amp;AB560,'02_SCHEDULE'!$M$5:$M$124,0)),0)</f>
        <v>48</v>
      </c>
      <c r="AF560" s="51">
        <f>IFERROR(INDEX('02_SCHEDULE'!$L$5:$L$124,MATCH(AA560&amp;"|"&amp;AB560,'02_SCHEDULE'!$M$5:$M$124,0)),0)</f>
        <v>51</v>
      </c>
      <c r="AG560" s="51">
        <f t="shared" si="30"/>
        <v>2</v>
      </c>
    </row>
    <row r="561" spans="27:33" x14ac:dyDescent="0.3">
      <c r="AA561" s="51" t="str">
        <f>'Sites Master'!$B$11</f>
        <v>Site 10</v>
      </c>
      <c r="AB561" s="51" t="str">
        <f>'Phase-Resource Allocation'!$B$2</f>
        <v>Site Readiness</v>
      </c>
      <c r="AC561" s="51" t="str">
        <f>'Phase-Resource Allocation'!$C$2</f>
        <v>Infrastructure Lead</v>
      </c>
      <c r="AD561" s="60">
        <f>'Phase-Resource Allocation'!$D$2</f>
        <v>1</v>
      </c>
      <c r="AE561" s="51">
        <f>IFERROR(INDEX('02_SCHEDULE'!$K$5:$K$124,MATCH(AA561&amp;"|"&amp;AB561,'02_SCHEDULE'!$M$5:$M$124,0)),0)</f>
        <v>49</v>
      </c>
      <c r="AF561" s="51">
        <f>IFERROR(INDEX('02_SCHEDULE'!$L$5:$L$124,MATCH(AA561&amp;"|"&amp;AB561,'02_SCHEDULE'!$M$5:$M$124,0)),0)</f>
        <v>53</v>
      </c>
      <c r="AG561" s="51">
        <f t="shared" si="30"/>
        <v>5</v>
      </c>
    </row>
    <row r="562" spans="27:33" x14ac:dyDescent="0.3">
      <c r="AA562" s="51" t="str">
        <f>'Sites Master'!$B$11</f>
        <v>Site 10</v>
      </c>
      <c r="AB562" s="51" t="str">
        <f>'Phase-Resource Allocation'!$B$3</f>
        <v>Site Readiness</v>
      </c>
      <c r="AC562" s="51" t="str">
        <f>'Phase-Resource Allocation'!$C$3</f>
        <v>SAP Integrations Lead</v>
      </c>
      <c r="AD562" s="60">
        <f>'Phase-Resource Allocation'!$D$3</f>
        <v>0.5</v>
      </c>
      <c r="AE562" s="51">
        <f>IFERROR(INDEX('02_SCHEDULE'!$K$5:$K$124,MATCH(AA562&amp;"|"&amp;AB562,'02_SCHEDULE'!$M$5:$M$124,0)),0)</f>
        <v>49</v>
      </c>
      <c r="AF562" s="51">
        <f>IFERROR(INDEX('02_SCHEDULE'!$L$5:$L$124,MATCH(AA562&amp;"|"&amp;AB562,'02_SCHEDULE'!$M$5:$M$124,0)),0)</f>
        <v>53</v>
      </c>
      <c r="AG562" s="51">
        <f t="shared" si="30"/>
        <v>2.5</v>
      </c>
    </row>
    <row r="563" spans="27:33" x14ac:dyDescent="0.3">
      <c r="AA563" s="51" t="str">
        <f>'Sites Master'!$B$11</f>
        <v>Site 10</v>
      </c>
      <c r="AB563" s="51" t="str">
        <f>'Phase-Resource Allocation'!$B$4</f>
        <v>Design Adaptation</v>
      </c>
      <c r="AC563" s="51" t="str">
        <f>'Phase-Resource Allocation'!$C$4</f>
        <v>Solution Architect</v>
      </c>
      <c r="AD563" s="60">
        <f>'Phase-Resource Allocation'!$D$4</f>
        <v>1</v>
      </c>
      <c r="AE563" s="51">
        <f>IFERROR(INDEX('02_SCHEDULE'!$K$5:$K$124,MATCH(AA563&amp;"|"&amp;AB563,'02_SCHEDULE'!$M$5:$M$124,0)),0)</f>
        <v>54</v>
      </c>
      <c r="AF563" s="51">
        <f>IFERROR(INDEX('02_SCHEDULE'!$L$5:$L$124,MATCH(AA563&amp;"|"&amp;AB563,'02_SCHEDULE'!$M$5:$M$124,0)),0)</f>
        <v>55</v>
      </c>
      <c r="AG563" s="51">
        <f t="shared" si="30"/>
        <v>2</v>
      </c>
    </row>
    <row r="564" spans="27:33" x14ac:dyDescent="0.3">
      <c r="AA564" s="51" t="str">
        <f>'Sites Master'!$B$11</f>
        <v>Site 10</v>
      </c>
      <c r="AB564" s="51" t="str">
        <f>'Phase-Resource Allocation'!$B$5</f>
        <v>Design Adaptation</v>
      </c>
      <c r="AC564" s="51" t="str">
        <f>'Phase-Resource Allocation'!$C$5</f>
        <v>SAP Integrations Lead</v>
      </c>
      <c r="AD564" s="60">
        <f>'Phase-Resource Allocation'!$D$5</f>
        <v>0.5</v>
      </c>
      <c r="AE564" s="51">
        <f>IFERROR(INDEX('02_SCHEDULE'!$K$5:$K$124,MATCH(AA564&amp;"|"&amp;AB564,'02_SCHEDULE'!$M$5:$M$124,0)),0)</f>
        <v>54</v>
      </c>
      <c r="AF564" s="51">
        <f>IFERROR(INDEX('02_SCHEDULE'!$L$5:$L$124,MATCH(AA564&amp;"|"&amp;AB564,'02_SCHEDULE'!$M$5:$M$124,0)),0)</f>
        <v>55</v>
      </c>
      <c r="AG564" s="51">
        <f t="shared" si="30"/>
        <v>1</v>
      </c>
    </row>
    <row r="565" spans="27:33" x14ac:dyDescent="0.3">
      <c r="AA565" s="51" t="str">
        <f>'Sites Master'!$B$11</f>
        <v>Site 10</v>
      </c>
      <c r="AB565" s="51" t="str">
        <f>'Phase-Resource Allocation'!$B$6</f>
        <v>Design Adaptation</v>
      </c>
      <c r="AC565" s="51" t="str">
        <f>'Phase-Resource Allocation'!$C$6</f>
        <v>SAP Integrations Specialist</v>
      </c>
      <c r="AD565" s="60">
        <f>'Phase-Resource Allocation'!$D$6</f>
        <v>0.5</v>
      </c>
      <c r="AE565" s="51">
        <f>IFERROR(INDEX('02_SCHEDULE'!$K$5:$K$124,MATCH(AA565&amp;"|"&amp;AB565,'02_SCHEDULE'!$M$5:$M$124,0)),0)</f>
        <v>54</v>
      </c>
      <c r="AF565" s="51">
        <f>IFERROR(INDEX('02_SCHEDULE'!$L$5:$L$124,MATCH(AA565&amp;"|"&amp;AB565,'02_SCHEDULE'!$M$5:$M$124,0)),0)</f>
        <v>55</v>
      </c>
      <c r="AG565" s="51">
        <f t="shared" si="30"/>
        <v>1</v>
      </c>
    </row>
    <row r="566" spans="27:33" x14ac:dyDescent="0.3">
      <c r="AA566" s="51" t="str">
        <f>'Sites Master'!$B$11</f>
        <v>Site 10</v>
      </c>
      <c r="AB566" s="51" t="str">
        <f>'Phase-Resource Allocation'!$B$7</f>
        <v>Design Adaptation</v>
      </c>
      <c r="AC566" s="51" t="str">
        <f>'Phase-Resource Allocation'!$C$7</f>
        <v>Azure Lead</v>
      </c>
      <c r="AD566" s="60">
        <f>'Phase-Resource Allocation'!$D$7</f>
        <v>0.5</v>
      </c>
      <c r="AE566" s="51">
        <f>IFERROR(INDEX('02_SCHEDULE'!$K$5:$K$124,MATCH(AA566&amp;"|"&amp;AB566,'02_SCHEDULE'!$M$5:$M$124,0)),0)</f>
        <v>54</v>
      </c>
      <c r="AF566" s="51">
        <f>IFERROR(INDEX('02_SCHEDULE'!$L$5:$L$124,MATCH(AA566&amp;"|"&amp;AB566,'02_SCHEDULE'!$M$5:$M$124,0)),0)</f>
        <v>55</v>
      </c>
      <c r="AG566" s="51">
        <f t="shared" si="30"/>
        <v>1</v>
      </c>
    </row>
    <row r="567" spans="27:33" x14ac:dyDescent="0.3">
      <c r="AA567" s="51" t="str">
        <f>'Sites Master'!$B$11</f>
        <v>Site 10</v>
      </c>
      <c r="AB567" s="51" t="str">
        <f>'Phase-Resource Allocation'!$B$8</f>
        <v>Design Adaptation</v>
      </c>
      <c r="AC567" s="51" t="str">
        <f>'Phase-Resource Allocation'!$C$8</f>
        <v>Azure Specialist</v>
      </c>
      <c r="AD567" s="60">
        <f>'Phase-Resource Allocation'!$D$8</f>
        <v>0.5</v>
      </c>
      <c r="AE567" s="51">
        <f>IFERROR(INDEX('02_SCHEDULE'!$K$5:$K$124,MATCH(AA567&amp;"|"&amp;AB567,'02_SCHEDULE'!$M$5:$M$124,0)),0)</f>
        <v>54</v>
      </c>
      <c r="AF567" s="51">
        <f>IFERROR(INDEX('02_SCHEDULE'!$L$5:$L$124,MATCH(AA567&amp;"|"&amp;AB567,'02_SCHEDULE'!$M$5:$M$124,0)),0)</f>
        <v>55</v>
      </c>
      <c r="AG567" s="51">
        <f t="shared" si="30"/>
        <v>1</v>
      </c>
    </row>
    <row r="568" spans="27:33" x14ac:dyDescent="0.3">
      <c r="AA568" s="51" t="str">
        <f>'Sites Master'!$B$11</f>
        <v>Site 10</v>
      </c>
      <c r="AB568" s="51" t="str">
        <f>'Phase-Resource Allocation'!$B$9</f>
        <v>Design Adaptation</v>
      </c>
      <c r="AC568" s="51" t="str">
        <f>'Phase-Resource Allocation'!$C$9</f>
        <v>Testing Lead</v>
      </c>
      <c r="AD568" s="60">
        <f>'Phase-Resource Allocation'!$D$9</f>
        <v>1</v>
      </c>
      <c r="AE568" s="51">
        <f>IFERROR(INDEX('02_SCHEDULE'!$K$5:$K$124,MATCH(AA568&amp;"|"&amp;AB568,'02_SCHEDULE'!$M$5:$M$124,0)),0)</f>
        <v>54</v>
      </c>
      <c r="AF568" s="51">
        <f>IFERROR(INDEX('02_SCHEDULE'!$L$5:$L$124,MATCH(AA568&amp;"|"&amp;AB568,'02_SCHEDULE'!$M$5:$M$124,0)),0)</f>
        <v>55</v>
      </c>
      <c r="AG568" s="51">
        <f t="shared" si="30"/>
        <v>2</v>
      </c>
    </row>
    <row r="569" spans="27:33" x14ac:dyDescent="0.3">
      <c r="AA569" s="51" t="str">
        <f>'Sites Master'!$B$11</f>
        <v>Site 10</v>
      </c>
      <c r="AB569" s="51" t="str">
        <f>'Phase-Resource Allocation'!$B$10</f>
        <v>Design Adaptation</v>
      </c>
      <c r="AC569" s="51" t="str">
        <f>'Phase-Resource Allocation'!$C$10</f>
        <v>Functional Lead</v>
      </c>
      <c r="AD569" s="60">
        <f>'Phase-Resource Allocation'!$D$10</f>
        <v>1</v>
      </c>
      <c r="AE569" s="51">
        <f>IFERROR(INDEX('02_SCHEDULE'!$K$5:$K$124,MATCH(AA569&amp;"|"&amp;AB569,'02_SCHEDULE'!$M$5:$M$124,0)),0)</f>
        <v>54</v>
      </c>
      <c r="AF569" s="51">
        <f>IFERROR(INDEX('02_SCHEDULE'!$L$5:$L$124,MATCH(AA569&amp;"|"&amp;AB569,'02_SCHEDULE'!$M$5:$M$124,0)),0)</f>
        <v>55</v>
      </c>
      <c r="AG569" s="51">
        <f t="shared" si="30"/>
        <v>2</v>
      </c>
    </row>
    <row r="570" spans="27:33" x14ac:dyDescent="0.3">
      <c r="AA570" s="51" t="str">
        <f>'Sites Master'!$B$11</f>
        <v>Site 10</v>
      </c>
      <c r="AB570" s="51" t="str">
        <f>'Phase-Resource Allocation'!$B$11</f>
        <v>Design Adaptation</v>
      </c>
      <c r="AC570" s="51" t="str">
        <f>'Phase-Resource Allocation'!$C$11</f>
        <v>Trainers</v>
      </c>
      <c r="AD570" s="60">
        <f>'Phase-Resource Allocation'!$D$11</f>
        <v>1</v>
      </c>
      <c r="AE570" s="51">
        <f>IFERROR(INDEX('02_SCHEDULE'!$K$5:$K$124,MATCH(AA570&amp;"|"&amp;AB570,'02_SCHEDULE'!$M$5:$M$124,0)),0)</f>
        <v>54</v>
      </c>
      <c r="AF570" s="51">
        <f>IFERROR(INDEX('02_SCHEDULE'!$L$5:$L$124,MATCH(AA570&amp;"|"&amp;AB570,'02_SCHEDULE'!$M$5:$M$124,0)),0)</f>
        <v>55</v>
      </c>
      <c r="AG570" s="51">
        <f t="shared" si="30"/>
        <v>2</v>
      </c>
    </row>
    <row r="571" spans="27:33" x14ac:dyDescent="0.3">
      <c r="AA571" s="51" t="str">
        <f>'Sites Master'!$B$11</f>
        <v>Site 10</v>
      </c>
      <c r="AB571" s="51" t="str">
        <f>'Phase-Resource Allocation'!$B$12</f>
        <v>Design Adaptation</v>
      </c>
      <c r="AC571" s="51" t="str">
        <f>'Phase-Resource Allocation'!$C$12</f>
        <v>Infrastructure Lead</v>
      </c>
      <c r="AD571" s="60">
        <f>'Phase-Resource Allocation'!$D$12</f>
        <v>1</v>
      </c>
      <c r="AE571" s="51">
        <f>IFERROR(INDEX('02_SCHEDULE'!$K$5:$K$124,MATCH(AA571&amp;"|"&amp;AB571,'02_SCHEDULE'!$M$5:$M$124,0)),0)</f>
        <v>54</v>
      </c>
      <c r="AF571" s="51">
        <f>IFERROR(INDEX('02_SCHEDULE'!$L$5:$L$124,MATCH(AA571&amp;"|"&amp;AB571,'02_SCHEDULE'!$M$5:$M$124,0)),0)</f>
        <v>55</v>
      </c>
      <c r="AG571" s="51">
        <f t="shared" si="30"/>
        <v>2</v>
      </c>
    </row>
    <row r="572" spans="27:33" x14ac:dyDescent="0.3">
      <c r="AA572" s="51" t="str">
        <f>'Sites Master'!$B$11</f>
        <v>Site 10</v>
      </c>
      <c r="AB572" s="51" t="str">
        <f>'Phase-Resource Allocation'!$B$13</f>
        <v>Design Adaptation</v>
      </c>
      <c r="AC572" s="51" t="str">
        <f>'Phase-Resource Allocation'!$C$13</f>
        <v>Functional Lead Vendor A</v>
      </c>
      <c r="AD572" s="60">
        <f>'Phase-Resource Allocation'!$D$13</f>
        <v>1</v>
      </c>
      <c r="AE572" s="51">
        <f>IFERROR(INDEX('02_SCHEDULE'!$K$5:$K$124,MATCH(AA572&amp;"|"&amp;AB572,'02_SCHEDULE'!$M$5:$M$124,0)),0)</f>
        <v>54</v>
      </c>
      <c r="AF572" s="51">
        <f>IFERROR(INDEX('02_SCHEDULE'!$L$5:$L$124,MATCH(AA572&amp;"|"&amp;AB572,'02_SCHEDULE'!$M$5:$M$124,0)),0)</f>
        <v>55</v>
      </c>
      <c r="AG572" s="51">
        <f t="shared" si="30"/>
        <v>2</v>
      </c>
    </row>
    <row r="573" spans="27:33" x14ac:dyDescent="0.3">
      <c r="AA573" s="51" t="str">
        <f>'Sites Master'!$B$11</f>
        <v>Site 10</v>
      </c>
      <c r="AB573" s="51" t="str">
        <f>'Phase-Resource Allocation'!$B$14</f>
        <v>Functional Review</v>
      </c>
      <c r="AC573" s="51" t="str">
        <f>'Phase-Resource Allocation'!$C$14</f>
        <v>Solution Architect</v>
      </c>
      <c r="AD573" s="60">
        <f>'Phase-Resource Allocation'!$D$14</f>
        <v>0.5</v>
      </c>
      <c r="AE573" s="51">
        <f>IFERROR(INDEX('02_SCHEDULE'!$K$5:$K$124,MATCH(AA573&amp;"|"&amp;AB573,'02_SCHEDULE'!$M$5:$M$124,0)),0)</f>
        <v>56</v>
      </c>
      <c r="AF573" s="51">
        <f>IFERROR(INDEX('02_SCHEDULE'!$L$5:$L$124,MATCH(AA573&amp;"|"&amp;AB573,'02_SCHEDULE'!$M$5:$M$124,0)),0)</f>
        <v>56</v>
      </c>
      <c r="AG573" s="51">
        <f t="shared" si="30"/>
        <v>0.5</v>
      </c>
    </row>
    <row r="574" spans="27:33" x14ac:dyDescent="0.3">
      <c r="AA574" s="51" t="str">
        <f>'Sites Master'!$B$11</f>
        <v>Site 10</v>
      </c>
      <c r="AB574" s="51" t="str">
        <f>'Phase-Resource Allocation'!$B$15</f>
        <v>Functional Review</v>
      </c>
      <c r="AC574" s="51" t="str">
        <f>'Phase-Resource Allocation'!$C$15</f>
        <v>Change Management Lead</v>
      </c>
      <c r="AD574" s="60">
        <f>'Phase-Resource Allocation'!$D$15</f>
        <v>1</v>
      </c>
      <c r="AE574" s="51">
        <f>IFERROR(INDEX('02_SCHEDULE'!$K$5:$K$124,MATCH(AA574&amp;"|"&amp;AB574,'02_SCHEDULE'!$M$5:$M$124,0)),0)</f>
        <v>56</v>
      </c>
      <c r="AF574" s="51">
        <f>IFERROR(INDEX('02_SCHEDULE'!$L$5:$L$124,MATCH(AA574&amp;"|"&amp;AB574,'02_SCHEDULE'!$M$5:$M$124,0)),0)</f>
        <v>56</v>
      </c>
      <c r="AG574" s="51">
        <f t="shared" si="30"/>
        <v>1</v>
      </c>
    </row>
    <row r="575" spans="27:33" x14ac:dyDescent="0.3">
      <c r="AA575" s="51" t="str">
        <f>'Sites Master'!$B$11</f>
        <v>Site 10</v>
      </c>
      <c r="AB575" s="51" t="str">
        <f>'Phase-Resource Allocation'!$B$16</f>
        <v>Functional Review</v>
      </c>
      <c r="AC575" s="51" t="str">
        <f>'Phase-Resource Allocation'!$C$16</f>
        <v>SAP Integrations Lead</v>
      </c>
      <c r="AD575" s="60">
        <f>'Phase-Resource Allocation'!$D$16</f>
        <v>0.5</v>
      </c>
      <c r="AE575" s="51">
        <f>IFERROR(INDEX('02_SCHEDULE'!$K$5:$K$124,MATCH(AA575&amp;"|"&amp;AB575,'02_SCHEDULE'!$M$5:$M$124,0)),0)</f>
        <v>56</v>
      </c>
      <c r="AF575" s="51">
        <f>IFERROR(INDEX('02_SCHEDULE'!$L$5:$L$124,MATCH(AA575&amp;"|"&amp;AB575,'02_SCHEDULE'!$M$5:$M$124,0)),0)</f>
        <v>56</v>
      </c>
      <c r="AG575" s="51">
        <f t="shared" si="30"/>
        <v>0.5</v>
      </c>
    </row>
    <row r="576" spans="27:33" x14ac:dyDescent="0.3">
      <c r="AA576" s="51" t="str">
        <f>'Sites Master'!$B$11</f>
        <v>Site 10</v>
      </c>
      <c r="AB576" s="51" t="str">
        <f>'Phase-Resource Allocation'!$B$17</f>
        <v>Functional Review</v>
      </c>
      <c r="AC576" s="51" t="str">
        <f>'Phase-Resource Allocation'!$C$17</f>
        <v>SAP Integrations Specialist</v>
      </c>
      <c r="AD576" s="60">
        <f>'Phase-Resource Allocation'!$D$17</f>
        <v>0.5</v>
      </c>
      <c r="AE576" s="51">
        <f>IFERROR(INDEX('02_SCHEDULE'!$K$5:$K$124,MATCH(AA576&amp;"|"&amp;AB576,'02_SCHEDULE'!$M$5:$M$124,0)),0)</f>
        <v>56</v>
      </c>
      <c r="AF576" s="51">
        <f>IFERROR(INDEX('02_SCHEDULE'!$L$5:$L$124,MATCH(AA576&amp;"|"&amp;AB576,'02_SCHEDULE'!$M$5:$M$124,0)),0)</f>
        <v>56</v>
      </c>
      <c r="AG576" s="51">
        <f t="shared" si="30"/>
        <v>0.5</v>
      </c>
    </row>
    <row r="577" spans="27:33" x14ac:dyDescent="0.3">
      <c r="AA577" s="51" t="str">
        <f>'Sites Master'!$B$11</f>
        <v>Site 10</v>
      </c>
      <c r="AB577" s="51" t="str">
        <f>'Phase-Resource Allocation'!$B$18</f>
        <v>Functional Review</v>
      </c>
      <c r="AC577" s="51" t="str">
        <f>'Phase-Resource Allocation'!$C$18</f>
        <v>Azure Lead</v>
      </c>
      <c r="AD577" s="60">
        <f>'Phase-Resource Allocation'!$D$18</f>
        <v>0.5</v>
      </c>
      <c r="AE577" s="51">
        <f>IFERROR(INDEX('02_SCHEDULE'!$K$5:$K$124,MATCH(AA577&amp;"|"&amp;AB577,'02_SCHEDULE'!$M$5:$M$124,0)),0)</f>
        <v>56</v>
      </c>
      <c r="AF577" s="51">
        <f>IFERROR(INDEX('02_SCHEDULE'!$L$5:$L$124,MATCH(AA577&amp;"|"&amp;AB577,'02_SCHEDULE'!$M$5:$M$124,0)),0)</f>
        <v>56</v>
      </c>
      <c r="AG577" s="51">
        <f t="shared" si="30"/>
        <v>0.5</v>
      </c>
    </row>
    <row r="578" spans="27:33" x14ac:dyDescent="0.3">
      <c r="AA578" s="51" t="str">
        <f>'Sites Master'!$B$11</f>
        <v>Site 10</v>
      </c>
      <c r="AB578" s="51" t="str">
        <f>'Phase-Resource Allocation'!$B$19</f>
        <v>Functional Review</v>
      </c>
      <c r="AC578" s="51" t="str">
        <f>'Phase-Resource Allocation'!$C$19</f>
        <v>Azure Specialist</v>
      </c>
      <c r="AD578" s="60">
        <f>'Phase-Resource Allocation'!$D$19</f>
        <v>0.5</v>
      </c>
      <c r="AE578" s="51">
        <f>IFERROR(INDEX('02_SCHEDULE'!$K$5:$K$124,MATCH(AA578&amp;"|"&amp;AB578,'02_SCHEDULE'!$M$5:$M$124,0)),0)</f>
        <v>56</v>
      </c>
      <c r="AF578" s="51">
        <f>IFERROR(INDEX('02_SCHEDULE'!$L$5:$L$124,MATCH(AA578&amp;"|"&amp;AB578,'02_SCHEDULE'!$M$5:$M$124,0)),0)</f>
        <v>56</v>
      </c>
      <c r="AG578" s="51">
        <f t="shared" si="30"/>
        <v>0.5</v>
      </c>
    </row>
    <row r="579" spans="27:33" x14ac:dyDescent="0.3">
      <c r="AA579" s="51" t="str">
        <f>'Sites Master'!$B$11</f>
        <v>Site 10</v>
      </c>
      <c r="AB579" s="51" t="str">
        <f>'Phase-Resource Allocation'!$B$20</f>
        <v>Functional Review</v>
      </c>
      <c r="AC579" s="51" t="str">
        <f>'Phase-Resource Allocation'!$C$20</f>
        <v>Testing Lead</v>
      </c>
      <c r="AD579" s="60">
        <f>'Phase-Resource Allocation'!$D$20</f>
        <v>0.5</v>
      </c>
      <c r="AE579" s="51">
        <f>IFERROR(INDEX('02_SCHEDULE'!$K$5:$K$124,MATCH(AA579&amp;"|"&amp;AB579,'02_SCHEDULE'!$M$5:$M$124,0)),0)</f>
        <v>56</v>
      </c>
      <c r="AF579" s="51">
        <f>IFERROR(INDEX('02_SCHEDULE'!$L$5:$L$124,MATCH(AA579&amp;"|"&amp;AB579,'02_SCHEDULE'!$M$5:$M$124,0)),0)</f>
        <v>56</v>
      </c>
      <c r="AG579" s="51">
        <f t="shared" ref="AG579:AG642" si="31">AD579*(AF579-AE579+1)</f>
        <v>0.5</v>
      </c>
    </row>
    <row r="580" spans="27:33" x14ac:dyDescent="0.3">
      <c r="AA580" s="51" t="str">
        <f>'Sites Master'!$B$11</f>
        <v>Site 10</v>
      </c>
      <c r="AB580" s="51" t="str">
        <f>'Phase-Resource Allocation'!$B$21</f>
        <v>Functional Review</v>
      </c>
      <c r="AC580" s="51" t="str">
        <f>'Phase-Resource Allocation'!$C$21</f>
        <v>Functional Lead</v>
      </c>
      <c r="AD580" s="60">
        <f>'Phase-Resource Allocation'!$D$21</f>
        <v>1</v>
      </c>
      <c r="AE580" s="51">
        <f>IFERROR(INDEX('02_SCHEDULE'!$K$5:$K$124,MATCH(AA580&amp;"|"&amp;AB580,'02_SCHEDULE'!$M$5:$M$124,0)),0)</f>
        <v>56</v>
      </c>
      <c r="AF580" s="51">
        <f>IFERROR(INDEX('02_SCHEDULE'!$L$5:$L$124,MATCH(AA580&amp;"|"&amp;AB580,'02_SCHEDULE'!$M$5:$M$124,0)),0)</f>
        <v>56</v>
      </c>
      <c r="AG580" s="51">
        <f t="shared" si="31"/>
        <v>1</v>
      </c>
    </row>
    <row r="581" spans="27:33" x14ac:dyDescent="0.3">
      <c r="AA581" s="51" t="str">
        <f>'Sites Master'!$B$11</f>
        <v>Site 10</v>
      </c>
      <c r="AB581" s="51" t="str">
        <f>'Phase-Resource Allocation'!$B$22</f>
        <v>Functional Review</v>
      </c>
      <c r="AC581" s="51" t="str">
        <f>'Phase-Resource Allocation'!$C$22</f>
        <v>Trainers</v>
      </c>
      <c r="AD581" s="60">
        <f>'Phase-Resource Allocation'!$D$22</f>
        <v>1</v>
      </c>
      <c r="AE581" s="51">
        <f>IFERROR(INDEX('02_SCHEDULE'!$K$5:$K$124,MATCH(AA581&amp;"|"&amp;AB581,'02_SCHEDULE'!$M$5:$M$124,0)),0)</f>
        <v>56</v>
      </c>
      <c r="AF581" s="51">
        <f>IFERROR(INDEX('02_SCHEDULE'!$L$5:$L$124,MATCH(AA581&amp;"|"&amp;AB581,'02_SCHEDULE'!$M$5:$M$124,0)),0)</f>
        <v>56</v>
      </c>
      <c r="AG581" s="51">
        <f t="shared" si="31"/>
        <v>1</v>
      </c>
    </row>
    <row r="582" spans="27:33" x14ac:dyDescent="0.3">
      <c r="AA582" s="51" t="str">
        <f>'Sites Master'!$B$11</f>
        <v>Site 10</v>
      </c>
      <c r="AB582" s="51" t="str">
        <f>'Phase-Resource Allocation'!$B$23</f>
        <v>UAT</v>
      </c>
      <c r="AC582" s="51" t="str">
        <f>'Phase-Resource Allocation'!$C$23</f>
        <v>Solution Architect</v>
      </c>
      <c r="AD582" s="60">
        <f>'Phase-Resource Allocation'!$D$23</f>
        <v>0.5</v>
      </c>
      <c r="AE582" s="51">
        <f>IFERROR(INDEX('02_SCHEDULE'!$K$5:$K$124,MATCH(AA582&amp;"|"&amp;AB582,'02_SCHEDULE'!$M$5:$M$124,0)),0)</f>
        <v>57</v>
      </c>
      <c r="AF582" s="51">
        <f>IFERROR(INDEX('02_SCHEDULE'!$L$5:$L$124,MATCH(AA582&amp;"|"&amp;AB582,'02_SCHEDULE'!$M$5:$M$124,0)),0)</f>
        <v>58</v>
      </c>
      <c r="AG582" s="51">
        <f t="shared" si="31"/>
        <v>1</v>
      </c>
    </row>
    <row r="583" spans="27:33" x14ac:dyDescent="0.3">
      <c r="AA583" s="51" t="str">
        <f>'Sites Master'!$B$11</f>
        <v>Site 10</v>
      </c>
      <c r="AB583" s="51" t="str">
        <f>'Phase-Resource Allocation'!$B$24</f>
        <v>UAT</v>
      </c>
      <c r="AC583" s="51" t="str">
        <f>'Phase-Resource Allocation'!$C$24</f>
        <v>Change Management Lead</v>
      </c>
      <c r="AD583" s="60">
        <f>'Phase-Resource Allocation'!$D$24</f>
        <v>1</v>
      </c>
      <c r="AE583" s="51">
        <f>IFERROR(INDEX('02_SCHEDULE'!$K$5:$K$124,MATCH(AA583&amp;"|"&amp;AB583,'02_SCHEDULE'!$M$5:$M$124,0)),0)</f>
        <v>57</v>
      </c>
      <c r="AF583" s="51">
        <f>IFERROR(INDEX('02_SCHEDULE'!$L$5:$L$124,MATCH(AA583&amp;"|"&amp;AB583,'02_SCHEDULE'!$M$5:$M$124,0)),0)</f>
        <v>58</v>
      </c>
      <c r="AG583" s="51">
        <f t="shared" si="31"/>
        <v>2</v>
      </c>
    </row>
    <row r="584" spans="27:33" x14ac:dyDescent="0.3">
      <c r="AA584" s="51" t="str">
        <f>'Sites Master'!$B$11</f>
        <v>Site 10</v>
      </c>
      <c r="AB584" s="51" t="str">
        <f>'Phase-Resource Allocation'!$B$25</f>
        <v>UAT</v>
      </c>
      <c r="AC584" s="51" t="str">
        <f>'Phase-Resource Allocation'!$C$25</f>
        <v>SAP Integrations Lead</v>
      </c>
      <c r="AD584" s="60">
        <f>'Phase-Resource Allocation'!$D$25</f>
        <v>0.5</v>
      </c>
      <c r="AE584" s="51">
        <f>IFERROR(INDEX('02_SCHEDULE'!$K$5:$K$124,MATCH(AA584&amp;"|"&amp;AB584,'02_SCHEDULE'!$M$5:$M$124,0)),0)</f>
        <v>57</v>
      </c>
      <c r="AF584" s="51">
        <f>IFERROR(INDEX('02_SCHEDULE'!$L$5:$L$124,MATCH(AA584&amp;"|"&amp;AB584,'02_SCHEDULE'!$M$5:$M$124,0)),0)</f>
        <v>58</v>
      </c>
      <c r="AG584" s="51">
        <f t="shared" si="31"/>
        <v>1</v>
      </c>
    </row>
    <row r="585" spans="27:33" x14ac:dyDescent="0.3">
      <c r="AA585" s="51" t="str">
        <f>'Sites Master'!$B$11</f>
        <v>Site 10</v>
      </c>
      <c r="AB585" s="51" t="str">
        <f>'Phase-Resource Allocation'!$B$26</f>
        <v>UAT</v>
      </c>
      <c r="AC585" s="51" t="str">
        <f>'Phase-Resource Allocation'!$C$26</f>
        <v>SAP Integrations Specialist</v>
      </c>
      <c r="AD585" s="60">
        <f>'Phase-Resource Allocation'!$D$26</f>
        <v>0.5</v>
      </c>
      <c r="AE585" s="51">
        <f>IFERROR(INDEX('02_SCHEDULE'!$K$5:$K$124,MATCH(AA585&amp;"|"&amp;AB585,'02_SCHEDULE'!$M$5:$M$124,0)),0)</f>
        <v>57</v>
      </c>
      <c r="AF585" s="51">
        <f>IFERROR(INDEX('02_SCHEDULE'!$L$5:$L$124,MATCH(AA585&amp;"|"&amp;AB585,'02_SCHEDULE'!$M$5:$M$124,0)),0)</f>
        <v>58</v>
      </c>
      <c r="AG585" s="51">
        <f t="shared" si="31"/>
        <v>1</v>
      </c>
    </row>
    <row r="586" spans="27:33" x14ac:dyDescent="0.3">
      <c r="AA586" s="51" t="str">
        <f>'Sites Master'!$B$11</f>
        <v>Site 10</v>
      </c>
      <c r="AB586" s="51" t="str">
        <f>'Phase-Resource Allocation'!$B$27</f>
        <v>UAT</v>
      </c>
      <c r="AC586" s="51" t="str">
        <f>'Phase-Resource Allocation'!$C$27</f>
        <v>Azure Lead</v>
      </c>
      <c r="AD586" s="60">
        <f>'Phase-Resource Allocation'!$D$27</f>
        <v>0.5</v>
      </c>
      <c r="AE586" s="51">
        <f>IFERROR(INDEX('02_SCHEDULE'!$K$5:$K$124,MATCH(AA586&amp;"|"&amp;AB586,'02_SCHEDULE'!$M$5:$M$124,0)),0)</f>
        <v>57</v>
      </c>
      <c r="AF586" s="51">
        <f>IFERROR(INDEX('02_SCHEDULE'!$L$5:$L$124,MATCH(AA586&amp;"|"&amp;AB586,'02_SCHEDULE'!$M$5:$M$124,0)),0)</f>
        <v>58</v>
      </c>
      <c r="AG586" s="51">
        <f t="shared" si="31"/>
        <v>1</v>
      </c>
    </row>
    <row r="587" spans="27:33" x14ac:dyDescent="0.3">
      <c r="AA587" s="51" t="str">
        <f>'Sites Master'!$B$11</f>
        <v>Site 10</v>
      </c>
      <c r="AB587" s="51" t="str">
        <f>'Phase-Resource Allocation'!$B$28</f>
        <v>UAT</v>
      </c>
      <c r="AC587" s="51" t="str">
        <f>'Phase-Resource Allocation'!$C$28</f>
        <v>Azure Specialist</v>
      </c>
      <c r="AD587" s="60">
        <f>'Phase-Resource Allocation'!$D$28</f>
        <v>0.5</v>
      </c>
      <c r="AE587" s="51">
        <f>IFERROR(INDEX('02_SCHEDULE'!$K$5:$K$124,MATCH(AA587&amp;"|"&amp;AB587,'02_SCHEDULE'!$M$5:$M$124,0)),0)</f>
        <v>57</v>
      </c>
      <c r="AF587" s="51">
        <f>IFERROR(INDEX('02_SCHEDULE'!$L$5:$L$124,MATCH(AA587&amp;"|"&amp;AB587,'02_SCHEDULE'!$M$5:$M$124,0)),0)</f>
        <v>58</v>
      </c>
      <c r="AG587" s="51">
        <f t="shared" si="31"/>
        <v>1</v>
      </c>
    </row>
    <row r="588" spans="27:33" x14ac:dyDescent="0.3">
      <c r="AA588" s="51" t="str">
        <f>'Sites Master'!$B$11</f>
        <v>Site 10</v>
      </c>
      <c r="AB588" s="51" t="str">
        <f>'Phase-Resource Allocation'!$B$29</f>
        <v>UAT</v>
      </c>
      <c r="AC588" s="51" t="str">
        <f>'Phase-Resource Allocation'!$C$29</f>
        <v>Testing Lead</v>
      </c>
      <c r="AD588" s="60">
        <f>'Phase-Resource Allocation'!$D$29</f>
        <v>0.5</v>
      </c>
      <c r="AE588" s="51">
        <f>IFERROR(INDEX('02_SCHEDULE'!$K$5:$K$124,MATCH(AA588&amp;"|"&amp;AB588,'02_SCHEDULE'!$M$5:$M$124,0)),0)</f>
        <v>57</v>
      </c>
      <c r="AF588" s="51">
        <f>IFERROR(INDEX('02_SCHEDULE'!$L$5:$L$124,MATCH(AA588&amp;"|"&amp;AB588,'02_SCHEDULE'!$M$5:$M$124,0)),0)</f>
        <v>58</v>
      </c>
      <c r="AG588" s="51">
        <f t="shared" si="31"/>
        <v>1</v>
      </c>
    </row>
    <row r="589" spans="27:33" x14ac:dyDescent="0.3">
      <c r="AA589" s="51" t="str">
        <f>'Sites Master'!$B$11</f>
        <v>Site 10</v>
      </c>
      <c r="AB589" s="51" t="str">
        <f>'Phase-Resource Allocation'!$B$30</f>
        <v>UAT</v>
      </c>
      <c r="AC589" s="51" t="str">
        <f>'Phase-Resource Allocation'!$C$30</f>
        <v>Functional Lead</v>
      </c>
      <c r="AD589" s="60">
        <f>'Phase-Resource Allocation'!$D$30</f>
        <v>1</v>
      </c>
      <c r="AE589" s="51">
        <f>IFERROR(INDEX('02_SCHEDULE'!$K$5:$K$124,MATCH(AA589&amp;"|"&amp;AB589,'02_SCHEDULE'!$M$5:$M$124,0)),0)</f>
        <v>57</v>
      </c>
      <c r="AF589" s="51">
        <f>IFERROR(INDEX('02_SCHEDULE'!$L$5:$L$124,MATCH(AA589&amp;"|"&amp;AB589,'02_SCHEDULE'!$M$5:$M$124,0)),0)</f>
        <v>58</v>
      </c>
      <c r="AG589" s="51">
        <f t="shared" si="31"/>
        <v>2</v>
      </c>
    </row>
    <row r="590" spans="27:33" x14ac:dyDescent="0.3">
      <c r="AA590" s="51" t="str">
        <f>'Sites Master'!$B$11</f>
        <v>Site 10</v>
      </c>
      <c r="AB590" s="51" t="str">
        <f>'Phase-Resource Allocation'!$B$31</f>
        <v>UAT</v>
      </c>
      <c r="AC590" s="51" t="str">
        <f>'Phase-Resource Allocation'!$C$31</f>
        <v>Trainers</v>
      </c>
      <c r="AD590" s="60">
        <f>'Phase-Resource Allocation'!$D$31</f>
        <v>1</v>
      </c>
      <c r="AE590" s="51">
        <f>IFERROR(INDEX('02_SCHEDULE'!$K$5:$K$124,MATCH(AA590&amp;"|"&amp;AB590,'02_SCHEDULE'!$M$5:$M$124,0)),0)</f>
        <v>57</v>
      </c>
      <c r="AF590" s="51">
        <f>IFERROR(INDEX('02_SCHEDULE'!$L$5:$L$124,MATCH(AA590&amp;"|"&amp;AB590,'02_SCHEDULE'!$M$5:$M$124,0)),0)</f>
        <v>58</v>
      </c>
      <c r="AG590" s="51">
        <f t="shared" si="31"/>
        <v>2</v>
      </c>
    </row>
    <row r="591" spans="27:33" x14ac:dyDescent="0.3">
      <c r="AA591" s="51" t="str">
        <f>'Sites Master'!$B$11</f>
        <v>Site 10</v>
      </c>
      <c r="AB591" s="51" t="str">
        <f>'Phase-Resource Allocation'!$B$32</f>
        <v>Training</v>
      </c>
      <c r="AC591" s="51" t="str">
        <f>'Phase-Resource Allocation'!$C$32</f>
        <v>Change Management Lead</v>
      </c>
      <c r="AD591" s="60">
        <f>'Phase-Resource Allocation'!$D$32</f>
        <v>1</v>
      </c>
      <c r="AE591" s="51">
        <f>IFERROR(INDEX('02_SCHEDULE'!$K$5:$K$124,MATCH(AA591&amp;"|"&amp;AB591,'02_SCHEDULE'!$M$5:$M$124,0)),0)</f>
        <v>59</v>
      </c>
      <c r="AF591" s="51">
        <f>IFERROR(INDEX('02_SCHEDULE'!$L$5:$L$124,MATCH(AA591&amp;"|"&amp;AB591,'02_SCHEDULE'!$M$5:$M$124,0)),0)</f>
        <v>61</v>
      </c>
      <c r="AG591" s="51">
        <f t="shared" si="31"/>
        <v>3</v>
      </c>
    </row>
    <row r="592" spans="27:33" x14ac:dyDescent="0.3">
      <c r="AA592" s="51" t="str">
        <f>'Sites Master'!$B$11</f>
        <v>Site 10</v>
      </c>
      <c r="AB592" s="51" t="str">
        <f>'Phase-Resource Allocation'!$B$33</f>
        <v>Training</v>
      </c>
      <c r="AC592" s="51" t="str">
        <f>'Phase-Resource Allocation'!$C$33</f>
        <v>Trainers</v>
      </c>
      <c r="AD592" s="60">
        <f>'Phase-Resource Allocation'!$D$33</f>
        <v>1</v>
      </c>
      <c r="AE592" s="51">
        <f>IFERROR(INDEX('02_SCHEDULE'!$K$5:$K$124,MATCH(AA592&amp;"|"&amp;AB592,'02_SCHEDULE'!$M$5:$M$124,0)),0)</f>
        <v>59</v>
      </c>
      <c r="AF592" s="51">
        <f>IFERROR(INDEX('02_SCHEDULE'!$L$5:$L$124,MATCH(AA592&amp;"|"&amp;AB592,'02_SCHEDULE'!$M$5:$M$124,0)),0)</f>
        <v>61</v>
      </c>
      <c r="AG592" s="51">
        <f t="shared" si="31"/>
        <v>3</v>
      </c>
    </row>
    <row r="593" spans="27:33" x14ac:dyDescent="0.3">
      <c r="AA593" s="51" t="str">
        <f>'Sites Master'!$B$11</f>
        <v>Site 10</v>
      </c>
      <c r="AB593" s="51" t="str">
        <f>'Phase-Resource Allocation'!$B$34</f>
        <v>DIALT</v>
      </c>
      <c r="AC593" s="51" t="str">
        <f>'Phase-Resource Allocation'!$C$34</f>
        <v>Solution Architect</v>
      </c>
      <c r="AD593" s="60">
        <f>'Phase-Resource Allocation'!$D$34</f>
        <v>0.5</v>
      </c>
      <c r="AE593" s="51">
        <f>IFERROR(INDEX('02_SCHEDULE'!$K$5:$K$124,MATCH(AA593&amp;"|"&amp;AB593,'02_SCHEDULE'!$M$5:$M$124,0)),0)</f>
        <v>62</v>
      </c>
      <c r="AF593" s="51">
        <f>IFERROR(INDEX('02_SCHEDULE'!$L$5:$L$124,MATCH(AA593&amp;"|"&amp;AB593,'02_SCHEDULE'!$M$5:$M$124,0)),0)</f>
        <v>62</v>
      </c>
      <c r="AG593" s="51">
        <f t="shared" si="31"/>
        <v>0.5</v>
      </c>
    </row>
    <row r="594" spans="27:33" x14ac:dyDescent="0.3">
      <c r="AA594" s="51" t="str">
        <f>'Sites Master'!$B$11</f>
        <v>Site 10</v>
      </c>
      <c r="AB594" s="51" t="str">
        <f>'Phase-Resource Allocation'!$B$35</f>
        <v>DIALT</v>
      </c>
      <c r="AC594" s="51" t="str">
        <f>'Phase-Resource Allocation'!$C$35</f>
        <v>Change Management Lead</v>
      </c>
      <c r="AD594" s="60">
        <f>'Phase-Resource Allocation'!$D$35</f>
        <v>1</v>
      </c>
      <c r="AE594" s="51">
        <f>IFERROR(INDEX('02_SCHEDULE'!$K$5:$K$124,MATCH(AA594&amp;"|"&amp;AB594,'02_SCHEDULE'!$M$5:$M$124,0)),0)</f>
        <v>62</v>
      </c>
      <c r="AF594" s="51">
        <f>IFERROR(INDEX('02_SCHEDULE'!$L$5:$L$124,MATCH(AA594&amp;"|"&amp;AB594,'02_SCHEDULE'!$M$5:$M$124,0)),0)</f>
        <v>62</v>
      </c>
      <c r="AG594" s="51">
        <f t="shared" si="31"/>
        <v>1</v>
      </c>
    </row>
    <row r="595" spans="27:33" x14ac:dyDescent="0.3">
      <c r="AA595" s="51" t="str">
        <f>'Sites Master'!$B$11</f>
        <v>Site 10</v>
      </c>
      <c r="AB595" s="51" t="str">
        <f>'Phase-Resource Allocation'!$B$36</f>
        <v>DIALT</v>
      </c>
      <c r="AC595" s="51" t="str">
        <f>'Phase-Resource Allocation'!$C$36</f>
        <v>Azure Lead</v>
      </c>
      <c r="AD595" s="60">
        <f>'Phase-Resource Allocation'!$D$36</f>
        <v>0.75</v>
      </c>
      <c r="AE595" s="51">
        <f>IFERROR(INDEX('02_SCHEDULE'!$K$5:$K$124,MATCH(AA595&amp;"|"&amp;AB595,'02_SCHEDULE'!$M$5:$M$124,0)),0)</f>
        <v>62</v>
      </c>
      <c r="AF595" s="51">
        <f>IFERROR(INDEX('02_SCHEDULE'!$L$5:$L$124,MATCH(AA595&amp;"|"&amp;AB595,'02_SCHEDULE'!$M$5:$M$124,0)),0)</f>
        <v>62</v>
      </c>
      <c r="AG595" s="51">
        <f t="shared" si="31"/>
        <v>0.75</v>
      </c>
    </row>
    <row r="596" spans="27:33" x14ac:dyDescent="0.3">
      <c r="AA596" s="51" t="str">
        <f>'Sites Master'!$B$11</f>
        <v>Site 10</v>
      </c>
      <c r="AB596" s="51" t="str">
        <f>'Phase-Resource Allocation'!$B$37</f>
        <v>DIALT</v>
      </c>
      <c r="AC596" s="51" t="str">
        <f>'Phase-Resource Allocation'!$C$37</f>
        <v>Azure Specialist</v>
      </c>
      <c r="AD596" s="60">
        <f>'Phase-Resource Allocation'!$D$37</f>
        <v>0.75</v>
      </c>
      <c r="AE596" s="51">
        <f>IFERROR(INDEX('02_SCHEDULE'!$K$5:$K$124,MATCH(AA596&amp;"|"&amp;AB596,'02_SCHEDULE'!$M$5:$M$124,0)),0)</f>
        <v>62</v>
      </c>
      <c r="AF596" s="51">
        <f>IFERROR(INDEX('02_SCHEDULE'!$L$5:$L$124,MATCH(AA596&amp;"|"&amp;AB596,'02_SCHEDULE'!$M$5:$M$124,0)),0)</f>
        <v>62</v>
      </c>
      <c r="AG596" s="51">
        <f t="shared" si="31"/>
        <v>0.75</v>
      </c>
    </row>
    <row r="597" spans="27:33" x14ac:dyDescent="0.3">
      <c r="AA597" s="51" t="str">
        <f>'Sites Master'!$B$11</f>
        <v>Site 10</v>
      </c>
      <c r="AB597" s="51" t="str">
        <f>'Phase-Resource Allocation'!$B$38</f>
        <v>DIALT</v>
      </c>
      <c r="AC597" s="51" t="str">
        <f>'Phase-Resource Allocation'!$C$38</f>
        <v>Functional Lead</v>
      </c>
      <c r="AD597" s="60">
        <f>'Phase-Resource Allocation'!$D$38</f>
        <v>1</v>
      </c>
      <c r="AE597" s="51">
        <f>IFERROR(INDEX('02_SCHEDULE'!$K$5:$K$124,MATCH(AA597&amp;"|"&amp;AB597,'02_SCHEDULE'!$M$5:$M$124,0)),0)</f>
        <v>62</v>
      </c>
      <c r="AF597" s="51">
        <f>IFERROR(INDEX('02_SCHEDULE'!$L$5:$L$124,MATCH(AA597&amp;"|"&amp;AB597,'02_SCHEDULE'!$M$5:$M$124,0)),0)</f>
        <v>62</v>
      </c>
      <c r="AG597" s="51">
        <f t="shared" si="31"/>
        <v>1</v>
      </c>
    </row>
    <row r="598" spans="27:33" x14ac:dyDescent="0.3">
      <c r="AA598" s="51" t="str">
        <f>'Sites Master'!$B$11</f>
        <v>Site 10</v>
      </c>
      <c r="AB598" s="51" t="str">
        <f>'Phase-Resource Allocation'!$B$39</f>
        <v>DIALT</v>
      </c>
      <c r="AC598" s="51" t="str">
        <f>'Phase-Resource Allocation'!$C$39</f>
        <v>Trainers</v>
      </c>
      <c r="AD598" s="60">
        <f>'Phase-Resource Allocation'!$D$39</f>
        <v>1</v>
      </c>
      <c r="AE598" s="51">
        <f>IFERROR(INDEX('02_SCHEDULE'!$K$5:$K$124,MATCH(AA598&amp;"|"&amp;AB598,'02_SCHEDULE'!$M$5:$M$124,0)),0)</f>
        <v>62</v>
      </c>
      <c r="AF598" s="51">
        <f>IFERROR(INDEX('02_SCHEDULE'!$L$5:$L$124,MATCH(AA598&amp;"|"&amp;AB598,'02_SCHEDULE'!$M$5:$M$124,0)),0)</f>
        <v>62</v>
      </c>
      <c r="AG598" s="51">
        <f t="shared" si="31"/>
        <v>1</v>
      </c>
    </row>
    <row r="599" spans="27:33" x14ac:dyDescent="0.3">
      <c r="AA599" s="51" t="str">
        <f>'Sites Master'!$B$11</f>
        <v>Site 10</v>
      </c>
      <c r="AB599" s="51" t="str">
        <f>'Phase-Resource Allocation'!$B$40</f>
        <v>DIALT</v>
      </c>
      <c r="AC599" s="51" t="str">
        <f>'Phase-Resource Allocation'!$C$40</f>
        <v>Functional Lead Vendor A</v>
      </c>
      <c r="AD599" s="60">
        <f>'Phase-Resource Allocation'!$D$40</f>
        <v>1</v>
      </c>
      <c r="AE599" s="51">
        <f>IFERROR(INDEX('02_SCHEDULE'!$K$5:$K$124,MATCH(AA599&amp;"|"&amp;AB599,'02_SCHEDULE'!$M$5:$M$124,0)),0)</f>
        <v>62</v>
      </c>
      <c r="AF599" s="51">
        <f>IFERROR(INDEX('02_SCHEDULE'!$L$5:$L$124,MATCH(AA599&amp;"|"&amp;AB599,'02_SCHEDULE'!$M$5:$M$124,0)),0)</f>
        <v>62</v>
      </c>
      <c r="AG599" s="51">
        <f t="shared" si="31"/>
        <v>1</v>
      </c>
    </row>
    <row r="600" spans="27:33" x14ac:dyDescent="0.3">
      <c r="AA600" s="51" t="str">
        <f>'Sites Master'!$B$11</f>
        <v>Site 10</v>
      </c>
      <c r="AB600" s="51" t="str">
        <f>'Phase-Resource Allocation'!$B$41</f>
        <v>Go Live</v>
      </c>
      <c r="AC600" s="51" t="str">
        <f>'Phase-Resource Allocation'!$C$41</f>
        <v>Solution Architect</v>
      </c>
      <c r="AD600" s="60">
        <f>'Phase-Resource Allocation'!$D$41</f>
        <v>1</v>
      </c>
      <c r="AE600" s="51">
        <f>IFERROR(INDEX('02_SCHEDULE'!$K$5:$K$124,MATCH(AA600&amp;"|"&amp;AB600,'02_SCHEDULE'!$M$5:$M$124,0)),0)</f>
        <v>63</v>
      </c>
      <c r="AF600" s="51">
        <f>IFERROR(INDEX('02_SCHEDULE'!$L$5:$L$124,MATCH(AA600&amp;"|"&amp;AB600,'02_SCHEDULE'!$M$5:$M$124,0)),0)</f>
        <v>63</v>
      </c>
      <c r="AG600" s="51">
        <f t="shared" si="31"/>
        <v>1</v>
      </c>
    </row>
    <row r="601" spans="27:33" x14ac:dyDescent="0.3">
      <c r="AA601" s="51" t="str">
        <f>'Sites Master'!$B$11</f>
        <v>Site 10</v>
      </c>
      <c r="AB601" s="51" t="str">
        <f>'Phase-Resource Allocation'!$B$42</f>
        <v>Go Live</v>
      </c>
      <c r="AC601" s="51" t="str">
        <f>'Phase-Resource Allocation'!$C$42</f>
        <v>Change Management Lead</v>
      </c>
      <c r="AD601" s="60">
        <f>'Phase-Resource Allocation'!$D$42</f>
        <v>1</v>
      </c>
      <c r="AE601" s="51">
        <f>IFERROR(INDEX('02_SCHEDULE'!$K$5:$K$124,MATCH(AA601&amp;"|"&amp;AB601,'02_SCHEDULE'!$M$5:$M$124,0)),0)</f>
        <v>63</v>
      </c>
      <c r="AF601" s="51">
        <f>IFERROR(INDEX('02_SCHEDULE'!$L$5:$L$124,MATCH(AA601&amp;"|"&amp;AB601,'02_SCHEDULE'!$M$5:$M$124,0)),0)</f>
        <v>63</v>
      </c>
      <c r="AG601" s="51">
        <f t="shared" si="31"/>
        <v>1</v>
      </c>
    </row>
    <row r="602" spans="27:33" x14ac:dyDescent="0.3">
      <c r="AA602" s="51" t="str">
        <f>'Sites Master'!$B$11</f>
        <v>Site 10</v>
      </c>
      <c r="AB602" s="51" t="str">
        <f>'Phase-Resource Allocation'!$B$43</f>
        <v>Go Live</v>
      </c>
      <c r="AC602" s="51" t="str">
        <f>'Phase-Resource Allocation'!$C$43</f>
        <v>SAP Integrations Lead</v>
      </c>
      <c r="AD602" s="60">
        <f>'Phase-Resource Allocation'!$D$43</f>
        <v>1</v>
      </c>
      <c r="AE602" s="51">
        <f>IFERROR(INDEX('02_SCHEDULE'!$K$5:$K$124,MATCH(AA602&amp;"|"&amp;AB602,'02_SCHEDULE'!$M$5:$M$124,0)),0)</f>
        <v>63</v>
      </c>
      <c r="AF602" s="51">
        <f>IFERROR(INDEX('02_SCHEDULE'!$L$5:$L$124,MATCH(AA602&amp;"|"&amp;AB602,'02_SCHEDULE'!$M$5:$M$124,0)),0)</f>
        <v>63</v>
      </c>
      <c r="AG602" s="51">
        <f t="shared" si="31"/>
        <v>1</v>
      </c>
    </row>
    <row r="603" spans="27:33" x14ac:dyDescent="0.3">
      <c r="AA603" s="51" t="str">
        <f>'Sites Master'!$B$11</f>
        <v>Site 10</v>
      </c>
      <c r="AB603" s="51" t="str">
        <f>'Phase-Resource Allocation'!$B$44</f>
        <v>Go Live</v>
      </c>
      <c r="AC603" s="51" t="str">
        <f>'Phase-Resource Allocation'!$C$44</f>
        <v>SAP Integrations Specialist</v>
      </c>
      <c r="AD603" s="60">
        <f>'Phase-Resource Allocation'!$D$44</f>
        <v>1</v>
      </c>
      <c r="AE603" s="51">
        <f>IFERROR(INDEX('02_SCHEDULE'!$K$5:$K$124,MATCH(AA603&amp;"|"&amp;AB603,'02_SCHEDULE'!$M$5:$M$124,0)),0)</f>
        <v>63</v>
      </c>
      <c r="AF603" s="51">
        <f>IFERROR(INDEX('02_SCHEDULE'!$L$5:$L$124,MATCH(AA603&amp;"|"&amp;AB603,'02_SCHEDULE'!$M$5:$M$124,0)),0)</f>
        <v>63</v>
      </c>
      <c r="AG603" s="51">
        <f t="shared" si="31"/>
        <v>1</v>
      </c>
    </row>
    <row r="604" spans="27:33" x14ac:dyDescent="0.3">
      <c r="AA604" s="51" t="str">
        <f>'Sites Master'!$B$11</f>
        <v>Site 10</v>
      </c>
      <c r="AB604" s="51" t="str">
        <f>'Phase-Resource Allocation'!$B$45</f>
        <v>Go Live</v>
      </c>
      <c r="AC604" s="51" t="str">
        <f>'Phase-Resource Allocation'!$C$45</f>
        <v>Azure Lead</v>
      </c>
      <c r="AD604" s="60">
        <f>'Phase-Resource Allocation'!$D$45</f>
        <v>1</v>
      </c>
      <c r="AE604" s="51">
        <f>IFERROR(INDEX('02_SCHEDULE'!$K$5:$K$124,MATCH(AA604&amp;"|"&amp;AB604,'02_SCHEDULE'!$M$5:$M$124,0)),0)</f>
        <v>63</v>
      </c>
      <c r="AF604" s="51">
        <f>IFERROR(INDEX('02_SCHEDULE'!$L$5:$L$124,MATCH(AA604&amp;"|"&amp;AB604,'02_SCHEDULE'!$M$5:$M$124,0)),0)</f>
        <v>63</v>
      </c>
      <c r="AG604" s="51">
        <f t="shared" si="31"/>
        <v>1</v>
      </c>
    </row>
    <row r="605" spans="27:33" x14ac:dyDescent="0.3">
      <c r="AA605" s="51" t="str">
        <f>'Sites Master'!$B$11</f>
        <v>Site 10</v>
      </c>
      <c r="AB605" s="51" t="str">
        <f>'Phase-Resource Allocation'!$B$46</f>
        <v>Go Live</v>
      </c>
      <c r="AC605" s="51" t="str">
        <f>'Phase-Resource Allocation'!$C$46</f>
        <v>Azure Specialist</v>
      </c>
      <c r="AD605" s="60">
        <f>'Phase-Resource Allocation'!$D$46</f>
        <v>1</v>
      </c>
      <c r="AE605" s="51">
        <f>IFERROR(INDEX('02_SCHEDULE'!$K$5:$K$124,MATCH(AA605&amp;"|"&amp;AB605,'02_SCHEDULE'!$M$5:$M$124,0)),0)</f>
        <v>63</v>
      </c>
      <c r="AF605" s="51">
        <f>IFERROR(INDEX('02_SCHEDULE'!$L$5:$L$124,MATCH(AA605&amp;"|"&amp;AB605,'02_SCHEDULE'!$M$5:$M$124,0)),0)</f>
        <v>63</v>
      </c>
      <c r="AG605" s="51">
        <f t="shared" si="31"/>
        <v>1</v>
      </c>
    </row>
    <row r="606" spans="27:33" x14ac:dyDescent="0.3">
      <c r="AA606" s="51" t="str">
        <f>'Sites Master'!$B$11</f>
        <v>Site 10</v>
      </c>
      <c r="AB606" s="51" t="str">
        <f>'Phase-Resource Allocation'!$B$47</f>
        <v>Go Live</v>
      </c>
      <c r="AC606" s="51" t="str">
        <f>'Phase-Resource Allocation'!$C$47</f>
        <v>Functional Lead</v>
      </c>
      <c r="AD606" s="60">
        <f>'Phase-Resource Allocation'!$D$47</f>
        <v>1</v>
      </c>
      <c r="AE606" s="51">
        <f>IFERROR(INDEX('02_SCHEDULE'!$K$5:$K$124,MATCH(AA606&amp;"|"&amp;AB606,'02_SCHEDULE'!$M$5:$M$124,0)),0)</f>
        <v>63</v>
      </c>
      <c r="AF606" s="51">
        <f>IFERROR(INDEX('02_SCHEDULE'!$L$5:$L$124,MATCH(AA606&amp;"|"&amp;AB606,'02_SCHEDULE'!$M$5:$M$124,0)),0)</f>
        <v>63</v>
      </c>
      <c r="AG606" s="51">
        <f t="shared" si="31"/>
        <v>1</v>
      </c>
    </row>
    <row r="607" spans="27:33" x14ac:dyDescent="0.3">
      <c r="AA607" s="51" t="str">
        <f>'Sites Master'!$B$11</f>
        <v>Site 10</v>
      </c>
      <c r="AB607" s="51" t="str">
        <f>'Phase-Resource Allocation'!$B$48</f>
        <v>Go Live</v>
      </c>
      <c r="AC607" s="51" t="str">
        <f>'Phase-Resource Allocation'!$C$48</f>
        <v>Trainers</v>
      </c>
      <c r="AD607" s="60">
        <f>'Phase-Resource Allocation'!$D$48</f>
        <v>1</v>
      </c>
      <c r="AE607" s="51">
        <f>IFERROR(INDEX('02_SCHEDULE'!$K$5:$K$124,MATCH(AA607&amp;"|"&amp;AB607,'02_SCHEDULE'!$M$5:$M$124,0)),0)</f>
        <v>63</v>
      </c>
      <c r="AF607" s="51">
        <f>IFERROR(INDEX('02_SCHEDULE'!$L$5:$L$124,MATCH(AA607&amp;"|"&amp;AB607,'02_SCHEDULE'!$M$5:$M$124,0)),0)</f>
        <v>63</v>
      </c>
      <c r="AG607" s="51">
        <f t="shared" si="31"/>
        <v>1</v>
      </c>
    </row>
    <row r="608" spans="27:33" x14ac:dyDescent="0.3">
      <c r="AA608" s="51" t="str">
        <f>'Sites Master'!$B$11</f>
        <v>Site 10</v>
      </c>
      <c r="AB608" s="51" t="str">
        <f>'Phase-Resource Allocation'!$B$49</f>
        <v>Go Live</v>
      </c>
      <c r="AC608" s="51" t="str">
        <f>'Phase-Resource Allocation'!$C$49</f>
        <v>Infrastructure Lead</v>
      </c>
      <c r="AD608" s="60">
        <f>'Phase-Resource Allocation'!$D$49</f>
        <v>1</v>
      </c>
      <c r="AE608" s="51">
        <f>IFERROR(INDEX('02_SCHEDULE'!$K$5:$K$124,MATCH(AA608&amp;"|"&amp;AB608,'02_SCHEDULE'!$M$5:$M$124,0)),0)</f>
        <v>63</v>
      </c>
      <c r="AF608" s="51">
        <f>IFERROR(INDEX('02_SCHEDULE'!$L$5:$L$124,MATCH(AA608&amp;"|"&amp;AB608,'02_SCHEDULE'!$M$5:$M$124,0)),0)</f>
        <v>63</v>
      </c>
      <c r="AG608" s="51">
        <f t="shared" si="31"/>
        <v>1</v>
      </c>
    </row>
    <row r="609" spans="27:33" x14ac:dyDescent="0.3">
      <c r="AA609" s="51" t="str">
        <f>'Sites Master'!$B$11</f>
        <v>Site 10</v>
      </c>
      <c r="AB609" s="51" t="str">
        <f>'Phase-Resource Allocation'!$B$50</f>
        <v>Go Live</v>
      </c>
      <c r="AC609" s="51" t="str">
        <f>'Phase-Resource Allocation'!$C$50</f>
        <v>Functional Lead Vendor A</v>
      </c>
      <c r="AD609" s="60">
        <f>'Phase-Resource Allocation'!$D$50</f>
        <v>1</v>
      </c>
      <c r="AE609" s="51">
        <f>IFERROR(INDEX('02_SCHEDULE'!$K$5:$K$124,MATCH(AA609&amp;"|"&amp;AB609,'02_SCHEDULE'!$M$5:$M$124,0)),0)</f>
        <v>63</v>
      </c>
      <c r="AF609" s="51">
        <f>IFERROR(INDEX('02_SCHEDULE'!$L$5:$L$124,MATCH(AA609&amp;"|"&amp;AB609,'02_SCHEDULE'!$M$5:$M$124,0)),0)</f>
        <v>63</v>
      </c>
      <c r="AG609" s="51">
        <f t="shared" si="31"/>
        <v>1</v>
      </c>
    </row>
    <row r="610" spans="27:33" x14ac:dyDescent="0.3">
      <c r="AA610" s="51" t="str">
        <f>'Sites Master'!$B$11</f>
        <v>Site 10</v>
      </c>
      <c r="AB610" s="51" t="str">
        <f>'Phase-Resource Allocation'!$B$51</f>
        <v>Hypercare</v>
      </c>
      <c r="AC610" s="51" t="str">
        <f>'Phase-Resource Allocation'!$C$51</f>
        <v>Solution Architect</v>
      </c>
      <c r="AD610" s="60">
        <f>'Phase-Resource Allocation'!$D$51</f>
        <v>0.5</v>
      </c>
      <c r="AE610" s="51">
        <f>IFERROR(INDEX('02_SCHEDULE'!$K$5:$K$124,MATCH(AA610&amp;"|"&amp;AB610,'02_SCHEDULE'!$M$5:$M$124,0)),0)</f>
        <v>64</v>
      </c>
      <c r="AF610" s="51">
        <f>IFERROR(INDEX('02_SCHEDULE'!$L$5:$L$124,MATCH(AA610&amp;"|"&amp;AB610,'02_SCHEDULE'!$M$5:$M$124,0)),0)</f>
        <v>67</v>
      </c>
      <c r="AG610" s="51">
        <f t="shared" si="31"/>
        <v>2</v>
      </c>
    </row>
    <row r="611" spans="27:33" x14ac:dyDescent="0.3">
      <c r="AA611" s="51" t="str">
        <f>'Sites Master'!$B$11</f>
        <v>Site 10</v>
      </c>
      <c r="AB611" s="51" t="str">
        <f>'Phase-Resource Allocation'!$B$52</f>
        <v>Hypercare</v>
      </c>
      <c r="AC611" s="51" t="str">
        <f>'Phase-Resource Allocation'!$C$52</f>
        <v>Change Management Lead</v>
      </c>
      <c r="AD611" s="60">
        <f>'Phase-Resource Allocation'!$D$52</f>
        <v>1</v>
      </c>
      <c r="AE611" s="51">
        <f>IFERROR(INDEX('02_SCHEDULE'!$K$5:$K$124,MATCH(AA611&amp;"|"&amp;AB611,'02_SCHEDULE'!$M$5:$M$124,0)),0)</f>
        <v>64</v>
      </c>
      <c r="AF611" s="51">
        <f>IFERROR(INDEX('02_SCHEDULE'!$L$5:$L$124,MATCH(AA611&amp;"|"&amp;AB611,'02_SCHEDULE'!$M$5:$M$124,0)),0)</f>
        <v>67</v>
      </c>
      <c r="AG611" s="51">
        <f t="shared" si="31"/>
        <v>4</v>
      </c>
    </row>
    <row r="612" spans="27:33" x14ac:dyDescent="0.3">
      <c r="AA612" s="51" t="str">
        <f>'Sites Master'!$B$11</f>
        <v>Site 10</v>
      </c>
      <c r="AB612" s="51" t="str">
        <f>'Phase-Resource Allocation'!$B$53</f>
        <v>Hypercare</v>
      </c>
      <c r="AC612" s="51" t="str">
        <f>'Phase-Resource Allocation'!$C$53</f>
        <v>SAP Integrations Lead</v>
      </c>
      <c r="AD612" s="60">
        <f>'Phase-Resource Allocation'!$D$53</f>
        <v>0.5</v>
      </c>
      <c r="AE612" s="51">
        <f>IFERROR(INDEX('02_SCHEDULE'!$K$5:$K$124,MATCH(AA612&amp;"|"&amp;AB612,'02_SCHEDULE'!$M$5:$M$124,0)),0)</f>
        <v>64</v>
      </c>
      <c r="AF612" s="51">
        <f>IFERROR(INDEX('02_SCHEDULE'!$L$5:$L$124,MATCH(AA612&amp;"|"&amp;AB612,'02_SCHEDULE'!$M$5:$M$124,0)),0)</f>
        <v>67</v>
      </c>
      <c r="AG612" s="51">
        <f t="shared" si="31"/>
        <v>2</v>
      </c>
    </row>
    <row r="613" spans="27:33" x14ac:dyDescent="0.3">
      <c r="AA613" s="51" t="str">
        <f>'Sites Master'!$B$11</f>
        <v>Site 10</v>
      </c>
      <c r="AB613" s="51" t="str">
        <f>'Phase-Resource Allocation'!$B$54</f>
        <v>Hypercare</v>
      </c>
      <c r="AC613" s="51" t="str">
        <f>'Phase-Resource Allocation'!$C$54</f>
        <v>SAP Integrations Specialist</v>
      </c>
      <c r="AD613" s="60">
        <f>'Phase-Resource Allocation'!$D$54</f>
        <v>0.5</v>
      </c>
      <c r="AE613" s="51">
        <f>IFERROR(INDEX('02_SCHEDULE'!$K$5:$K$124,MATCH(AA613&amp;"|"&amp;AB613,'02_SCHEDULE'!$M$5:$M$124,0)),0)</f>
        <v>64</v>
      </c>
      <c r="AF613" s="51">
        <f>IFERROR(INDEX('02_SCHEDULE'!$L$5:$L$124,MATCH(AA613&amp;"|"&amp;AB613,'02_SCHEDULE'!$M$5:$M$124,0)),0)</f>
        <v>67</v>
      </c>
      <c r="AG613" s="51">
        <f t="shared" si="31"/>
        <v>2</v>
      </c>
    </row>
    <row r="614" spans="27:33" x14ac:dyDescent="0.3">
      <c r="AA614" s="51" t="str">
        <f>'Sites Master'!$B$11</f>
        <v>Site 10</v>
      </c>
      <c r="AB614" s="51" t="str">
        <f>'Phase-Resource Allocation'!$B$55</f>
        <v>Hypercare</v>
      </c>
      <c r="AC614" s="51" t="str">
        <f>'Phase-Resource Allocation'!$C$55</f>
        <v>Azure Lead</v>
      </c>
      <c r="AD614" s="60">
        <f>'Phase-Resource Allocation'!$D$55</f>
        <v>0.5</v>
      </c>
      <c r="AE614" s="51">
        <f>IFERROR(INDEX('02_SCHEDULE'!$K$5:$K$124,MATCH(AA614&amp;"|"&amp;AB614,'02_SCHEDULE'!$M$5:$M$124,0)),0)</f>
        <v>64</v>
      </c>
      <c r="AF614" s="51">
        <f>IFERROR(INDEX('02_SCHEDULE'!$L$5:$L$124,MATCH(AA614&amp;"|"&amp;AB614,'02_SCHEDULE'!$M$5:$M$124,0)),0)</f>
        <v>67</v>
      </c>
      <c r="AG614" s="51">
        <f t="shared" si="31"/>
        <v>2</v>
      </c>
    </row>
    <row r="615" spans="27:33" x14ac:dyDescent="0.3">
      <c r="AA615" s="51" t="str">
        <f>'Sites Master'!$B$11</f>
        <v>Site 10</v>
      </c>
      <c r="AB615" s="51" t="str">
        <f>'Phase-Resource Allocation'!$B$56</f>
        <v>Hypercare</v>
      </c>
      <c r="AC615" s="51" t="str">
        <f>'Phase-Resource Allocation'!$C$56</f>
        <v>Azure Specialist</v>
      </c>
      <c r="AD615" s="60">
        <f>'Phase-Resource Allocation'!$D$56</f>
        <v>0.5</v>
      </c>
      <c r="AE615" s="51">
        <f>IFERROR(INDEX('02_SCHEDULE'!$K$5:$K$124,MATCH(AA615&amp;"|"&amp;AB615,'02_SCHEDULE'!$M$5:$M$124,0)),0)</f>
        <v>64</v>
      </c>
      <c r="AF615" s="51">
        <f>IFERROR(INDEX('02_SCHEDULE'!$L$5:$L$124,MATCH(AA615&amp;"|"&amp;AB615,'02_SCHEDULE'!$M$5:$M$124,0)),0)</f>
        <v>67</v>
      </c>
      <c r="AG615" s="51">
        <f t="shared" si="31"/>
        <v>2</v>
      </c>
    </row>
    <row r="616" spans="27:33" x14ac:dyDescent="0.3">
      <c r="AA616" s="51" t="str">
        <f>'Sites Master'!$B$11</f>
        <v>Site 10</v>
      </c>
      <c r="AB616" s="51" t="str">
        <f>'Phase-Resource Allocation'!$B$57</f>
        <v>Hypercare</v>
      </c>
      <c r="AC616" s="51" t="str">
        <f>'Phase-Resource Allocation'!$C$57</f>
        <v>Functional Lead</v>
      </c>
      <c r="AD616" s="60">
        <f>'Phase-Resource Allocation'!$D$57</f>
        <v>1</v>
      </c>
      <c r="AE616" s="51">
        <f>IFERROR(INDEX('02_SCHEDULE'!$K$5:$K$124,MATCH(AA616&amp;"|"&amp;AB616,'02_SCHEDULE'!$M$5:$M$124,0)),0)</f>
        <v>64</v>
      </c>
      <c r="AF616" s="51">
        <f>IFERROR(INDEX('02_SCHEDULE'!$L$5:$L$124,MATCH(AA616&amp;"|"&amp;AB616,'02_SCHEDULE'!$M$5:$M$124,0)),0)</f>
        <v>67</v>
      </c>
      <c r="AG616" s="51">
        <f t="shared" si="31"/>
        <v>4</v>
      </c>
    </row>
    <row r="617" spans="27:33" x14ac:dyDescent="0.3">
      <c r="AA617" s="51" t="str">
        <f>'Sites Master'!$B$11</f>
        <v>Site 10</v>
      </c>
      <c r="AB617" s="51" t="str">
        <f>'Phase-Resource Allocation'!$B$58</f>
        <v>Hypercare</v>
      </c>
      <c r="AC617" s="51" t="str">
        <f>'Phase-Resource Allocation'!$C$58</f>
        <v>Functional Lead</v>
      </c>
      <c r="AD617" s="60">
        <f>'Phase-Resource Allocation'!$D$58</f>
        <v>1</v>
      </c>
      <c r="AE617" s="51">
        <f>IFERROR(INDEX('02_SCHEDULE'!$K$5:$K$124,MATCH(AA617&amp;"|"&amp;AB617,'02_SCHEDULE'!$M$5:$M$124,0)),0)</f>
        <v>64</v>
      </c>
      <c r="AF617" s="51">
        <f>IFERROR(INDEX('02_SCHEDULE'!$L$5:$L$124,MATCH(AA617&amp;"|"&amp;AB617,'02_SCHEDULE'!$M$5:$M$124,0)),0)</f>
        <v>67</v>
      </c>
      <c r="AG617" s="51">
        <f t="shared" si="31"/>
        <v>4</v>
      </c>
    </row>
    <row r="618" spans="27:33" x14ac:dyDescent="0.3">
      <c r="AA618" s="51" t="str">
        <f>'Sites Master'!$B$11</f>
        <v>Site 10</v>
      </c>
      <c r="AB618" s="51" t="str">
        <f>'Phase-Resource Allocation'!$B$59</f>
        <v>Hypercare</v>
      </c>
      <c r="AC618" s="51" t="str">
        <f>'Phase-Resource Allocation'!$C$59</f>
        <v>Trainers</v>
      </c>
      <c r="AD618" s="60">
        <f>'Phase-Resource Allocation'!$D$59</f>
        <v>1</v>
      </c>
      <c r="AE618" s="51">
        <f>IFERROR(INDEX('02_SCHEDULE'!$K$5:$K$124,MATCH(AA618&amp;"|"&amp;AB618,'02_SCHEDULE'!$M$5:$M$124,0)),0)</f>
        <v>64</v>
      </c>
      <c r="AF618" s="51">
        <f>IFERROR(INDEX('02_SCHEDULE'!$L$5:$L$124,MATCH(AA618&amp;"|"&amp;AB618,'02_SCHEDULE'!$M$5:$M$124,0)),0)</f>
        <v>67</v>
      </c>
      <c r="AG618" s="51">
        <f t="shared" si="31"/>
        <v>4</v>
      </c>
    </row>
    <row r="619" spans="27:33" x14ac:dyDescent="0.3">
      <c r="AA619" s="51" t="str">
        <f>'Sites Master'!$B$11</f>
        <v>Site 10</v>
      </c>
      <c r="AB619" s="51" t="str">
        <f>'Phase-Resource Allocation'!$B$60</f>
        <v>Hypercare</v>
      </c>
      <c r="AC619" s="51" t="str">
        <f>'Phase-Resource Allocation'!$C$60</f>
        <v>Trainers</v>
      </c>
      <c r="AD619" s="60">
        <f>'Phase-Resource Allocation'!$D$60</f>
        <v>1</v>
      </c>
      <c r="AE619" s="51">
        <f>IFERROR(INDEX('02_SCHEDULE'!$K$5:$K$124,MATCH(AA619&amp;"|"&amp;AB619,'02_SCHEDULE'!$M$5:$M$124,0)),0)</f>
        <v>64</v>
      </c>
      <c r="AF619" s="51">
        <f>IFERROR(INDEX('02_SCHEDULE'!$L$5:$L$124,MATCH(AA619&amp;"|"&amp;AB619,'02_SCHEDULE'!$M$5:$M$124,0)),0)</f>
        <v>67</v>
      </c>
      <c r="AG619" s="51">
        <f t="shared" si="31"/>
        <v>4</v>
      </c>
    </row>
    <row r="620" spans="27:33" x14ac:dyDescent="0.3">
      <c r="AA620" s="51" t="str">
        <f>'Sites Master'!$B$11</f>
        <v>Site 10</v>
      </c>
      <c r="AB620" s="51" t="str">
        <f>'Phase-Resource Allocation'!$B$61</f>
        <v>Hypercare</v>
      </c>
      <c r="AC620" s="51" t="str">
        <f>'Phase-Resource Allocation'!$C$61</f>
        <v>Trainers</v>
      </c>
      <c r="AD620" s="60">
        <f>'Phase-Resource Allocation'!$D$61</f>
        <v>1</v>
      </c>
      <c r="AE620" s="51">
        <f>IFERROR(INDEX('02_SCHEDULE'!$K$5:$K$124,MATCH(AA620&amp;"|"&amp;AB620,'02_SCHEDULE'!$M$5:$M$124,0)),0)</f>
        <v>64</v>
      </c>
      <c r="AF620" s="51">
        <f>IFERROR(INDEX('02_SCHEDULE'!$L$5:$L$124,MATCH(AA620&amp;"|"&amp;AB620,'02_SCHEDULE'!$M$5:$M$124,0)),0)</f>
        <v>67</v>
      </c>
      <c r="AG620" s="51">
        <f t="shared" si="31"/>
        <v>4</v>
      </c>
    </row>
    <row r="621" spans="27:33" x14ac:dyDescent="0.3">
      <c r="AA621" s="51" t="str">
        <f>'Sites Master'!$B$11</f>
        <v>Site 10</v>
      </c>
      <c r="AB621" s="51" t="str">
        <f>'Phase-Resource Allocation'!$B$62</f>
        <v>Hypercare</v>
      </c>
      <c r="AC621" s="51" t="str">
        <f>'Phase-Resource Allocation'!$C$62</f>
        <v>Infrastructure Lead</v>
      </c>
      <c r="AD621" s="60">
        <f>'Phase-Resource Allocation'!$D$62</f>
        <v>1</v>
      </c>
      <c r="AE621" s="51">
        <f>IFERROR(INDEX('02_SCHEDULE'!$K$5:$K$124,MATCH(AA621&amp;"|"&amp;AB621,'02_SCHEDULE'!$M$5:$M$124,0)),0)</f>
        <v>64</v>
      </c>
      <c r="AF621" s="51">
        <f>IFERROR(INDEX('02_SCHEDULE'!$L$5:$L$124,MATCH(AA621&amp;"|"&amp;AB621,'02_SCHEDULE'!$M$5:$M$124,0)),0)</f>
        <v>67</v>
      </c>
      <c r="AG621" s="51">
        <f t="shared" si="31"/>
        <v>4</v>
      </c>
    </row>
    <row r="622" spans="27:33" x14ac:dyDescent="0.3">
      <c r="AA622" s="51" t="str">
        <f>'Sites Master'!$B$11</f>
        <v>Site 10</v>
      </c>
      <c r="AB622" s="51" t="str">
        <f>'Phase-Resource Allocation'!$B$63</f>
        <v>Hypercare</v>
      </c>
      <c r="AC622" s="51" t="str">
        <f>'Phase-Resource Allocation'!$C$63</f>
        <v>Functional Lead Vendor A</v>
      </c>
      <c r="AD622" s="60">
        <f>'Phase-Resource Allocation'!$D$63</f>
        <v>0.5</v>
      </c>
      <c r="AE622" s="51">
        <f>IFERROR(INDEX('02_SCHEDULE'!$K$5:$K$124,MATCH(AA622&amp;"|"&amp;AB622,'02_SCHEDULE'!$M$5:$M$124,0)),0)</f>
        <v>64</v>
      </c>
      <c r="AF622" s="51">
        <f>IFERROR(INDEX('02_SCHEDULE'!$L$5:$L$124,MATCH(AA622&amp;"|"&amp;AB622,'02_SCHEDULE'!$M$5:$M$124,0)),0)</f>
        <v>67</v>
      </c>
      <c r="AG622" s="51">
        <f t="shared" si="31"/>
        <v>2</v>
      </c>
    </row>
    <row r="623" spans="27:33" x14ac:dyDescent="0.3">
      <c r="AA623" s="51" t="str">
        <f>'Sites Master'!$B$12</f>
        <v>Site 11</v>
      </c>
      <c r="AB623" s="51" t="str">
        <f>'Phase-Resource Allocation'!$B$126</f>
        <v>Site Readiness</v>
      </c>
      <c r="AC623" s="51" t="str">
        <f>'Phase-Resource Allocation'!$C$126</f>
        <v>Infrastructure Lead</v>
      </c>
      <c r="AD623" s="60">
        <f>'Phase-Resource Allocation'!$D$126</f>
        <v>1</v>
      </c>
      <c r="AE623" s="51">
        <f>IFERROR(INDEX('02_SCHEDULE'!$K$5:$K$124,MATCH(AA623&amp;"|"&amp;AB623,'02_SCHEDULE'!$M$5:$M$124,0)),0)</f>
        <v>51</v>
      </c>
      <c r="AF623" s="51">
        <f>IFERROR(INDEX('02_SCHEDULE'!$L$5:$L$124,MATCH(AA623&amp;"|"&amp;AB623,'02_SCHEDULE'!$M$5:$M$124,0)),0)</f>
        <v>54</v>
      </c>
      <c r="AG623" s="51">
        <f t="shared" si="31"/>
        <v>4</v>
      </c>
    </row>
    <row r="624" spans="27:33" x14ac:dyDescent="0.3">
      <c r="AA624" s="51" t="str">
        <f>'Sites Master'!$B$12</f>
        <v>Site 11</v>
      </c>
      <c r="AB624" s="51" t="str">
        <f>'Phase-Resource Allocation'!$B$127</f>
        <v>Site Readiness</v>
      </c>
      <c r="AC624" s="51" t="str">
        <f>'Phase-Resource Allocation'!$C$127</f>
        <v>SAP Integrations Lead</v>
      </c>
      <c r="AD624" s="60">
        <f>'Phase-Resource Allocation'!$D$127</f>
        <v>0.5</v>
      </c>
      <c r="AE624" s="51">
        <f>IFERROR(INDEX('02_SCHEDULE'!$K$5:$K$124,MATCH(AA624&amp;"|"&amp;AB624,'02_SCHEDULE'!$M$5:$M$124,0)),0)</f>
        <v>51</v>
      </c>
      <c r="AF624" s="51">
        <f>IFERROR(INDEX('02_SCHEDULE'!$L$5:$L$124,MATCH(AA624&amp;"|"&amp;AB624,'02_SCHEDULE'!$M$5:$M$124,0)),0)</f>
        <v>54</v>
      </c>
      <c r="AG624" s="51">
        <f t="shared" si="31"/>
        <v>2</v>
      </c>
    </row>
    <row r="625" spans="27:33" x14ac:dyDescent="0.3">
      <c r="AA625" s="51" t="str">
        <f>'Sites Master'!$B$12</f>
        <v>Site 11</v>
      </c>
      <c r="AB625" s="51" t="str">
        <f>'Phase-Resource Allocation'!$B$128</f>
        <v>Design Adaptation</v>
      </c>
      <c r="AC625" s="51" t="str">
        <f>'Phase-Resource Allocation'!$C$128</f>
        <v>Solution Architect</v>
      </c>
      <c r="AD625" s="60">
        <f>'Phase-Resource Allocation'!$D$128</f>
        <v>1</v>
      </c>
      <c r="AE625" s="51">
        <f>IFERROR(INDEX('02_SCHEDULE'!$K$5:$K$124,MATCH(AA625&amp;"|"&amp;AB625,'02_SCHEDULE'!$M$5:$M$124,0)),0)</f>
        <v>55</v>
      </c>
      <c r="AF625" s="51">
        <f>IFERROR(INDEX('02_SCHEDULE'!$L$5:$L$124,MATCH(AA625&amp;"|"&amp;AB625,'02_SCHEDULE'!$M$5:$M$124,0)),0)</f>
        <v>55</v>
      </c>
      <c r="AG625" s="51">
        <f t="shared" si="31"/>
        <v>1</v>
      </c>
    </row>
    <row r="626" spans="27:33" x14ac:dyDescent="0.3">
      <c r="AA626" s="51" t="str">
        <f>'Sites Master'!$B$12</f>
        <v>Site 11</v>
      </c>
      <c r="AB626" s="51" t="str">
        <f>'Phase-Resource Allocation'!$B$129</f>
        <v>Design Adaptation</v>
      </c>
      <c r="AC626" s="51" t="str">
        <f>'Phase-Resource Allocation'!$C$129</f>
        <v>SAP Integrations Lead</v>
      </c>
      <c r="AD626" s="60">
        <f>'Phase-Resource Allocation'!$D$129</f>
        <v>0.5</v>
      </c>
      <c r="AE626" s="51">
        <f>IFERROR(INDEX('02_SCHEDULE'!$K$5:$K$124,MATCH(AA626&amp;"|"&amp;AB626,'02_SCHEDULE'!$M$5:$M$124,0)),0)</f>
        <v>55</v>
      </c>
      <c r="AF626" s="51">
        <f>IFERROR(INDEX('02_SCHEDULE'!$L$5:$L$124,MATCH(AA626&amp;"|"&amp;AB626,'02_SCHEDULE'!$M$5:$M$124,0)),0)</f>
        <v>55</v>
      </c>
      <c r="AG626" s="51">
        <f t="shared" si="31"/>
        <v>0.5</v>
      </c>
    </row>
    <row r="627" spans="27:33" x14ac:dyDescent="0.3">
      <c r="AA627" s="51" t="str">
        <f>'Sites Master'!$B$12</f>
        <v>Site 11</v>
      </c>
      <c r="AB627" s="51" t="str">
        <f>'Phase-Resource Allocation'!$B$130</f>
        <v>Design Adaptation</v>
      </c>
      <c r="AC627" s="51" t="str">
        <f>'Phase-Resource Allocation'!$C$130</f>
        <v>SAP Integrations Specialist</v>
      </c>
      <c r="AD627" s="60">
        <f>'Phase-Resource Allocation'!$D$130</f>
        <v>0.5</v>
      </c>
      <c r="AE627" s="51">
        <f>IFERROR(INDEX('02_SCHEDULE'!$K$5:$K$124,MATCH(AA627&amp;"|"&amp;AB627,'02_SCHEDULE'!$M$5:$M$124,0)),0)</f>
        <v>55</v>
      </c>
      <c r="AF627" s="51">
        <f>IFERROR(INDEX('02_SCHEDULE'!$L$5:$L$124,MATCH(AA627&amp;"|"&amp;AB627,'02_SCHEDULE'!$M$5:$M$124,0)),0)</f>
        <v>55</v>
      </c>
      <c r="AG627" s="51">
        <f t="shared" si="31"/>
        <v>0.5</v>
      </c>
    </row>
    <row r="628" spans="27:33" x14ac:dyDescent="0.3">
      <c r="AA628" s="51" t="str">
        <f>'Sites Master'!$B$12</f>
        <v>Site 11</v>
      </c>
      <c r="AB628" s="51" t="str">
        <f>'Phase-Resource Allocation'!$B$131</f>
        <v>Design Adaptation</v>
      </c>
      <c r="AC628" s="51" t="str">
        <f>'Phase-Resource Allocation'!$C$131</f>
        <v>Azure Lead</v>
      </c>
      <c r="AD628" s="60">
        <f>'Phase-Resource Allocation'!$D$131</f>
        <v>0.5</v>
      </c>
      <c r="AE628" s="51">
        <f>IFERROR(INDEX('02_SCHEDULE'!$K$5:$K$124,MATCH(AA628&amp;"|"&amp;AB628,'02_SCHEDULE'!$M$5:$M$124,0)),0)</f>
        <v>55</v>
      </c>
      <c r="AF628" s="51">
        <f>IFERROR(INDEX('02_SCHEDULE'!$L$5:$L$124,MATCH(AA628&amp;"|"&amp;AB628,'02_SCHEDULE'!$M$5:$M$124,0)),0)</f>
        <v>55</v>
      </c>
      <c r="AG628" s="51">
        <f t="shared" si="31"/>
        <v>0.5</v>
      </c>
    </row>
    <row r="629" spans="27:33" x14ac:dyDescent="0.3">
      <c r="AA629" s="51" t="str">
        <f>'Sites Master'!$B$12</f>
        <v>Site 11</v>
      </c>
      <c r="AB629" s="51" t="str">
        <f>'Phase-Resource Allocation'!$B$132</f>
        <v>Design Adaptation</v>
      </c>
      <c r="AC629" s="51" t="str">
        <f>'Phase-Resource Allocation'!$C$132</f>
        <v>Azure Specialist</v>
      </c>
      <c r="AD629" s="60">
        <f>'Phase-Resource Allocation'!$D$132</f>
        <v>0.5</v>
      </c>
      <c r="AE629" s="51">
        <f>IFERROR(INDEX('02_SCHEDULE'!$K$5:$K$124,MATCH(AA629&amp;"|"&amp;AB629,'02_SCHEDULE'!$M$5:$M$124,0)),0)</f>
        <v>55</v>
      </c>
      <c r="AF629" s="51">
        <f>IFERROR(INDEX('02_SCHEDULE'!$L$5:$L$124,MATCH(AA629&amp;"|"&amp;AB629,'02_SCHEDULE'!$M$5:$M$124,0)),0)</f>
        <v>55</v>
      </c>
      <c r="AG629" s="51">
        <f t="shared" si="31"/>
        <v>0.5</v>
      </c>
    </row>
    <row r="630" spans="27:33" x14ac:dyDescent="0.3">
      <c r="AA630" s="51" t="str">
        <f>'Sites Master'!$B$12</f>
        <v>Site 11</v>
      </c>
      <c r="AB630" s="51" t="str">
        <f>'Phase-Resource Allocation'!$B$133</f>
        <v>Design Adaptation</v>
      </c>
      <c r="AC630" s="51" t="str">
        <f>'Phase-Resource Allocation'!$C$133</f>
        <v>Testing Lead</v>
      </c>
      <c r="AD630" s="60">
        <f>'Phase-Resource Allocation'!$D$133</f>
        <v>1</v>
      </c>
      <c r="AE630" s="51">
        <f>IFERROR(INDEX('02_SCHEDULE'!$K$5:$K$124,MATCH(AA630&amp;"|"&amp;AB630,'02_SCHEDULE'!$M$5:$M$124,0)),0)</f>
        <v>55</v>
      </c>
      <c r="AF630" s="51">
        <f>IFERROR(INDEX('02_SCHEDULE'!$L$5:$L$124,MATCH(AA630&amp;"|"&amp;AB630,'02_SCHEDULE'!$M$5:$M$124,0)),0)</f>
        <v>55</v>
      </c>
      <c r="AG630" s="51">
        <f t="shared" si="31"/>
        <v>1</v>
      </c>
    </row>
    <row r="631" spans="27:33" x14ac:dyDescent="0.3">
      <c r="AA631" s="51" t="str">
        <f>'Sites Master'!$B$12</f>
        <v>Site 11</v>
      </c>
      <c r="AB631" s="51" t="str">
        <f>'Phase-Resource Allocation'!$B$134</f>
        <v>Design Adaptation</v>
      </c>
      <c r="AC631" s="51" t="str">
        <f>'Phase-Resource Allocation'!$C$134</f>
        <v>Functional Lead</v>
      </c>
      <c r="AD631" s="60">
        <f>'Phase-Resource Allocation'!$D$134</f>
        <v>1</v>
      </c>
      <c r="AE631" s="51">
        <f>IFERROR(INDEX('02_SCHEDULE'!$K$5:$K$124,MATCH(AA631&amp;"|"&amp;AB631,'02_SCHEDULE'!$M$5:$M$124,0)),0)</f>
        <v>55</v>
      </c>
      <c r="AF631" s="51">
        <f>IFERROR(INDEX('02_SCHEDULE'!$L$5:$L$124,MATCH(AA631&amp;"|"&amp;AB631,'02_SCHEDULE'!$M$5:$M$124,0)),0)</f>
        <v>55</v>
      </c>
      <c r="AG631" s="51">
        <f t="shared" si="31"/>
        <v>1</v>
      </c>
    </row>
    <row r="632" spans="27:33" x14ac:dyDescent="0.3">
      <c r="AA632" s="51" t="str">
        <f>'Sites Master'!$B$12</f>
        <v>Site 11</v>
      </c>
      <c r="AB632" s="51" t="str">
        <f>'Phase-Resource Allocation'!$B$135</f>
        <v>Design Adaptation</v>
      </c>
      <c r="AC632" s="51" t="str">
        <f>'Phase-Resource Allocation'!$C$135</f>
        <v>Trainers</v>
      </c>
      <c r="AD632" s="60">
        <f>'Phase-Resource Allocation'!$D$135</f>
        <v>1</v>
      </c>
      <c r="AE632" s="51">
        <f>IFERROR(INDEX('02_SCHEDULE'!$K$5:$K$124,MATCH(AA632&amp;"|"&amp;AB632,'02_SCHEDULE'!$M$5:$M$124,0)),0)</f>
        <v>55</v>
      </c>
      <c r="AF632" s="51">
        <f>IFERROR(INDEX('02_SCHEDULE'!$L$5:$L$124,MATCH(AA632&amp;"|"&amp;AB632,'02_SCHEDULE'!$M$5:$M$124,0)),0)</f>
        <v>55</v>
      </c>
      <c r="AG632" s="51">
        <f t="shared" si="31"/>
        <v>1</v>
      </c>
    </row>
    <row r="633" spans="27:33" x14ac:dyDescent="0.3">
      <c r="AA633" s="51" t="str">
        <f>'Sites Master'!$B$12</f>
        <v>Site 11</v>
      </c>
      <c r="AB633" s="51" t="str">
        <f>'Phase-Resource Allocation'!$B$136</f>
        <v>Design Adaptation</v>
      </c>
      <c r="AC633" s="51" t="str">
        <f>'Phase-Resource Allocation'!$C$136</f>
        <v>Infrastructure Lead</v>
      </c>
      <c r="AD633" s="60">
        <f>'Phase-Resource Allocation'!$D$136</f>
        <v>1</v>
      </c>
      <c r="AE633" s="51">
        <f>IFERROR(INDEX('02_SCHEDULE'!$K$5:$K$124,MATCH(AA633&amp;"|"&amp;AB633,'02_SCHEDULE'!$M$5:$M$124,0)),0)</f>
        <v>55</v>
      </c>
      <c r="AF633" s="51">
        <f>IFERROR(INDEX('02_SCHEDULE'!$L$5:$L$124,MATCH(AA633&amp;"|"&amp;AB633,'02_SCHEDULE'!$M$5:$M$124,0)),0)</f>
        <v>55</v>
      </c>
      <c r="AG633" s="51">
        <f t="shared" si="31"/>
        <v>1</v>
      </c>
    </row>
    <row r="634" spans="27:33" x14ac:dyDescent="0.3">
      <c r="AA634" s="51" t="str">
        <f>'Sites Master'!$B$12</f>
        <v>Site 11</v>
      </c>
      <c r="AB634" s="51" t="str">
        <f>'Phase-Resource Allocation'!$B$137</f>
        <v>Design Adaptation</v>
      </c>
      <c r="AC634" s="51" t="str">
        <f>'Phase-Resource Allocation'!$C$137</f>
        <v>Functional Lead Vendor A</v>
      </c>
      <c r="AD634" s="60">
        <f>'Phase-Resource Allocation'!$D$137</f>
        <v>1</v>
      </c>
      <c r="AE634" s="51">
        <f>IFERROR(INDEX('02_SCHEDULE'!$K$5:$K$124,MATCH(AA634&amp;"|"&amp;AB634,'02_SCHEDULE'!$M$5:$M$124,0)),0)</f>
        <v>55</v>
      </c>
      <c r="AF634" s="51">
        <f>IFERROR(INDEX('02_SCHEDULE'!$L$5:$L$124,MATCH(AA634&amp;"|"&amp;AB634,'02_SCHEDULE'!$M$5:$M$124,0)),0)</f>
        <v>55</v>
      </c>
      <c r="AG634" s="51">
        <f t="shared" si="31"/>
        <v>1</v>
      </c>
    </row>
    <row r="635" spans="27:33" x14ac:dyDescent="0.3">
      <c r="AA635" s="51" t="str">
        <f>'Sites Master'!$B$12</f>
        <v>Site 11</v>
      </c>
      <c r="AB635" s="51" t="str">
        <f>'Phase-Resource Allocation'!$B$138</f>
        <v>Functional Review</v>
      </c>
      <c r="AC635" s="51" t="str">
        <f>'Phase-Resource Allocation'!$C$138</f>
        <v>Solution Architect</v>
      </c>
      <c r="AD635" s="60">
        <f>'Phase-Resource Allocation'!$D$138</f>
        <v>0.5</v>
      </c>
      <c r="AE635" s="51">
        <f>IFERROR(INDEX('02_SCHEDULE'!$K$5:$K$124,MATCH(AA635&amp;"|"&amp;AB635,'02_SCHEDULE'!$M$5:$M$124,0)),0)</f>
        <v>56</v>
      </c>
      <c r="AF635" s="51">
        <f>IFERROR(INDEX('02_SCHEDULE'!$L$5:$L$124,MATCH(AA635&amp;"|"&amp;AB635,'02_SCHEDULE'!$M$5:$M$124,0)),0)</f>
        <v>56</v>
      </c>
      <c r="AG635" s="51">
        <f t="shared" si="31"/>
        <v>0.5</v>
      </c>
    </row>
    <row r="636" spans="27:33" x14ac:dyDescent="0.3">
      <c r="AA636" s="51" t="str">
        <f>'Sites Master'!$B$12</f>
        <v>Site 11</v>
      </c>
      <c r="AB636" s="51" t="str">
        <f>'Phase-Resource Allocation'!$B$139</f>
        <v>Functional Review</v>
      </c>
      <c r="AC636" s="51" t="str">
        <f>'Phase-Resource Allocation'!$C$139</f>
        <v>Change Management Lead</v>
      </c>
      <c r="AD636" s="60">
        <f>'Phase-Resource Allocation'!$D$139</f>
        <v>1</v>
      </c>
      <c r="AE636" s="51">
        <f>IFERROR(INDEX('02_SCHEDULE'!$K$5:$K$124,MATCH(AA636&amp;"|"&amp;AB636,'02_SCHEDULE'!$M$5:$M$124,0)),0)</f>
        <v>56</v>
      </c>
      <c r="AF636" s="51">
        <f>IFERROR(INDEX('02_SCHEDULE'!$L$5:$L$124,MATCH(AA636&amp;"|"&amp;AB636,'02_SCHEDULE'!$M$5:$M$124,0)),0)</f>
        <v>56</v>
      </c>
      <c r="AG636" s="51">
        <f t="shared" si="31"/>
        <v>1</v>
      </c>
    </row>
    <row r="637" spans="27:33" x14ac:dyDescent="0.3">
      <c r="AA637" s="51" t="str">
        <f>'Sites Master'!$B$12</f>
        <v>Site 11</v>
      </c>
      <c r="AB637" s="51" t="str">
        <f>'Phase-Resource Allocation'!$B$140</f>
        <v>Functional Review</v>
      </c>
      <c r="AC637" s="51" t="str">
        <f>'Phase-Resource Allocation'!$C$140</f>
        <v>SAP Integrations Lead</v>
      </c>
      <c r="AD637" s="60">
        <f>'Phase-Resource Allocation'!$D$140</f>
        <v>0.5</v>
      </c>
      <c r="AE637" s="51">
        <f>IFERROR(INDEX('02_SCHEDULE'!$K$5:$K$124,MATCH(AA637&amp;"|"&amp;AB637,'02_SCHEDULE'!$M$5:$M$124,0)),0)</f>
        <v>56</v>
      </c>
      <c r="AF637" s="51">
        <f>IFERROR(INDEX('02_SCHEDULE'!$L$5:$L$124,MATCH(AA637&amp;"|"&amp;AB637,'02_SCHEDULE'!$M$5:$M$124,0)),0)</f>
        <v>56</v>
      </c>
      <c r="AG637" s="51">
        <f t="shared" si="31"/>
        <v>0.5</v>
      </c>
    </row>
    <row r="638" spans="27:33" x14ac:dyDescent="0.3">
      <c r="AA638" s="51" t="str">
        <f>'Sites Master'!$B$12</f>
        <v>Site 11</v>
      </c>
      <c r="AB638" s="51" t="str">
        <f>'Phase-Resource Allocation'!$B$141</f>
        <v>Functional Review</v>
      </c>
      <c r="AC638" s="51" t="str">
        <f>'Phase-Resource Allocation'!$C$141</f>
        <v>SAP Integrations Specialist</v>
      </c>
      <c r="AD638" s="60">
        <f>'Phase-Resource Allocation'!$D$141</f>
        <v>0.5</v>
      </c>
      <c r="AE638" s="51">
        <f>IFERROR(INDEX('02_SCHEDULE'!$K$5:$K$124,MATCH(AA638&amp;"|"&amp;AB638,'02_SCHEDULE'!$M$5:$M$124,0)),0)</f>
        <v>56</v>
      </c>
      <c r="AF638" s="51">
        <f>IFERROR(INDEX('02_SCHEDULE'!$L$5:$L$124,MATCH(AA638&amp;"|"&amp;AB638,'02_SCHEDULE'!$M$5:$M$124,0)),0)</f>
        <v>56</v>
      </c>
      <c r="AG638" s="51">
        <f t="shared" si="31"/>
        <v>0.5</v>
      </c>
    </row>
    <row r="639" spans="27:33" x14ac:dyDescent="0.3">
      <c r="AA639" s="51" t="str">
        <f>'Sites Master'!$B$12</f>
        <v>Site 11</v>
      </c>
      <c r="AB639" s="51" t="str">
        <f>'Phase-Resource Allocation'!$B$142</f>
        <v>Functional Review</v>
      </c>
      <c r="AC639" s="51" t="str">
        <f>'Phase-Resource Allocation'!$C$142</f>
        <v>Azure Lead</v>
      </c>
      <c r="AD639" s="60">
        <f>'Phase-Resource Allocation'!$D$142</f>
        <v>0.5</v>
      </c>
      <c r="AE639" s="51">
        <f>IFERROR(INDEX('02_SCHEDULE'!$K$5:$K$124,MATCH(AA639&amp;"|"&amp;AB639,'02_SCHEDULE'!$M$5:$M$124,0)),0)</f>
        <v>56</v>
      </c>
      <c r="AF639" s="51">
        <f>IFERROR(INDEX('02_SCHEDULE'!$L$5:$L$124,MATCH(AA639&amp;"|"&amp;AB639,'02_SCHEDULE'!$M$5:$M$124,0)),0)</f>
        <v>56</v>
      </c>
      <c r="AG639" s="51">
        <f t="shared" si="31"/>
        <v>0.5</v>
      </c>
    </row>
    <row r="640" spans="27:33" x14ac:dyDescent="0.3">
      <c r="AA640" s="51" t="str">
        <f>'Sites Master'!$B$12</f>
        <v>Site 11</v>
      </c>
      <c r="AB640" s="51" t="str">
        <f>'Phase-Resource Allocation'!$B$143</f>
        <v>Functional Review</v>
      </c>
      <c r="AC640" s="51" t="str">
        <f>'Phase-Resource Allocation'!$C$143</f>
        <v>Azure Specialist</v>
      </c>
      <c r="AD640" s="60">
        <f>'Phase-Resource Allocation'!$D$143</f>
        <v>0.5</v>
      </c>
      <c r="AE640" s="51">
        <f>IFERROR(INDEX('02_SCHEDULE'!$K$5:$K$124,MATCH(AA640&amp;"|"&amp;AB640,'02_SCHEDULE'!$M$5:$M$124,0)),0)</f>
        <v>56</v>
      </c>
      <c r="AF640" s="51">
        <f>IFERROR(INDEX('02_SCHEDULE'!$L$5:$L$124,MATCH(AA640&amp;"|"&amp;AB640,'02_SCHEDULE'!$M$5:$M$124,0)),0)</f>
        <v>56</v>
      </c>
      <c r="AG640" s="51">
        <f t="shared" si="31"/>
        <v>0.5</v>
      </c>
    </row>
    <row r="641" spans="27:33" x14ac:dyDescent="0.3">
      <c r="AA641" s="51" t="str">
        <f>'Sites Master'!$B$12</f>
        <v>Site 11</v>
      </c>
      <c r="AB641" s="51" t="str">
        <f>'Phase-Resource Allocation'!$B$144</f>
        <v>Functional Review</v>
      </c>
      <c r="AC641" s="51" t="str">
        <f>'Phase-Resource Allocation'!$C$144</f>
        <v>Testing Lead</v>
      </c>
      <c r="AD641" s="60">
        <f>'Phase-Resource Allocation'!$D$144</f>
        <v>0.5</v>
      </c>
      <c r="AE641" s="51">
        <f>IFERROR(INDEX('02_SCHEDULE'!$K$5:$K$124,MATCH(AA641&amp;"|"&amp;AB641,'02_SCHEDULE'!$M$5:$M$124,0)),0)</f>
        <v>56</v>
      </c>
      <c r="AF641" s="51">
        <f>IFERROR(INDEX('02_SCHEDULE'!$L$5:$L$124,MATCH(AA641&amp;"|"&amp;AB641,'02_SCHEDULE'!$M$5:$M$124,0)),0)</f>
        <v>56</v>
      </c>
      <c r="AG641" s="51">
        <f t="shared" si="31"/>
        <v>0.5</v>
      </c>
    </row>
    <row r="642" spans="27:33" x14ac:dyDescent="0.3">
      <c r="AA642" s="51" t="str">
        <f>'Sites Master'!$B$12</f>
        <v>Site 11</v>
      </c>
      <c r="AB642" s="51" t="str">
        <f>'Phase-Resource Allocation'!$B$145</f>
        <v>Functional Review</v>
      </c>
      <c r="AC642" s="51" t="str">
        <f>'Phase-Resource Allocation'!$C$145</f>
        <v>Functional Lead</v>
      </c>
      <c r="AD642" s="60">
        <f>'Phase-Resource Allocation'!$D$145</f>
        <v>1</v>
      </c>
      <c r="AE642" s="51">
        <f>IFERROR(INDEX('02_SCHEDULE'!$K$5:$K$124,MATCH(AA642&amp;"|"&amp;AB642,'02_SCHEDULE'!$M$5:$M$124,0)),0)</f>
        <v>56</v>
      </c>
      <c r="AF642" s="51">
        <f>IFERROR(INDEX('02_SCHEDULE'!$L$5:$L$124,MATCH(AA642&amp;"|"&amp;AB642,'02_SCHEDULE'!$M$5:$M$124,0)),0)</f>
        <v>56</v>
      </c>
      <c r="AG642" s="51">
        <f t="shared" si="31"/>
        <v>1</v>
      </c>
    </row>
    <row r="643" spans="27:33" x14ac:dyDescent="0.3">
      <c r="AA643" s="51" t="str">
        <f>'Sites Master'!$B$12</f>
        <v>Site 11</v>
      </c>
      <c r="AB643" s="51" t="str">
        <f>'Phase-Resource Allocation'!$B$146</f>
        <v>Functional Review</v>
      </c>
      <c r="AC643" s="51" t="str">
        <f>'Phase-Resource Allocation'!$C$146</f>
        <v>Trainers</v>
      </c>
      <c r="AD643" s="60">
        <f>'Phase-Resource Allocation'!$D$146</f>
        <v>1</v>
      </c>
      <c r="AE643" s="51">
        <f>IFERROR(INDEX('02_SCHEDULE'!$K$5:$K$124,MATCH(AA643&amp;"|"&amp;AB643,'02_SCHEDULE'!$M$5:$M$124,0)),0)</f>
        <v>56</v>
      </c>
      <c r="AF643" s="51">
        <f>IFERROR(INDEX('02_SCHEDULE'!$L$5:$L$124,MATCH(AA643&amp;"|"&amp;AB643,'02_SCHEDULE'!$M$5:$M$124,0)),0)</f>
        <v>56</v>
      </c>
      <c r="AG643" s="51">
        <f t="shared" ref="AG643:AG706" si="32">AD643*(AF643-AE643+1)</f>
        <v>1</v>
      </c>
    </row>
    <row r="644" spans="27:33" x14ac:dyDescent="0.3">
      <c r="AA644" s="51" t="str">
        <f>'Sites Master'!$B$12</f>
        <v>Site 11</v>
      </c>
      <c r="AB644" s="51" t="str">
        <f>'Phase-Resource Allocation'!$B$147</f>
        <v>UAT</v>
      </c>
      <c r="AC644" s="51" t="str">
        <f>'Phase-Resource Allocation'!$C$147</f>
        <v>Solution Architect</v>
      </c>
      <c r="AD644" s="60">
        <f>'Phase-Resource Allocation'!$D$147</f>
        <v>0.5</v>
      </c>
      <c r="AE644" s="51">
        <f>IFERROR(INDEX('02_SCHEDULE'!$K$5:$K$124,MATCH(AA644&amp;"|"&amp;AB644,'02_SCHEDULE'!$M$5:$M$124,0)),0)</f>
        <v>57</v>
      </c>
      <c r="AF644" s="51">
        <f>IFERROR(INDEX('02_SCHEDULE'!$L$5:$L$124,MATCH(AA644&amp;"|"&amp;AB644,'02_SCHEDULE'!$M$5:$M$124,0)),0)</f>
        <v>57</v>
      </c>
      <c r="AG644" s="51">
        <f t="shared" si="32"/>
        <v>0.5</v>
      </c>
    </row>
    <row r="645" spans="27:33" x14ac:dyDescent="0.3">
      <c r="AA645" s="51" t="str">
        <f>'Sites Master'!$B$12</f>
        <v>Site 11</v>
      </c>
      <c r="AB645" s="51" t="str">
        <f>'Phase-Resource Allocation'!$B$148</f>
        <v>UAT</v>
      </c>
      <c r="AC645" s="51" t="str">
        <f>'Phase-Resource Allocation'!$C$148</f>
        <v>Change Management Lead</v>
      </c>
      <c r="AD645" s="60">
        <f>'Phase-Resource Allocation'!$D$148</f>
        <v>1</v>
      </c>
      <c r="AE645" s="51">
        <f>IFERROR(INDEX('02_SCHEDULE'!$K$5:$K$124,MATCH(AA645&amp;"|"&amp;AB645,'02_SCHEDULE'!$M$5:$M$124,0)),0)</f>
        <v>57</v>
      </c>
      <c r="AF645" s="51">
        <f>IFERROR(INDEX('02_SCHEDULE'!$L$5:$L$124,MATCH(AA645&amp;"|"&amp;AB645,'02_SCHEDULE'!$M$5:$M$124,0)),0)</f>
        <v>57</v>
      </c>
      <c r="AG645" s="51">
        <f t="shared" si="32"/>
        <v>1</v>
      </c>
    </row>
    <row r="646" spans="27:33" x14ac:dyDescent="0.3">
      <c r="AA646" s="51" t="str">
        <f>'Sites Master'!$B$12</f>
        <v>Site 11</v>
      </c>
      <c r="AB646" s="51" t="str">
        <f>'Phase-Resource Allocation'!$B$149</f>
        <v>UAT</v>
      </c>
      <c r="AC646" s="51" t="str">
        <f>'Phase-Resource Allocation'!$C$149</f>
        <v>SAP Integrations Lead</v>
      </c>
      <c r="AD646" s="60">
        <f>'Phase-Resource Allocation'!$D$149</f>
        <v>0.5</v>
      </c>
      <c r="AE646" s="51">
        <f>IFERROR(INDEX('02_SCHEDULE'!$K$5:$K$124,MATCH(AA646&amp;"|"&amp;AB646,'02_SCHEDULE'!$M$5:$M$124,0)),0)</f>
        <v>57</v>
      </c>
      <c r="AF646" s="51">
        <f>IFERROR(INDEX('02_SCHEDULE'!$L$5:$L$124,MATCH(AA646&amp;"|"&amp;AB646,'02_SCHEDULE'!$M$5:$M$124,0)),0)</f>
        <v>57</v>
      </c>
      <c r="AG646" s="51">
        <f t="shared" si="32"/>
        <v>0.5</v>
      </c>
    </row>
    <row r="647" spans="27:33" x14ac:dyDescent="0.3">
      <c r="AA647" s="51" t="str">
        <f>'Sites Master'!$B$12</f>
        <v>Site 11</v>
      </c>
      <c r="AB647" s="51" t="str">
        <f>'Phase-Resource Allocation'!$B$150</f>
        <v>UAT</v>
      </c>
      <c r="AC647" s="51" t="str">
        <f>'Phase-Resource Allocation'!$C$150</f>
        <v>SAP Integrations Specialist</v>
      </c>
      <c r="AD647" s="60">
        <f>'Phase-Resource Allocation'!$D$150</f>
        <v>0.5</v>
      </c>
      <c r="AE647" s="51">
        <f>IFERROR(INDEX('02_SCHEDULE'!$K$5:$K$124,MATCH(AA647&amp;"|"&amp;AB647,'02_SCHEDULE'!$M$5:$M$124,0)),0)</f>
        <v>57</v>
      </c>
      <c r="AF647" s="51">
        <f>IFERROR(INDEX('02_SCHEDULE'!$L$5:$L$124,MATCH(AA647&amp;"|"&amp;AB647,'02_SCHEDULE'!$M$5:$M$124,0)),0)</f>
        <v>57</v>
      </c>
      <c r="AG647" s="51">
        <f t="shared" si="32"/>
        <v>0.5</v>
      </c>
    </row>
    <row r="648" spans="27:33" x14ac:dyDescent="0.3">
      <c r="AA648" s="51" t="str">
        <f>'Sites Master'!$B$12</f>
        <v>Site 11</v>
      </c>
      <c r="AB648" s="51" t="str">
        <f>'Phase-Resource Allocation'!$B$151</f>
        <v>UAT</v>
      </c>
      <c r="AC648" s="51" t="str">
        <f>'Phase-Resource Allocation'!$C$151</f>
        <v>Azure Lead</v>
      </c>
      <c r="AD648" s="60">
        <f>'Phase-Resource Allocation'!$D$151</f>
        <v>0.5</v>
      </c>
      <c r="AE648" s="51">
        <f>IFERROR(INDEX('02_SCHEDULE'!$K$5:$K$124,MATCH(AA648&amp;"|"&amp;AB648,'02_SCHEDULE'!$M$5:$M$124,0)),0)</f>
        <v>57</v>
      </c>
      <c r="AF648" s="51">
        <f>IFERROR(INDEX('02_SCHEDULE'!$L$5:$L$124,MATCH(AA648&amp;"|"&amp;AB648,'02_SCHEDULE'!$M$5:$M$124,0)),0)</f>
        <v>57</v>
      </c>
      <c r="AG648" s="51">
        <f t="shared" si="32"/>
        <v>0.5</v>
      </c>
    </row>
    <row r="649" spans="27:33" x14ac:dyDescent="0.3">
      <c r="AA649" s="51" t="str">
        <f>'Sites Master'!$B$12</f>
        <v>Site 11</v>
      </c>
      <c r="AB649" s="51" t="str">
        <f>'Phase-Resource Allocation'!$B$152</f>
        <v>UAT</v>
      </c>
      <c r="AC649" s="51" t="str">
        <f>'Phase-Resource Allocation'!$C$152</f>
        <v>Azure Specialist</v>
      </c>
      <c r="AD649" s="60">
        <f>'Phase-Resource Allocation'!$D$152</f>
        <v>0.5</v>
      </c>
      <c r="AE649" s="51">
        <f>IFERROR(INDEX('02_SCHEDULE'!$K$5:$K$124,MATCH(AA649&amp;"|"&amp;AB649,'02_SCHEDULE'!$M$5:$M$124,0)),0)</f>
        <v>57</v>
      </c>
      <c r="AF649" s="51">
        <f>IFERROR(INDEX('02_SCHEDULE'!$L$5:$L$124,MATCH(AA649&amp;"|"&amp;AB649,'02_SCHEDULE'!$M$5:$M$124,0)),0)</f>
        <v>57</v>
      </c>
      <c r="AG649" s="51">
        <f t="shared" si="32"/>
        <v>0.5</v>
      </c>
    </row>
    <row r="650" spans="27:33" x14ac:dyDescent="0.3">
      <c r="AA650" s="51" t="str">
        <f>'Sites Master'!$B$12</f>
        <v>Site 11</v>
      </c>
      <c r="AB650" s="51" t="str">
        <f>'Phase-Resource Allocation'!$B$153</f>
        <v>UAT</v>
      </c>
      <c r="AC650" s="51" t="str">
        <f>'Phase-Resource Allocation'!$C$153</f>
        <v>Testing Lead</v>
      </c>
      <c r="AD650" s="60">
        <f>'Phase-Resource Allocation'!$D$153</f>
        <v>0.5</v>
      </c>
      <c r="AE650" s="51">
        <f>IFERROR(INDEX('02_SCHEDULE'!$K$5:$K$124,MATCH(AA650&amp;"|"&amp;AB650,'02_SCHEDULE'!$M$5:$M$124,0)),0)</f>
        <v>57</v>
      </c>
      <c r="AF650" s="51">
        <f>IFERROR(INDEX('02_SCHEDULE'!$L$5:$L$124,MATCH(AA650&amp;"|"&amp;AB650,'02_SCHEDULE'!$M$5:$M$124,0)),0)</f>
        <v>57</v>
      </c>
      <c r="AG650" s="51">
        <f t="shared" si="32"/>
        <v>0.5</v>
      </c>
    </row>
    <row r="651" spans="27:33" x14ac:dyDescent="0.3">
      <c r="AA651" s="51" t="str">
        <f>'Sites Master'!$B$12</f>
        <v>Site 11</v>
      </c>
      <c r="AB651" s="51" t="str">
        <f>'Phase-Resource Allocation'!$B$154</f>
        <v>UAT</v>
      </c>
      <c r="AC651" s="51" t="str">
        <f>'Phase-Resource Allocation'!$C$154</f>
        <v>Functional Lead</v>
      </c>
      <c r="AD651" s="60">
        <f>'Phase-Resource Allocation'!$D$154</f>
        <v>1</v>
      </c>
      <c r="AE651" s="51">
        <f>IFERROR(INDEX('02_SCHEDULE'!$K$5:$K$124,MATCH(AA651&amp;"|"&amp;AB651,'02_SCHEDULE'!$M$5:$M$124,0)),0)</f>
        <v>57</v>
      </c>
      <c r="AF651" s="51">
        <f>IFERROR(INDEX('02_SCHEDULE'!$L$5:$L$124,MATCH(AA651&amp;"|"&amp;AB651,'02_SCHEDULE'!$M$5:$M$124,0)),0)</f>
        <v>57</v>
      </c>
      <c r="AG651" s="51">
        <f t="shared" si="32"/>
        <v>1</v>
      </c>
    </row>
    <row r="652" spans="27:33" x14ac:dyDescent="0.3">
      <c r="AA652" s="51" t="str">
        <f>'Sites Master'!$B$12</f>
        <v>Site 11</v>
      </c>
      <c r="AB652" s="51" t="str">
        <f>'Phase-Resource Allocation'!$B$155</f>
        <v>UAT</v>
      </c>
      <c r="AC652" s="51" t="str">
        <f>'Phase-Resource Allocation'!$C$155</f>
        <v>Trainers</v>
      </c>
      <c r="AD652" s="60">
        <f>'Phase-Resource Allocation'!$D$155</f>
        <v>1</v>
      </c>
      <c r="AE652" s="51">
        <f>IFERROR(INDEX('02_SCHEDULE'!$K$5:$K$124,MATCH(AA652&amp;"|"&amp;AB652,'02_SCHEDULE'!$M$5:$M$124,0)),0)</f>
        <v>57</v>
      </c>
      <c r="AF652" s="51">
        <f>IFERROR(INDEX('02_SCHEDULE'!$L$5:$L$124,MATCH(AA652&amp;"|"&amp;AB652,'02_SCHEDULE'!$M$5:$M$124,0)),0)</f>
        <v>57</v>
      </c>
      <c r="AG652" s="51">
        <f t="shared" si="32"/>
        <v>1</v>
      </c>
    </row>
    <row r="653" spans="27:33" x14ac:dyDescent="0.3">
      <c r="AA653" s="51" t="str">
        <f>'Sites Master'!$B$12</f>
        <v>Site 11</v>
      </c>
      <c r="AB653" s="51" t="str">
        <f>'Phase-Resource Allocation'!$B$156</f>
        <v>Training</v>
      </c>
      <c r="AC653" s="51" t="str">
        <f>'Phase-Resource Allocation'!$C$156</f>
        <v>Change Management Lead</v>
      </c>
      <c r="AD653" s="60">
        <f>'Phase-Resource Allocation'!$D$156</f>
        <v>1</v>
      </c>
      <c r="AE653" s="51">
        <f>IFERROR(INDEX('02_SCHEDULE'!$K$5:$K$124,MATCH(AA653&amp;"|"&amp;AB653,'02_SCHEDULE'!$M$5:$M$124,0)),0)</f>
        <v>58</v>
      </c>
      <c r="AF653" s="51">
        <f>IFERROR(INDEX('02_SCHEDULE'!$L$5:$L$124,MATCH(AA653&amp;"|"&amp;AB653,'02_SCHEDULE'!$M$5:$M$124,0)),0)</f>
        <v>59</v>
      </c>
      <c r="AG653" s="51">
        <f t="shared" si="32"/>
        <v>2</v>
      </c>
    </row>
    <row r="654" spans="27:33" x14ac:dyDescent="0.3">
      <c r="AA654" s="51" t="str">
        <f>'Sites Master'!$B$12</f>
        <v>Site 11</v>
      </c>
      <c r="AB654" s="51" t="str">
        <f>'Phase-Resource Allocation'!$B$157</f>
        <v>Training</v>
      </c>
      <c r="AC654" s="51" t="str">
        <f>'Phase-Resource Allocation'!$C$157</f>
        <v>Trainers</v>
      </c>
      <c r="AD654" s="60">
        <f>'Phase-Resource Allocation'!$D$157</f>
        <v>1</v>
      </c>
      <c r="AE654" s="51">
        <f>IFERROR(INDEX('02_SCHEDULE'!$K$5:$K$124,MATCH(AA654&amp;"|"&amp;AB654,'02_SCHEDULE'!$M$5:$M$124,0)),0)</f>
        <v>58</v>
      </c>
      <c r="AF654" s="51">
        <f>IFERROR(INDEX('02_SCHEDULE'!$L$5:$L$124,MATCH(AA654&amp;"|"&amp;AB654,'02_SCHEDULE'!$M$5:$M$124,0)),0)</f>
        <v>59</v>
      </c>
      <c r="AG654" s="51">
        <f t="shared" si="32"/>
        <v>2</v>
      </c>
    </row>
    <row r="655" spans="27:33" x14ac:dyDescent="0.3">
      <c r="AA655" s="51" t="str">
        <f>'Sites Master'!$B$12</f>
        <v>Site 11</v>
      </c>
      <c r="AB655" s="51" t="str">
        <f>'Phase-Resource Allocation'!$B$158</f>
        <v>DIALT</v>
      </c>
      <c r="AC655" s="51" t="str">
        <f>'Phase-Resource Allocation'!$C$158</f>
        <v>Solution Architect</v>
      </c>
      <c r="AD655" s="60">
        <f>'Phase-Resource Allocation'!$D$158</f>
        <v>0.5</v>
      </c>
      <c r="AE655" s="51">
        <f>IFERROR(INDEX('02_SCHEDULE'!$K$5:$K$124,MATCH(AA655&amp;"|"&amp;AB655,'02_SCHEDULE'!$M$5:$M$124,0)),0)</f>
        <v>60</v>
      </c>
      <c r="AF655" s="51">
        <f>IFERROR(INDEX('02_SCHEDULE'!$L$5:$L$124,MATCH(AA655&amp;"|"&amp;AB655,'02_SCHEDULE'!$M$5:$M$124,0)),0)</f>
        <v>60</v>
      </c>
      <c r="AG655" s="51">
        <f t="shared" si="32"/>
        <v>0.5</v>
      </c>
    </row>
    <row r="656" spans="27:33" x14ac:dyDescent="0.3">
      <c r="AA656" s="51" t="str">
        <f>'Sites Master'!$B$12</f>
        <v>Site 11</v>
      </c>
      <c r="AB656" s="51" t="str">
        <f>'Phase-Resource Allocation'!$B$159</f>
        <v>DIALT</v>
      </c>
      <c r="AC656" s="51" t="str">
        <f>'Phase-Resource Allocation'!$C$159</f>
        <v>Change Management Lead</v>
      </c>
      <c r="AD656" s="60">
        <f>'Phase-Resource Allocation'!$D$159</f>
        <v>1</v>
      </c>
      <c r="AE656" s="51">
        <f>IFERROR(INDEX('02_SCHEDULE'!$K$5:$K$124,MATCH(AA656&amp;"|"&amp;AB656,'02_SCHEDULE'!$M$5:$M$124,0)),0)</f>
        <v>60</v>
      </c>
      <c r="AF656" s="51">
        <f>IFERROR(INDEX('02_SCHEDULE'!$L$5:$L$124,MATCH(AA656&amp;"|"&amp;AB656,'02_SCHEDULE'!$M$5:$M$124,0)),0)</f>
        <v>60</v>
      </c>
      <c r="AG656" s="51">
        <f t="shared" si="32"/>
        <v>1</v>
      </c>
    </row>
    <row r="657" spans="27:33" x14ac:dyDescent="0.3">
      <c r="AA657" s="51" t="str">
        <f>'Sites Master'!$B$12</f>
        <v>Site 11</v>
      </c>
      <c r="AB657" s="51" t="str">
        <f>'Phase-Resource Allocation'!$B$160</f>
        <v>DIALT</v>
      </c>
      <c r="AC657" s="51" t="str">
        <f>'Phase-Resource Allocation'!$C$160</f>
        <v>Azure Lead</v>
      </c>
      <c r="AD657" s="60">
        <f>'Phase-Resource Allocation'!$D$160</f>
        <v>0.75</v>
      </c>
      <c r="AE657" s="51">
        <f>IFERROR(INDEX('02_SCHEDULE'!$K$5:$K$124,MATCH(AA657&amp;"|"&amp;AB657,'02_SCHEDULE'!$M$5:$M$124,0)),0)</f>
        <v>60</v>
      </c>
      <c r="AF657" s="51">
        <f>IFERROR(INDEX('02_SCHEDULE'!$L$5:$L$124,MATCH(AA657&amp;"|"&amp;AB657,'02_SCHEDULE'!$M$5:$M$124,0)),0)</f>
        <v>60</v>
      </c>
      <c r="AG657" s="51">
        <f t="shared" si="32"/>
        <v>0.75</v>
      </c>
    </row>
    <row r="658" spans="27:33" x14ac:dyDescent="0.3">
      <c r="AA658" s="51" t="str">
        <f>'Sites Master'!$B$12</f>
        <v>Site 11</v>
      </c>
      <c r="AB658" s="51" t="str">
        <f>'Phase-Resource Allocation'!$B$161</f>
        <v>DIALT</v>
      </c>
      <c r="AC658" s="51" t="str">
        <f>'Phase-Resource Allocation'!$C$161</f>
        <v>Azure Specialist</v>
      </c>
      <c r="AD658" s="60">
        <f>'Phase-Resource Allocation'!$D$161</f>
        <v>0.75</v>
      </c>
      <c r="AE658" s="51">
        <f>IFERROR(INDEX('02_SCHEDULE'!$K$5:$K$124,MATCH(AA658&amp;"|"&amp;AB658,'02_SCHEDULE'!$M$5:$M$124,0)),0)</f>
        <v>60</v>
      </c>
      <c r="AF658" s="51">
        <f>IFERROR(INDEX('02_SCHEDULE'!$L$5:$L$124,MATCH(AA658&amp;"|"&amp;AB658,'02_SCHEDULE'!$M$5:$M$124,0)),0)</f>
        <v>60</v>
      </c>
      <c r="AG658" s="51">
        <f t="shared" si="32"/>
        <v>0.75</v>
      </c>
    </row>
    <row r="659" spans="27:33" x14ac:dyDescent="0.3">
      <c r="AA659" s="51" t="str">
        <f>'Sites Master'!$B$12</f>
        <v>Site 11</v>
      </c>
      <c r="AB659" s="51" t="str">
        <f>'Phase-Resource Allocation'!$B$162</f>
        <v>DIALT</v>
      </c>
      <c r="AC659" s="51" t="str">
        <f>'Phase-Resource Allocation'!$C$162</f>
        <v>Functional Lead</v>
      </c>
      <c r="AD659" s="60">
        <f>'Phase-Resource Allocation'!$D$162</f>
        <v>1</v>
      </c>
      <c r="AE659" s="51">
        <f>IFERROR(INDEX('02_SCHEDULE'!$K$5:$K$124,MATCH(AA659&amp;"|"&amp;AB659,'02_SCHEDULE'!$M$5:$M$124,0)),0)</f>
        <v>60</v>
      </c>
      <c r="AF659" s="51">
        <f>IFERROR(INDEX('02_SCHEDULE'!$L$5:$L$124,MATCH(AA659&amp;"|"&amp;AB659,'02_SCHEDULE'!$M$5:$M$124,0)),0)</f>
        <v>60</v>
      </c>
      <c r="AG659" s="51">
        <f t="shared" si="32"/>
        <v>1</v>
      </c>
    </row>
    <row r="660" spans="27:33" x14ac:dyDescent="0.3">
      <c r="AA660" s="51" t="str">
        <f>'Sites Master'!$B$12</f>
        <v>Site 11</v>
      </c>
      <c r="AB660" s="51" t="str">
        <f>'Phase-Resource Allocation'!$B$163</f>
        <v>DIALT</v>
      </c>
      <c r="AC660" s="51" t="str">
        <f>'Phase-Resource Allocation'!$C$163</f>
        <v>Trainers</v>
      </c>
      <c r="AD660" s="60">
        <f>'Phase-Resource Allocation'!$D$163</f>
        <v>1</v>
      </c>
      <c r="AE660" s="51">
        <f>IFERROR(INDEX('02_SCHEDULE'!$K$5:$K$124,MATCH(AA660&amp;"|"&amp;AB660,'02_SCHEDULE'!$M$5:$M$124,0)),0)</f>
        <v>60</v>
      </c>
      <c r="AF660" s="51">
        <f>IFERROR(INDEX('02_SCHEDULE'!$L$5:$L$124,MATCH(AA660&amp;"|"&amp;AB660,'02_SCHEDULE'!$M$5:$M$124,0)),0)</f>
        <v>60</v>
      </c>
      <c r="AG660" s="51">
        <f t="shared" si="32"/>
        <v>1</v>
      </c>
    </row>
    <row r="661" spans="27:33" x14ac:dyDescent="0.3">
      <c r="AA661" s="51" t="str">
        <f>'Sites Master'!$B$12</f>
        <v>Site 11</v>
      </c>
      <c r="AB661" s="51" t="str">
        <f>'Phase-Resource Allocation'!$B$164</f>
        <v>DIALT</v>
      </c>
      <c r="AC661" s="51" t="str">
        <f>'Phase-Resource Allocation'!$C$164</f>
        <v>Functional Lead Vendor A</v>
      </c>
      <c r="AD661" s="60">
        <f>'Phase-Resource Allocation'!$D$164</f>
        <v>1</v>
      </c>
      <c r="AE661" s="51">
        <f>IFERROR(INDEX('02_SCHEDULE'!$K$5:$K$124,MATCH(AA661&amp;"|"&amp;AB661,'02_SCHEDULE'!$M$5:$M$124,0)),0)</f>
        <v>60</v>
      </c>
      <c r="AF661" s="51">
        <f>IFERROR(INDEX('02_SCHEDULE'!$L$5:$L$124,MATCH(AA661&amp;"|"&amp;AB661,'02_SCHEDULE'!$M$5:$M$124,0)),0)</f>
        <v>60</v>
      </c>
      <c r="AG661" s="51">
        <f t="shared" si="32"/>
        <v>1</v>
      </c>
    </row>
    <row r="662" spans="27:33" x14ac:dyDescent="0.3">
      <c r="AA662" s="51" t="str">
        <f>'Sites Master'!$B$12</f>
        <v>Site 11</v>
      </c>
      <c r="AB662" s="51" t="str">
        <f>'Phase-Resource Allocation'!$B$165</f>
        <v>Go Live</v>
      </c>
      <c r="AC662" s="51" t="str">
        <f>'Phase-Resource Allocation'!$C$165</f>
        <v>Solution Architect</v>
      </c>
      <c r="AD662" s="60">
        <f>'Phase-Resource Allocation'!$D$165</f>
        <v>1</v>
      </c>
      <c r="AE662" s="51">
        <f>IFERROR(INDEX('02_SCHEDULE'!$K$5:$K$124,MATCH(AA662&amp;"|"&amp;AB662,'02_SCHEDULE'!$M$5:$M$124,0)),0)</f>
        <v>61</v>
      </c>
      <c r="AF662" s="51">
        <f>IFERROR(INDEX('02_SCHEDULE'!$L$5:$L$124,MATCH(AA662&amp;"|"&amp;AB662,'02_SCHEDULE'!$M$5:$M$124,0)),0)</f>
        <v>61</v>
      </c>
      <c r="AG662" s="51">
        <f t="shared" si="32"/>
        <v>1</v>
      </c>
    </row>
    <row r="663" spans="27:33" x14ac:dyDescent="0.3">
      <c r="AA663" s="51" t="str">
        <f>'Sites Master'!$B$12</f>
        <v>Site 11</v>
      </c>
      <c r="AB663" s="51" t="str">
        <f>'Phase-Resource Allocation'!$B$166</f>
        <v>Go Live</v>
      </c>
      <c r="AC663" s="51" t="str">
        <f>'Phase-Resource Allocation'!$C$166</f>
        <v>Change Management Lead</v>
      </c>
      <c r="AD663" s="60">
        <f>'Phase-Resource Allocation'!$D$166</f>
        <v>1</v>
      </c>
      <c r="AE663" s="51">
        <f>IFERROR(INDEX('02_SCHEDULE'!$K$5:$K$124,MATCH(AA663&amp;"|"&amp;AB663,'02_SCHEDULE'!$M$5:$M$124,0)),0)</f>
        <v>61</v>
      </c>
      <c r="AF663" s="51">
        <f>IFERROR(INDEX('02_SCHEDULE'!$L$5:$L$124,MATCH(AA663&amp;"|"&amp;AB663,'02_SCHEDULE'!$M$5:$M$124,0)),0)</f>
        <v>61</v>
      </c>
      <c r="AG663" s="51">
        <f t="shared" si="32"/>
        <v>1</v>
      </c>
    </row>
    <row r="664" spans="27:33" x14ac:dyDescent="0.3">
      <c r="AA664" s="51" t="str">
        <f>'Sites Master'!$B$12</f>
        <v>Site 11</v>
      </c>
      <c r="AB664" s="51" t="str">
        <f>'Phase-Resource Allocation'!$B$167</f>
        <v>Go Live</v>
      </c>
      <c r="AC664" s="51" t="str">
        <f>'Phase-Resource Allocation'!$C$167</f>
        <v>SAP Integrations Lead</v>
      </c>
      <c r="AD664" s="60">
        <f>'Phase-Resource Allocation'!$D$167</f>
        <v>1</v>
      </c>
      <c r="AE664" s="51">
        <f>IFERROR(INDEX('02_SCHEDULE'!$K$5:$K$124,MATCH(AA664&amp;"|"&amp;AB664,'02_SCHEDULE'!$M$5:$M$124,0)),0)</f>
        <v>61</v>
      </c>
      <c r="AF664" s="51">
        <f>IFERROR(INDEX('02_SCHEDULE'!$L$5:$L$124,MATCH(AA664&amp;"|"&amp;AB664,'02_SCHEDULE'!$M$5:$M$124,0)),0)</f>
        <v>61</v>
      </c>
      <c r="AG664" s="51">
        <f t="shared" si="32"/>
        <v>1</v>
      </c>
    </row>
    <row r="665" spans="27:33" x14ac:dyDescent="0.3">
      <c r="AA665" s="51" t="str">
        <f>'Sites Master'!$B$12</f>
        <v>Site 11</v>
      </c>
      <c r="AB665" s="51" t="str">
        <f>'Phase-Resource Allocation'!$B$168</f>
        <v>Go Live</v>
      </c>
      <c r="AC665" s="51" t="str">
        <f>'Phase-Resource Allocation'!$C$168</f>
        <v>SAP Integrations Specialist</v>
      </c>
      <c r="AD665" s="60">
        <f>'Phase-Resource Allocation'!$D$168</f>
        <v>1</v>
      </c>
      <c r="AE665" s="51">
        <f>IFERROR(INDEX('02_SCHEDULE'!$K$5:$K$124,MATCH(AA665&amp;"|"&amp;AB665,'02_SCHEDULE'!$M$5:$M$124,0)),0)</f>
        <v>61</v>
      </c>
      <c r="AF665" s="51">
        <f>IFERROR(INDEX('02_SCHEDULE'!$L$5:$L$124,MATCH(AA665&amp;"|"&amp;AB665,'02_SCHEDULE'!$M$5:$M$124,0)),0)</f>
        <v>61</v>
      </c>
      <c r="AG665" s="51">
        <f t="shared" si="32"/>
        <v>1</v>
      </c>
    </row>
    <row r="666" spans="27:33" x14ac:dyDescent="0.3">
      <c r="AA666" s="51" t="str">
        <f>'Sites Master'!$B$12</f>
        <v>Site 11</v>
      </c>
      <c r="AB666" s="51" t="str">
        <f>'Phase-Resource Allocation'!$B$169</f>
        <v>Go Live</v>
      </c>
      <c r="AC666" s="51" t="str">
        <f>'Phase-Resource Allocation'!$C$169</f>
        <v>Azure Lead</v>
      </c>
      <c r="AD666" s="60">
        <f>'Phase-Resource Allocation'!$D$169</f>
        <v>1</v>
      </c>
      <c r="AE666" s="51">
        <f>IFERROR(INDEX('02_SCHEDULE'!$K$5:$K$124,MATCH(AA666&amp;"|"&amp;AB666,'02_SCHEDULE'!$M$5:$M$124,0)),0)</f>
        <v>61</v>
      </c>
      <c r="AF666" s="51">
        <f>IFERROR(INDEX('02_SCHEDULE'!$L$5:$L$124,MATCH(AA666&amp;"|"&amp;AB666,'02_SCHEDULE'!$M$5:$M$124,0)),0)</f>
        <v>61</v>
      </c>
      <c r="AG666" s="51">
        <f t="shared" si="32"/>
        <v>1</v>
      </c>
    </row>
    <row r="667" spans="27:33" x14ac:dyDescent="0.3">
      <c r="AA667" s="51" t="str">
        <f>'Sites Master'!$B$12</f>
        <v>Site 11</v>
      </c>
      <c r="AB667" s="51" t="str">
        <f>'Phase-Resource Allocation'!$B$170</f>
        <v>Go Live</v>
      </c>
      <c r="AC667" s="51" t="str">
        <f>'Phase-Resource Allocation'!$C$170</f>
        <v>Azure Specialist</v>
      </c>
      <c r="AD667" s="60">
        <f>'Phase-Resource Allocation'!$D$170</f>
        <v>1</v>
      </c>
      <c r="AE667" s="51">
        <f>IFERROR(INDEX('02_SCHEDULE'!$K$5:$K$124,MATCH(AA667&amp;"|"&amp;AB667,'02_SCHEDULE'!$M$5:$M$124,0)),0)</f>
        <v>61</v>
      </c>
      <c r="AF667" s="51">
        <f>IFERROR(INDEX('02_SCHEDULE'!$L$5:$L$124,MATCH(AA667&amp;"|"&amp;AB667,'02_SCHEDULE'!$M$5:$M$124,0)),0)</f>
        <v>61</v>
      </c>
      <c r="AG667" s="51">
        <f t="shared" si="32"/>
        <v>1</v>
      </c>
    </row>
    <row r="668" spans="27:33" x14ac:dyDescent="0.3">
      <c r="AA668" s="51" t="str">
        <f>'Sites Master'!$B$12</f>
        <v>Site 11</v>
      </c>
      <c r="AB668" s="51" t="str">
        <f>'Phase-Resource Allocation'!$B$171</f>
        <v>Go Live</v>
      </c>
      <c r="AC668" s="51" t="str">
        <f>'Phase-Resource Allocation'!$C$171</f>
        <v>Functional Lead</v>
      </c>
      <c r="AD668" s="60">
        <f>'Phase-Resource Allocation'!$D$171</f>
        <v>1</v>
      </c>
      <c r="AE668" s="51">
        <f>IFERROR(INDEX('02_SCHEDULE'!$K$5:$K$124,MATCH(AA668&amp;"|"&amp;AB668,'02_SCHEDULE'!$M$5:$M$124,0)),0)</f>
        <v>61</v>
      </c>
      <c r="AF668" s="51">
        <f>IFERROR(INDEX('02_SCHEDULE'!$L$5:$L$124,MATCH(AA668&amp;"|"&amp;AB668,'02_SCHEDULE'!$M$5:$M$124,0)),0)</f>
        <v>61</v>
      </c>
      <c r="AG668" s="51">
        <f t="shared" si="32"/>
        <v>1</v>
      </c>
    </row>
    <row r="669" spans="27:33" x14ac:dyDescent="0.3">
      <c r="AA669" s="51" t="str">
        <f>'Sites Master'!$B$12</f>
        <v>Site 11</v>
      </c>
      <c r="AB669" s="51" t="str">
        <f>'Phase-Resource Allocation'!$B$172</f>
        <v>Go Live</v>
      </c>
      <c r="AC669" s="51" t="str">
        <f>'Phase-Resource Allocation'!$C$172</f>
        <v>Trainers</v>
      </c>
      <c r="AD669" s="60">
        <f>'Phase-Resource Allocation'!$D$172</f>
        <v>1</v>
      </c>
      <c r="AE669" s="51">
        <f>IFERROR(INDEX('02_SCHEDULE'!$K$5:$K$124,MATCH(AA669&amp;"|"&amp;AB669,'02_SCHEDULE'!$M$5:$M$124,0)),0)</f>
        <v>61</v>
      </c>
      <c r="AF669" s="51">
        <f>IFERROR(INDEX('02_SCHEDULE'!$L$5:$L$124,MATCH(AA669&amp;"|"&amp;AB669,'02_SCHEDULE'!$M$5:$M$124,0)),0)</f>
        <v>61</v>
      </c>
      <c r="AG669" s="51">
        <f t="shared" si="32"/>
        <v>1</v>
      </c>
    </row>
    <row r="670" spans="27:33" x14ac:dyDescent="0.3">
      <c r="AA670" s="51" t="str">
        <f>'Sites Master'!$B$12</f>
        <v>Site 11</v>
      </c>
      <c r="AB670" s="51" t="str">
        <f>'Phase-Resource Allocation'!$B$173</f>
        <v>Go Live</v>
      </c>
      <c r="AC670" s="51" t="str">
        <f>'Phase-Resource Allocation'!$C$173</f>
        <v>Infrastructure Lead</v>
      </c>
      <c r="AD670" s="60">
        <f>'Phase-Resource Allocation'!$D$173</f>
        <v>1</v>
      </c>
      <c r="AE670" s="51">
        <f>IFERROR(INDEX('02_SCHEDULE'!$K$5:$K$124,MATCH(AA670&amp;"|"&amp;AB670,'02_SCHEDULE'!$M$5:$M$124,0)),0)</f>
        <v>61</v>
      </c>
      <c r="AF670" s="51">
        <f>IFERROR(INDEX('02_SCHEDULE'!$L$5:$L$124,MATCH(AA670&amp;"|"&amp;AB670,'02_SCHEDULE'!$M$5:$M$124,0)),0)</f>
        <v>61</v>
      </c>
      <c r="AG670" s="51">
        <f t="shared" si="32"/>
        <v>1</v>
      </c>
    </row>
    <row r="671" spans="27:33" x14ac:dyDescent="0.3">
      <c r="AA671" s="51" t="str">
        <f>'Sites Master'!$B$12</f>
        <v>Site 11</v>
      </c>
      <c r="AB671" s="51" t="str">
        <f>'Phase-Resource Allocation'!$B$174</f>
        <v>Go Live</v>
      </c>
      <c r="AC671" s="51" t="str">
        <f>'Phase-Resource Allocation'!$C$174</f>
        <v>Functional Lead Vendor A</v>
      </c>
      <c r="AD671" s="60">
        <f>'Phase-Resource Allocation'!$D$174</f>
        <v>1</v>
      </c>
      <c r="AE671" s="51">
        <f>IFERROR(INDEX('02_SCHEDULE'!$K$5:$K$124,MATCH(AA671&amp;"|"&amp;AB671,'02_SCHEDULE'!$M$5:$M$124,0)),0)</f>
        <v>61</v>
      </c>
      <c r="AF671" s="51">
        <f>IFERROR(INDEX('02_SCHEDULE'!$L$5:$L$124,MATCH(AA671&amp;"|"&amp;AB671,'02_SCHEDULE'!$M$5:$M$124,0)),0)</f>
        <v>61</v>
      </c>
      <c r="AG671" s="51">
        <f t="shared" si="32"/>
        <v>1</v>
      </c>
    </row>
    <row r="672" spans="27:33" x14ac:dyDescent="0.3">
      <c r="AA672" s="51" t="str">
        <f>'Sites Master'!$B$12</f>
        <v>Site 11</v>
      </c>
      <c r="AB672" s="51" t="str">
        <f>'Phase-Resource Allocation'!$B$175</f>
        <v>Hypercare</v>
      </c>
      <c r="AC672" s="51" t="str">
        <f>'Phase-Resource Allocation'!$C$175</f>
        <v>Solution Architect</v>
      </c>
      <c r="AD672" s="60">
        <f>'Phase-Resource Allocation'!$D$175</f>
        <v>0.5</v>
      </c>
      <c r="AE672" s="51">
        <f>IFERROR(INDEX('02_SCHEDULE'!$K$5:$K$124,MATCH(AA672&amp;"|"&amp;AB672,'02_SCHEDULE'!$M$5:$M$124,0)),0)</f>
        <v>62</v>
      </c>
      <c r="AF672" s="51">
        <f>IFERROR(INDEX('02_SCHEDULE'!$L$5:$L$124,MATCH(AA672&amp;"|"&amp;AB672,'02_SCHEDULE'!$M$5:$M$124,0)),0)</f>
        <v>65</v>
      </c>
      <c r="AG672" s="51">
        <f t="shared" si="32"/>
        <v>2</v>
      </c>
    </row>
    <row r="673" spans="27:33" x14ac:dyDescent="0.3">
      <c r="AA673" s="51" t="str">
        <f>'Sites Master'!$B$12</f>
        <v>Site 11</v>
      </c>
      <c r="AB673" s="51" t="str">
        <f>'Phase-Resource Allocation'!$B$176</f>
        <v>Hypercare</v>
      </c>
      <c r="AC673" s="51" t="str">
        <f>'Phase-Resource Allocation'!$C$176</f>
        <v>Change Management Lead</v>
      </c>
      <c r="AD673" s="60">
        <f>'Phase-Resource Allocation'!$D$176</f>
        <v>1</v>
      </c>
      <c r="AE673" s="51">
        <f>IFERROR(INDEX('02_SCHEDULE'!$K$5:$K$124,MATCH(AA673&amp;"|"&amp;AB673,'02_SCHEDULE'!$M$5:$M$124,0)),0)</f>
        <v>62</v>
      </c>
      <c r="AF673" s="51">
        <f>IFERROR(INDEX('02_SCHEDULE'!$L$5:$L$124,MATCH(AA673&amp;"|"&amp;AB673,'02_SCHEDULE'!$M$5:$M$124,0)),0)</f>
        <v>65</v>
      </c>
      <c r="AG673" s="51">
        <f t="shared" si="32"/>
        <v>4</v>
      </c>
    </row>
    <row r="674" spans="27:33" x14ac:dyDescent="0.3">
      <c r="AA674" s="51" t="str">
        <f>'Sites Master'!$B$12</f>
        <v>Site 11</v>
      </c>
      <c r="AB674" s="51" t="str">
        <f>'Phase-Resource Allocation'!$B$177</f>
        <v>Hypercare</v>
      </c>
      <c r="AC674" s="51" t="str">
        <f>'Phase-Resource Allocation'!$C$177</f>
        <v>SAP Integrations Lead</v>
      </c>
      <c r="AD674" s="60">
        <f>'Phase-Resource Allocation'!$D$177</f>
        <v>0.5</v>
      </c>
      <c r="AE674" s="51">
        <f>IFERROR(INDEX('02_SCHEDULE'!$K$5:$K$124,MATCH(AA674&amp;"|"&amp;AB674,'02_SCHEDULE'!$M$5:$M$124,0)),0)</f>
        <v>62</v>
      </c>
      <c r="AF674" s="51">
        <f>IFERROR(INDEX('02_SCHEDULE'!$L$5:$L$124,MATCH(AA674&amp;"|"&amp;AB674,'02_SCHEDULE'!$M$5:$M$124,0)),0)</f>
        <v>65</v>
      </c>
      <c r="AG674" s="51">
        <f t="shared" si="32"/>
        <v>2</v>
      </c>
    </row>
    <row r="675" spans="27:33" x14ac:dyDescent="0.3">
      <c r="AA675" s="51" t="str">
        <f>'Sites Master'!$B$12</f>
        <v>Site 11</v>
      </c>
      <c r="AB675" s="51" t="str">
        <f>'Phase-Resource Allocation'!$B$178</f>
        <v>Hypercare</v>
      </c>
      <c r="AC675" s="51" t="str">
        <f>'Phase-Resource Allocation'!$C$178</f>
        <v>SAP Integrations Specialist</v>
      </c>
      <c r="AD675" s="60">
        <f>'Phase-Resource Allocation'!$D$178</f>
        <v>0.5</v>
      </c>
      <c r="AE675" s="51">
        <f>IFERROR(INDEX('02_SCHEDULE'!$K$5:$K$124,MATCH(AA675&amp;"|"&amp;AB675,'02_SCHEDULE'!$M$5:$M$124,0)),0)</f>
        <v>62</v>
      </c>
      <c r="AF675" s="51">
        <f>IFERROR(INDEX('02_SCHEDULE'!$L$5:$L$124,MATCH(AA675&amp;"|"&amp;AB675,'02_SCHEDULE'!$M$5:$M$124,0)),0)</f>
        <v>65</v>
      </c>
      <c r="AG675" s="51">
        <f t="shared" si="32"/>
        <v>2</v>
      </c>
    </row>
    <row r="676" spans="27:33" x14ac:dyDescent="0.3">
      <c r="AA676" s="51" t="str">
        <f>'Sites Master'!$B$12</f>
        <v>Site 11</v>
      </c>
      <c r="AB676" s="51" t="str">
        <f>'Phase-Resource Allocation'!$B$179</f>
        <v>Hypercare</v>
      </c>
      <c r="AC676" s="51" t="str">
        <f>'Phase-Resource Allocation'!$C$179</f>
        <v>Azure Lead</v>
      </c>
      <c r="AD676" s="60">
        <f>'Phase-Resource Allocation'!$D$179</f>
        <v>0.5</v>
      </c>
      <c r="AE676" s="51">
        <f>IFERROR(INDEX('02_SCHEDULE'!$K$5:$K$124,MATCH(AA676&amp;"|"&amp;AB676,'02_SCHEDULE'!$M$5:$M$124,0)),0)</f>
        <v>62</v>
      </c>
      <c r="AF676" s="51">
        <f>IFERROR(INDEX('02_SCHEDULE'!$L$5:$L$124,MATCH(AA676&amp;"|"&amp;AB676,'02_SCHEDULE'!$M$5:$M$124,0)),0)</f>
        <v>65</v>
      </c>
      <c r="AG676" s="51">
        <f t="shared" si="32"/>
        <v>2</v>
      </c>
    </row>
    <row r="677" spans="27:33" x14ac:dyDescent="0.3">
      <c r="AA677" s="51" t="str">
        <f>'Sites Master'!$B$12</f>
        <v>Site 11</v>
      </c>
      <c r="AB677" s="51" t="str">
        <f>'Phase-Resource Allocation'!$B$180</f>
        <v>Hypercare</v>
      </c>
      <c r="AC677" s="51" t="str">
        <f>'Phase-Resource Allocation'!$C$180</f>
        <v>Azure Specialist</v>
      </c>
      <c r="AD677" s="60">
        <f>'Phase-Resource Allocation'!$D$180</f>
        <v>0.5</v>
      </c>
      <c r="AE677" s="51">
        <f>IFERROR(INDEX('02_SCHEDULE'!$K$5:$K$124,MATCH(AA677&amp;"|"&amp;AB677,'02_SCHEDULE'!$M$5:$M$124,0)),0)</f>
        <v>62</v>
      </c>
      <c r="AF677" s="51">
        <f>IFERROR(INDEX('02_SCHEDULE'!$L$5:$L$124,MATCH(AA677&amp;"|"&amp;AB677,'02_SCHEDULE'!$M$5:$M$124,0)),0)</f>
        <v>65</v>
      </c>
      <c r="AG677" s="51">
        <f t="shared" si="32"/>
        <v>2</v>
      </c>
    </row>
    <row r="678" spans="27:33" x14ac:dyDescent="0.3">
      <c r="AA678" s="51" t="str">
        <f>'Sites Master'!$B$12</f>
        <v>Site 11</v>
      </c>
      <c r="AB678" s="51" t="str">
        <f>'Phase-Resource Allocation'!$B$181</f>
        <v>Hypercare</v>
      </c>
      <c r="AC678" s="51" t="str">
        <f>'Phase-Resource Allocation'!$C$181</f>
        <v>Functional Lead</v>
      </c>
      <c r="AD678" s="60">
        <f>'Phase-Resource Allocation'!$D$181</f>
        <v>1</v>
      </c>
      <c r="AE678" s="51">
        <f>IFERROR(INDEX('02_SCHEDULE'!$K$5:$K$124,MATCH(AA678&amp;"|"&amp;AB678,'02_SCHEDULE'!$M$5:$M$124,0)),0)</f>
        <v>62</v>
      </c>
      <c r="AF678" s="51">
        <f>IFERROR(INDEX('02_SCHEDULE'!$L$5:$L$124,MATCH(AA678&amp;"|"&amp;AB678,'02_SCHEDULE'!$M$5:$M$124,0)),0)</f>
        <v>65</v>
      </c>
      <c r="AG678" s="51">
        <f t="shared" si="32"/>
        <v>4</v>
      </c>
    </row>
    <row r="679" spans="27:33" x14ac:dyDescent="0.3">
      <c r="AA679" s="51" t="str">
        <f>'Sites Master'!$B$12</f>
        <v>Site 11</v>
      </c>
      <c r="AB679" s="51" t="str">
        <f>'Phase-Resource Allocation'!$B$182</f>
        <v>Hypercare</v>
      </c>
      <c r="AC679" s="51" t="str">
        <f>'Phase-Resource Allocation'!$C$182</f>
        <v>Functional Lead</v>
      </c>
      <c r="AD679" s="60">
        <f>'Phase-Resource Allocation'!$D$182</f>
        <v>1</v>
      </c>
      <c r="AE679" s="51">
        <f>IFERROR(INDEX('02_SCHEDULE'!$K$5:$K$124,MATCH(AA679&amp;"|"&amp;AB679,'02_SCHEDULE'!$M$5:$M$124,0)),0)</f>
        <v>62</v>
      </c>
      <c r="AF679" s="51">
        <f>IFERROR(INDEX('02_SCHEDULE'!$L$5:$L$124,MATCH(AA679&amp;"|"&amp;AB679,'02_SCHEDULE'!$M$5:$M$124,0)),0)</f>
        <v>65</v>
      </c>
      <c r="AG679" s="51">
        <f t="shared" si="32"/>
        <v>4</v>
      </c>
    </row>
    <row r="680" spans="27:33" x14ac:dyDescent="0.3">
      <c r="AA680" s="51" t="str">
        <f>'Sites Master'!$B$12</f>
        <v>Site 11</v>
      </c>
      <c r="AB680" s="51" t="str">
        <f>'Phase-Resource Allocation'!$B$183</f>
        <v>Hypercare</v>
      </c>
      <c r="AC680" s="51" t="str">
        <f>'Phase-Resource Allocation'!$C$183</f>
        <v>Trainers</v>
      </c>
      <c r="AD680" s="60">
        <f>'Phase-Resource Allocation'!$D$183</f>
        <v>1</v>
      </c>
      <c r="AE680" s="51">
        <f>IFERROR(INDEX('02_SCHEDULE'!$K$5:$K$124,MATCH(AA680&amp;"|"&amp;AB680,'02_SCHEDULE'!$M$5:$M$124,0)),0)</f>
        <v>62</v>
      </c>
      <c r="AF680" s="51">
        <f>IFERROR(INDEX('02_SCHEDULE'!$L$5:$L$124,MATCH(AA680&amp;"|"&amp;AB680,'02_SCHEDULE'!$M$5:$M$124,0)),0)</f>
        <v>65</v>
      </c>
      <c r="AG680" s="51">
        <f t="shared" si="32"/>
        <v>4</v>
      </c>
    </row>
    <row r="681" spans="27:33" x14ac:dyDescent="0.3">
      <c r="AA681" s="51" t="str">
        <f>'Sites Master'!$B$12</f>
        <v>Site 11</v>
      </c>
      <c r="AB681" s="51" t="str">
        <f>'Phase-Resource Allocation'!$B$184</f>
        <v>Hypercare</v>
      </c>
      <c r="AC681" s="51" t="str">
        <f>'Phase-Resource Allocation'!$C$184</f>
        <v>Trainers</v>
      </c>
      <c r="AD681" s="60">
        <f>'Phase-Resource Allocation'!$D$184</f>
        <v>1</v>
      </c>
      <c r="AE681" s="51">
        <f>IFERROR(INDEX('02_SCHEDULE'!$K$5:$K$124,MATCH(AA681&amp;"|"&amp;AB681,'02_SCHEDULE'!$M$5:$M$124,0)),0)</f>
        <v>62</v>
      </c>
      <c r="AF681" s="51">
        <f>IFERROR(INDEX('02_SCHEDULE'!$L$5:$L$124,MATCH(AA681&amp;"|"&amp;AB681,'02_SCHEDULE'!$M$5:$M$124,0)),0)</f>
        <v>65</v>
      </c>
      <c r="AG681" s="51">
        <f t="shared" si="32"/>
        <v>4</v>
      </c>
    </row>
    <row r="682" spans="27:33" x14ac:dyDescent="0.3">
      <c r="AA682" s="51" t="str">
        <f>'Sites Master'!$B$12</f>
        <v>Site 11</v>
      </c>
      <c r="AB682" s="51" t="str">
        <f>'Phase-Resource Allocation'!$B$185</f>
        <v>Hypercare</v>
      </c>
      <c r="AC682" s="51" t="str">
        <f>'Phase-Resource Allocation'!$C$185</f>
        <v>Trainers</v>
      </c>
      <c r="AD682" s="60">
        <f>'Phase-Resource Allocation'!$D$185</f>
        <v>1</v>
      </c>
      <c r="AE682" s="51">
        <f>IFERROR(INDEX('02_SCHEDULE'!$K$5:$K$124,MATCH(AA682&amp;"|"&amp;AB682,'02_SCHEDULE'!$M$5:$M$124,0)),0)</f>
        <v>62</v>
      </c>
      <c r="AF682" s="51">
        <f>IFERROR(INDEX('02_SCHEDULE'!$L$5:$L$124,MATCH(AA682&amp;"|"&amp;AB682,'02_SCHEDULE'!$M$5:$M$124,0)),0)</f>
        <v>65</v>
      </c>
      <c r="AG682" s="51">
        <f t="shared" si="32"/>
        <v>4</v>
      </c>
    </row>
    <row r="683" spans="27:33" x14ac:dyDescent="0.3">
      <c r="AA683" s="51" t="str">
        <f>'Sites Master'!$B$12</f>
        <v>Site 11</v>
      </c>
      <c r="AB683" s="51" t="str">
        <f>'Phase-Resource Allocation'!$B$186</f>
        <v>Hypercare</v>
      </c>
      <c r="AC683" s="51" t="str">
        <f>'Phase-Resource Allocation'!$C$186</f>
        <v>Infrastructure Lead</v>
      </c>
      <c r="AD683" s="60">
        <f>'Phase-Resource Allocation'!$D$186</f>
        <v>1</v>
      </c>
      <c r="AE683" s="51">
        <f>IFERROR(INDEX('02_SCHEDULE'!$K$5:$K$124,MATCH(AA683&amp;"|"&amp;AB683,'02_SCHEDULE'!$M$5:$M$124,0)),0)</f>
        <v>62</v>
      </c>
      <c r="AF683" s="51">
        <f>IFERROR(INDEX('02_SCHEDULE'!$L$5:$L$124,MATCH(AA683&amp;"|"&amp;AB683,'02_SCHEDULE'!$M$5:$M$124,0)),0)</f>
        <v>65</v>
      </c>
      <c r="AG683" s="51">
        <f t="shared" si="32"/>
        <v>4</v>
      </c>
    </row>
    <row r="684" spans="27:33" x14ac:dyDescent="0.3">
      <c r="AA684" s="51" t="str">
        <f>'Sites Master'!$B$12</f>
        <v>Site 11</v>
      </c>
      <c r="AB684" s="51" t="str">
        <f>'Phase-Resource Allocation'!$B$187</f>
        <v>Hypercare</v>
      </c>
      <c r="AC684" s="51" t="str">
        <f>'Phase-Resource Allocation'!$C$187</f>
        <v>Functional Lead Vendor A</v>
      </c>
      <c r="AD684" s="60">
        <f>'Phase-Resource Allocation'!$D$187</f>
        <v>0.5</v>
      </c>
      <c r="AE684" s="51">
        <f>IFERROR(INDEX('02_SCHEDULE'!$K$5:$K$124,MATCH(AA684&amp;"|"&amp;AB684,'02_SCHEDULE'!$M$5:$M$124,0)),0)</f>
        <v>62</v>
      </c>
      <c r="AF684" s="51">
        <f>IFERROR(INDEX('02_SCHEDULE'!$L$5:$L$124,MATCH(AA684&amp;"|"&amp;AB684,'02_SCHEDULE'!$M$5:$M$124,0)),0)</f>
        <v>65</v>
      </c>
      <c r="AG684" s="51">
        <f t="shared" si="32"/>
        <v>2</v>
      </c>
    </row>
    <row r="685" spans="27:33" x14ac:dyDescent="0.3">
      <c r="AA685" s="51" t="str">
        <f>'Sites Master'!$B$14</f>
        <v>Site 13</v>
      </c>
      <c r="AB685" s="51" t="str">
        <f>'Phase-Resource Allocation'!$B$2</f>
        <v>Site Readiness</v>
      </c>
      <c r="AC685" s="51" t="str">
        <f>'Phase-Resource Allocation'!$C$2</f>
        <v>Infrastructure Lead</v>
      </c>
      <c r="AD685" s="60">
        <f>'Phase-Resource Allocation'!$D$2</f>
        <v>1</v>
      </c>
      <c r="AE685" s="51">
        <f>IFERROR(INDEX('02_SCHEDULE'!$K$5:$K$124,MATCH(AA685&amp;"|"&amp;AB685,'02_SCHEDULE'!$M$5:$M$124,0)),0)</f>
        <v>68</v>
      </c>
      <c r="AF685" s="51">
        <f>IFERROR(INDEX('02_SCHEDULE'!$L$5:$L$124,MATCH(AA685&amp;"|"&amp;AB685,'02_SCHEDULE'!$M$5:$M$124,0)),0)</f>
        <v>72</v>
      </c>
      <c r="AG685" s="51">
        <f t="shared" si="32"/>
        <v>5</v>
      </c>
    </row>
    <row r="686" spans="27:33" x14ac:dyDescent="0.3">
      <c r="AA686" s="51" t="str">
        <f>'Sites Master'!$B$14</f>
        <v>Site 13</v>
      </c>
      <c r="AB686" s="51" t="str">
        <f>'Phase-Resource Allocation'!$B$3</f>
        <v>Site Readiness</v>
      </c>
      <c r="AC686" s="51" t="str">
        <f>'Phase-Resource Allocation'!$C$3</f>
        <v>SAP Integrations Lead</v>
      </c>
      <c r="AD686" s="60">
        <f>'Phase-Resource Allocation'!$D$3</f>
        <v>0.5</v>
      </c>
      <c r="AE686" s="51">
        <f>IFERROR(INDEX('02_SCHEDULE'!$K$5:$K$124,MATCH(AA686&amp;"|"&amp;AB686,'02_SCHEDULE'!$M$5:$M$124,0)),0)</f>
        <v>68</v>
      </c>
      <c r="AF686" s="51">
        <f>IFERROR(INDEX('02_SCHEDULE'!$L$5:$L$124,MATCH(AA686&amp;"|"&amp;AB686,'02_SCHEDULE'!$M$5:$M$124,0)),0)</f>
        <v>72</v>
      </c>
      <c r="AG686" s="51">
        <f t="shared" si="32"/>
        <v>2.5</v>
      </c>
    </row>
    <row r="687" spans="27:33" x14ac:dyDescent="0.3">
      <c r="AA687" s="51" t="str">
        <f>'Sites Master'!$B$14</f>
        <v>Site 13</v>
      </c>
      <c r="AB687" s="51" t="str">
        <f>'Phase-Resource Allocation'!$B$4</f>
        <v>Design Adaptation</v>
      </c>
      <c r="AC687" s="51" t="str">
        <f>'Phase-Resource Allocation'!$C$4</f>
        <v>Solution Architect</v>
      </c>
      <c r="AD687" s="60">
        <f>'Phase-Resource Allocation'!$D$4</f>
        <v>1</v>
      </c>
      <c r="AE687" s="51">
        <f>IFERROR(INDEX('02_SCHEDULE'!$K$5:$K$124,MATCH(AA687&amp;"|"&amp;AB687,'02_SCHEDULE'!$M$5:$M$124,0)),0)</f>
        <v>73</v>
      </c>
      <c r="AF687" s="51">
        <f>IFERROR(INDEX('02_SCHEDULE'!$L$5:$L$124,MATCH(AA687&amp;"|"&amp;AB687,'02_SCHEDULE'!$M$5:$M$124,0)),0)</f>
        <v>74</v>
      </c>
      <c r="AG687" s="51">
        <f t="shared" si="32"/>
        <v>2</v>
      </c>
    </row>
    <row r="688" spans="27:33" x14ac:dyDescent="0.3">
      <c r="AA688" s="51" t="str">
        <f>'Sites Master'!$B$14</f>
        <v>Site 13</v>
      </c>
      <c r="AB688" s="51" t="str">
        <f>'Phase-Resource Allocation'!$B$5</f>
        <v>Design Adaptation</v>
      </c>
      <c r="AC688" s="51" t="str">
        <f>'Phase-Resource Allocation'!$C$5</f>
        <v>SAP Integrations Lead</v>
      </c>
      <c r="AD688" s="60">
        <f>'Phase-Resource Allocation'!$D$5</f>
        <v>0.5</v>
      </c>
      <c r="AE688" s="51">
        <f>IFERROR(INDEX('02_SCHEDULE'!$K$5:$K$124,MATCH(AA688&amp;"|"&amp;AB688,'02_SCHEDULE'!$M$5:$M$124,0)),0)</f>
        <v>73</v>
      </c>
      <c r="AF688" s="51">
        <f>IFERROR(INDEX('02_SCHEDULE'!$L$5:$L$124,MATCH(AA688&amp;"|"&amp;AB688,'02_SCHEDULE'!$M$5:$M$124,0)),0)</f>
        <v>74</v>
      </c>
      <c r="AG688" s="51">
        <f t="shared" si="32"/>
        <v>1</v>
      </c>
    </row>
    <row r="689" spans="27:33" x14ac:dyDescent="0.3">
      <c r="AA689" s="51" t="str">
        <f>'Sites Master'!$B$14</f>
        <v>Site 13</v>
      </c>
      <c r="AB689" s="51" t="str">
        <f>'Phase-Resource Allocation'!$B$6</f>
        <v>Design Adaptation</v>
      </c>
      <c r="AC689" s="51" t="str">
        <f>'Phase-Resource Allocation'!$C$6</f>
        <v>SAP Integrations Specialist</v>
      </c>
      <c r="AD689" s="60">
        <f>'Phase-Resource Allocation'!$D$6</f>
        <v>0.5</v>
      </c>
      <c r="AE689" s="51">
        <f>IFERROR(INDEX('02_SCHEDULE'!$K$5:$K$124,MATCH(AA689&amp;"|"&amp;AB689,'02_SCHEDULE'!$M$5:$M$124,0)),0)</f>
        <v>73</v>
      </c>
      <c r="AF689" s="51">
        <f>IFERROR(INDEX('02_SCHEDULE'!$L$5:$L$124,MATCH(AA689&amp;"|"&amp;AB689,'02_SCHEDULE'!$M$5:$M$124,0)),0)</f>
        <v>74</v>
      </c>
      <c r="AG689" s="51">
        <f t="shared" si="32"/>
        <v>1</v>
      </c>
    </row>
    <row r="690" spans="27:33" x14ac:dyDescent="0.3">
      <c r="AA690" s="51" t="str">
        <f>'Sites Master'!$B$14</f>
        <v>Site 13</v>
      </c>
      <c r="AB690" s="51" t="str">
        <f>'Phase-Resource Allocation'!$B$7</f>
        <v>Design Adaptation</v>
      </c>
      <c r="AC690" s="51" t="str">
        <f>'Phase-Resource Allocation'!$C$7</f>
        <v>Azure Lead</v>
      </c>
      <c r="AD690" s="60">
        <f>'Phase-Resource Allocation'!$D$7</f>
        <v>0.5</v>
      </c>
      <c r="AE690" s="51">
        <f>IFERROR(INDEX('02_SCHEDULE'!$K$5:$K$124,MATCH(AA690&amp;"|"&amp;AB690,'02_SCHEDULE'!$M$5:$M$124,0)),0)</f>
        <v>73</v>
      </c>
      <c r="AF690" s="51">
        <f>IFERROR(INDEX('02_SCHEDULE'!$L$5:$L$124,MATCH(AA690&amp;"|"&amp;AB690,'02_SCHEDULE'!$M$5:$M$124,0)),0)</f>
        <v>74</v>
      </c>
      <c r="AG690" s="51">
        <f t="shared" si="32"/>
        <v>1</v>
      </c>
    </row>
    <row r="691" spans="27:33" x14ac:dyDescent="0.3">
      <c r="AA691" s="51" t="str">
        <f>'Sites Master'!$B$14</f>
        <v>Site 13</v>
      </c>
      <c r="AB691" s="51" t="str">
        <f>'Phase-Resource Allocation'!$B$8</f>
        <v>Design Adaptation</v>
      </c>
      <c r="AC691" s="51" t="str">
        <f>'Phase-Resource Allocation'!$C$8</f>
        <v>Azure Specialist</v>
      </c>
      <c r="AD691" s="60">
        <f>'Phase-Resource Allocation'!$D$8</f>
        <v>0.5</v>
      </c>
      <c r="AE691" s="51">
        <f>IFERROR(INDEX('02_SCHEDULE'!$K$5:$K$124,MATCH(AA691&amp;"|"&amp;AB691,'02_SCHEDULE'!$M$5:$M$124,0)),0)</f>
        <v>73</v>
      </c>
      <c r="AF691" s="51">
        <f>IFERROR(INDEX('02_SCHEDULE'!$L$5:$L$124,MATCH(AA691&amp;"|"&amp;AB691,'02_SCHEDULE'!$M$5:$M$124,0)),0)</f>
        <v>74</v>
      </c>
      <c r="AG691" s="51">
        <f t="shared" si="32"/>
        <v>1</v>
      </c>
    </row>
    <row r="692" spans="27:33" x14ac:dyDescent="0.3">
      <c r="AA692" s="51" t="str">
        <f>'Sites Master'!$B$14</f>
        <v>Site 13</v>
      </c>
      <c r="AB692" s="51" t="str">
        <f>'Phase-Resource Allocation'!$B$9</f>
        <v>Design Adaptation</v>
      </c>
      <c r="AC692" s="51" t="str">
        <f>'Phase-Resource Allocation'!$C$9</f>
        <v>Testing Lead</v>
      </c>
      <c r="AD692" s="60">
        <f>'Phase-Resource Allocation'!$D$9</f>
        <v>1</v>
      </c>
      <c r="AE692" s="51">
        <f>IFERROR(INDEX('02_SCHEDULE'!$K$5:$K$124,MATCH(AA692&amp;"|"&amp;AB692,'02_SCHEDULE'!$M$5:$M$124,0)),0)</f>
        <v>73</v>
      </c>
      <c r="AF692" s="51">
        <f>IFERROR(INDEX('02_SCHEDULE'!$L$5:$L$124,MATCH(AA692&amp;"|"&amp;AB692,'02_SCHEDULE'!$M$5:$M$124,0)),0)</f>
        <v>74</v>
      </c>
      <c r="AG692" s="51">
        <f t="shared" si="32"/>
        <v>2</v>
      </c>
    </row>
    <row r="693" spans="27:33" x14ac:dyDescent="0.3">
      <c r="AA693" s="51" t="str">
        <f>'Sites Master'!$B$14</f>
        <v>Site 13</v>
      </c>
      <c r="AB693" s="51" t="str">
        <f>'Phase-Resource Allocation'!$B$10</f>
        <v>Design Adaptation</v>
      </c>
      <c r="AC693" s="51" t="str">
        <f>'Phase-Resource Allocation'!$C$10</f>
        <v>Functional Lead</v>
      </c>
      <c r="AD693" s="60">
        <f>'Phase-Resource Allocation'!$D$10</f>
        <v>1</v>
      </c>
      <c r="AE693" s="51">
        <f>IFERROR(INDEX('02_SCHEDULE'!$K$5:$K$124,MATCH(AA693&amp;"|"&amp;AB693,'02_SCHEDULE'!$M$5:$M$124,0)),0)</f>
        <v>73</v>
      </c>
      <c r="AF693" s="51">
        <f>IFERROR(INDEX('02_SCHEDULE'!$L$5:$L$124,MATCH(AA693&amp;"|"&amp;AB693,'02_SCHEDULE'!$M$5:$M$124,0)),0)</f>
        <v>74</v>
      </c>
      <c r="AG693" s="51">
        <f t="shared" si="32"/>
        <v>2</v>
      </c>
    </row>
    <row r="694" spans="27:33" x14ac:dyDescent="0.3">
      <c r="AA694" s="51" t="str">
        <f>'Sites Master'!$B$14</f>
        <v>Site 13</v>
      </c>
      <c r="AB694" s="51" t="str">
        <f>'Phase-Resource Allocation'!$B$11</f>
        <v>Design Adaptation</v>
      </c>
      <c r="AC694" s="51" t="str">
        <f>'Phase-Resource Allocation'!$C$11</f>
        <v>Trainers</v>
      </c>
      <c r="AD694" s="60">
        <f>'Phase-Resource Allocation'!$D$11</f>
        <v>1</v>
      </c>
      <c r="AE694" s="51">
        <f>IFERROR(INDEX('02_SCHEDULE'!$K$5:$K$124,MATCH(AA694&amp;"|"&amp;AB694,'02_SCHEDULE'!$M$5:$M$124,0)),0)</f>
        <v>73</v>
      </c>
      <c r="AF694" s="51">
        <f>IFERROR(INDEX('02_SCHEDULE'!$L$5:$L$124,MATCH(AA694&amp;"|"&amp;AB694,'02_SCHEDULE'!$M$5:$M$124,0)),0)</f>
        <v>74</v>
      </c>
      <c r="AG694" s="51">
        <f t="shared" si="32"/>
        <v>2</v>
      </c>
    </row>
    <row r="695" spans="27:33" x14ac:dyDescent="0.3">
      <c r="AA695" s="51" t="str">
        <f>'Sites Master'!$B$14</f>
        <v>Site 13</v>
      </c>
      <c r="AB695" s="51" t="str">
        <f>'Phase-Resource Allocation'!$B$12</f>
        <v>Design Adaptation</v>
      </c>
      <c r="AC695" s="51" t="str">
        <f>'Phase-Resource Allocation'!$C$12</f>
        <v>Infrastructure Lead</v>
      </c>
      <c r="AD695" s="60">
        <f>'Phase-Resource Allocation'!$D$12</f>
        <v>1</v>
      </c>
      <c r="AE695" s="51">
        <f>IFERROR(INDEX('02_SCHEDULE'!$K$5:$K$124,MATCH(AA695&amp;"|"&amp;AB695,'02_SCHEDULE'!$M$5:$M$124,0)),0)</f>
        <v>73</v>
      </c>
      <c r="AF695" s="51">
        <f>IFERROR(INDEX('02_SCHEDULE'!$L$5:$L$124,MATCH(AA695&amp;"|"&amp;AB695,'02_SCHEDULE'!$M$5:$M$124,0)),0)</f>
        <v>74</v>
      </c>
      <c r="AG695" s="51">
        <f t="shared" si="32"/>
        <v>2</v>
      </c>
    </row>
    <row r="696" spans="27:33" x14ac:dyDescent="0.3">
      <c r="AA696" s="51" t="str">
        <f>'Sites Master'!$B$14</f>
        <v>Site 13</v>
      </c>
      <c r="AB696" s="51" t="str">
        <f>'Phase-Resource Allocation'!$B$13</f>
        <v>Design Adaptation</v>
      </c>
      <c r="AC696" s="51" t="str">
        <f>'Phase-Resource Allocation'!$C$13</f>
        <v>Functional Lead Vendor A</v>
      </c>
      <c r="AD696" s="60">
        <f>'Phase-Resource Allocation'!$D$13</f>
        <v>1</v>
      </c>
      <c r="AE696" s="51">
        <f>IFERROR(INDEX('02_SCHEDULE'!$K$5:$K$124,MATCH(AA696&amp;"|"&amp;AB696,'02_SCHEDULE'!$M$5:$M$124,0)),0)</f>
        <v>73</v>
      </c>
      <c r="AF696" s="51">
        <f>IFERROR(INDEX('02_SCHEDULE'!$L$5:$L$124,MATCH(AA696&amp;"|"&amp;AB696,'02_SCHEDULE'!$M$5:$M$124,0)),0)</f>
        <v>74</v>
      </c>
      <c r="AG696" s="51">
        <f t="shared" si="32"/>
        <v>2</v>
      </c>
    </row>
    <row r="697" spans="27:33" x14ac:dyDescent="0.3">
      <c r="AA697" s="51" t="str">
        <f>'Sites Master'!$B$14</f>
        <v>Site 13</v>
      </c>
      <c r="AB697" s="51" t="str">
        <f>'Phase-Resource Allocation'!$B$14</f>
        <v>Functional Review</v>
      </c>
      <c r="AC697" s="51" t="str">
        <f>'Phase-Resource Allocation'!$C$14</f>
        <v>Solution Architect</v>
      </c>
      <c r="AD697" s="60">
        <f>'Phase-Resource Allocation'!$D$14</f>
        <v>0.5</v>
      </c>
      <c r="AE697" s="51">
        <f>IFERROR(INDEX('02_SCHEDULE'!$K$5:$K$124,MATCH(AA697&amp;"|"&amp;AB697,'02_SCHEDULE'!$M$5:$M$124,0)),0)</f>
        <v>75</v>
      </c>
      <c r="AF697" s="51">
        <f>IFERROR(INDEX('02_SCHEDULE'!$L$5:$L$124,MATCH(AA697&amp;"|"&amp;AB697,'02_SCHEDULE'!$M$5:$M$124,0)),0)</f>
        <v>75</v>
      </c>
      <c r="AG697" s="51">
        <f t="shared" si="32"/>
        <v>0.5</v>
      </c>
    </row>
    <row r="698" spans="27:33" x14ac:dyDescent="0.3">
      <c r="AA698" s="51" t="str">
        <f>'Sites Master'!$B$14</f>
        <v>Site 13</v>
      </c>
      <c r="AB698" s="51" t="str">
        <f>'Phase-Resource Allocation'!$B$15</f>
        <v>Functional Review</v>
      </c>
      <c r="AC698" s="51" t="str">
        <f>'Phase-Resource Allocation'!$C$15</f>
        <v>Change Management Lead</v>
      </c>
      <c r="AD698" s="60">
        <f>'Phase-Resource Allocation'!$D$15</f>
        <v>1</v>
      </c>
      <c r="AE698" s="51">
        <f>IFERROR(INDEX('02_SCHEDULE'!$K$5:$K$124,MATCH(AA698&amp;"|"&amp;AB698,'02_SCHEDULE'!$M$5:$M$124,0)),0)</f>
        <v>75</v>
      </c>
      <c r="AF698" s="51">
        <f>IFERROR(INDEX('02_SCHEDULE'!$L$5:$L$124,MATCH(AA698&amp;"|"&amp;AB698,'02_SCHEDULE'!$M$5:$M$124,0)),0)</f>
        <v>75</v>
      </c>
      <c r="AG698" s="51">
        <f t="shared" si="32"/>
        <v>1</v>
      </c>
    </row>
    <row r="699" spans="27:33" x14ac:dyDescent="0.3">
      <c r="AA699" s="51" t="str">
        <f>'Sites Master'!$B$14</f>
        <v>Site 13</v>
      </c>
      <c r="AB699" s="51" t="str">
        <f>'Phase-Resource Allocation'!$B$16</f>
        <v>Functional Review</v>
      </c>
      <c r="AC699" s="51" t="str">
        <f>'Phase-Resource Allocation'!$C$16</f>
        <v>SAP Integrations Lead</v>
      </c>
      <c r="AD699" s="60">
        <f>'Phase-Resource Allocation'!$D$16</f>
        <v>0.5</v>
      </c>
      <c r="AE699" s="51">
        <f>IFERROR(INDEX('02_SCHEDULE'!$K$5:$K$124,MATCH(AA699&amp;"|"&amp;AB699,'02_SCHEDULE'!$M$5:$M$124,0)),0)</f>
        <v>75</v>
      </c>
      <c r="AF699" s="51">
        <f>IFERROR(INDEX('02_SCHEDULE'!$L$5:$L$124,MATCH(AA699&amp;"|"&amp;AB699,'02_SCHEDULE'!$M$5:$M$124,0)),0)</f>
        <v>75</v>
      </c>
      <c r="AG699" s="51">
        <f t="shared" si="32"/>
        <v>0.5</v>
      </c>
    </row>
    <row r="700" spans="27:33" x14ac:dyDescent="0.3">
      <c r="AA700" s="51" t="str">
        <f>'Sites Master'!$B$14</f>
        <v>Site 13</v>
      </c>
      <c r="AB700" s="51" t="str">
        <f>'Phase-Resource Allocation'!$B$17</f>
        <v>Functional Review</v>
      </c>
      <c r="AC700" s="51" t="str">
        <f>'Phase-Resource Allocation'!$C$17</f>
        <v>SAP Integrations Specialist</v>
      </c>
      <c r="AD700" s="60">
        <f>'Phase-Resource Allocation'!$D$17</f>
        <v>0.5</v>
      </c>
      <c r="AE700" s="51">
        <f>IFERROR(INDEX('02_SCHEDULE'!$K$5:$K$124,MATCH(AA700&amp;"|"&amp;AB700,'02_SCHEDULE'!$M$5:$M$124,0)),0)</f>
        <v>75</v>
      </c>
      <c r="AF700" s="51">
        <f>IFERROR(INDEX('02_SCHEDULE'!$L$5:$L$124,MATCH(AA700&amp;"|"&amp;AB700,'02_SCHEDULE'!$M$5:$M$124,0)),0)</f>
        <v>75</v>
      </c>
      <c r="AG700" s="51">
        <f t="shared" si="32"/>
        <v>0.5</v>
      </c>
    </row>
    <row r="701" spans="27:33" x14ac:dyDescent="0.3">
      <c r="AA701" s="51" t="str">
        <f>'Sites Master'!$B$14</f>
        <v>Site 13</v>
      </c>
      <c r="AB701" s="51" t="str">
        <f>'Phase-Resource Allocation'!$B$18</f>
        <v>Functional Review</v>
      </c>
      <c r="AC701" s="51" t="str">
        <f>'Phase-Resource Allocation'!$C$18</f>
        <v>Azure Lead</v>
      </c>
      <c r="AD701" s="60">
        <f>'Phase-Resource Allocation'!$D$18</f>
        <v>0.5</v>
      </c>
      <c r="AE701" s="51">
        <f>IFERROR(INDEX('02_SCHEDULE'!$K$5:$K$124,MATCH(AA701&amp;"|"&amp;AB701,'02_SCHEDULE'!$M$5:$M$124,0)),0)</f>
        <v>75</v>
      </c>
      <c r="AF701" s="51">
        <f>IFERROR(INDEX('02_SCHEDULE'!$L$5:$L$124,MATCH(AA701&amp;"|"&amp;AB701,'02_SCHEDULE'!$M$5:$M$124,0)),0)</f>
        <v>75</v>
      </c>
      <c r="AG701" s="51">
        <f t="shared" si="32"/>
        <v>0.5</v>
      </c>
    </row>
    <row r="702" spans="27:33" x14ac:dyDescent="0.3">
      <c r="AA702" s="51" t="str">
        <f>'Sites Master'!$B$14</f>
        <v>Site 13</v>
      </c>
      <c r="AB702" s="51" t="str">
        <f>'Phase-Resource Allocation'!$B$19</f>
        <v>Functional Review</v>
      </c>
      <c r="AC702" s="51" t="str">
        <f>'Phase-Resource Allocation'!$C$19</f>
        <v>Azure Specialist</v>
      </c>
      <c r="AD702" s="60">
        <f>'Phase-Resource Allocation'!$D$19</f>
        <v>0.5</v>
      </c>
      <c r="AE702" s="51">
        <f>IFERROR(INDEX('02_SCHEDULE'!$K$5:$K$124,MATCH(AA702&amp;"|"&amp;AB702,'02_SCHEDULE'!$M$5:$M$124,0)),0)</f>
        <v>75</v>
      </c>
      <c r="AF702" s="51">
        <f>IFERROR(INDEX('02_SCHEDULE'!$L$5:$L$124,MATCH(AA702&amp;"|"&amp;AB702,'02_SCHEDULE'!$M$5:$M$124,0)),0)</f>
        <v>75</v>
      </c>
      <c r="AG702" s="51">
        <f t="shared" si="32"/>
        <v>0.5</v>
      </c>
    </row>
    <row r="703" spans="27:33" x14ac:dyDescent="0.3">
      <c r="AA703" s="51" t="str">
        <f>'Sites Master'!$B$14</f>
        <v>Site 13</v>
      </c>
      <c r="AB703" s="51" t="str">
        <f>'Phase-Resource Allocation'!$B$20</f>
        <v>Functional Review</v>
      </c>
      <c r="AC703" s="51" t="str">
        <f>'Phase-Resource Allocation'!$C$20</f>
        <v>Testing Lead</v>
      </c>
      <c r="AD703" s="60">
        <f>'Phase-Resource Allocation'!$D$20</f>
        <v>0.5</v>
      </c>
      <c r="AE703" s="51">
        <f>IFERROR(INDEX('02_SCHEDULE'!$K$5:$K$124,MATCH(AA703&amp;"|"&amp;AB703,'02_SCHEDULE'!$M$5:$M$124,0)),0)</f>
        <v>75</v>
      </c>
      <c r="AF703" s="51">
        <f>IFERROR(INDEX('02_SCHEDULE'!$L$5:$L$124,MATCH(AA703&amp;"|"&amp;AB703,'02_SCHEDULE'!$M$5:$M$124,0)),0)</f>
        <v>75</v>
      </c>
      <c r="AG703" s="51">
        <f t="shared" si="32"/>
        <v>0.5</v>
      </c>
    </row>
    <row r="704" spans="27:33" x14ac:dyDescent="0.3">
      <c r="AA704" s="51" t="str">
        <f>'Sites Master'!$B$14</f>
        <v>Site 13</v>
      </c>
      <c r="AB704" s="51" t="str">
        <f>'Phase-Resource Allocation'!$B$21</f>
        <v>Functional Review</v>
      </c>
      <c r="AC704" s="51" t="str">
        <f>'Phase-Resource Allocation'!$C$21</f>
        <v>Functional Lead</v>
      </c>
      <c r="AD704" s="60">
        <f>'Phase-Resource Allocation'!$D$21</f>
        <v>1</v>
      </c>
      <c r="AE704" s="51">
        <f>IFERROR(INDEX('02_SCHEDULE'!$K$5:$K$124,MATCH(AA704&amp;"|"&amp;AB704,'02_SCHEDULE'!$M$5:$M$124,0)),0)</f>
        <v>75</v>
      </c>
      <c r="AF704" s="51">
        <f>IFERROR(INDEX('02_SCHEDULE'!$L$5:$L$124,MATCH(AA704&amp;"|"&amp;AB704,'02_SCHEDULE'!$M$5:$M$124,0)),0)</f>
        <v>75</v>
      </c>
      <c r="AG704" s="51">
        <f t="shared" si="32"/>
        <v>1</v>
      </c>
    </row>
    <row r="705" spans="27:33" x14ac:dyDescent="0.3">
      <c r="AA705" s="51" t="str">
        <f>'Sites Master'!$B$14</f>
        <v>Site 13</v>
      </c>
      <c r="AB705" s="51" t="str">
        <f>'Phase-Resource Allocation'!$B$22</f>
        <v>Functional Review</v>
      </c>
      <c r="AC705" s="51" t="str">
        <f>'Phase-Resource Allocation'!$C$22</f>
        <v>Trainers</v>
      </c>
      <c r="AD705" s="60">
        <f>'Phase-Resource Allocation'!$D$22</f>
        <v>1</v>
      </c>
      <c r="AE705" s="51">
        <f>IFERROR(INDEX('02_SCHEDULE'!$K$5:$K$124,MATCH(AA705&amp;"|"&amp;AB705,'02_SCHEDULE'!$M$5:$M$124,0)),0)</f>
        <v>75</v>
      </c>
      <c r="AF705" s="51">
        <f>IFERROR(INDEX('02_SCHEDULE'!$L$5:$L$124,MATCH(AA705&amp;"|"&amp;AB705,'02_SCHEDULE'!$M$5:$M$124,0)),0)</f>
        <v>75</v>
      </c>
      <c r="AG705" s="51">
        <f t="shared" si="32"/>
        <v>1</v>
      </c>
    </row>
    <row r="706" spans="27:33" x14ac:dyDescent="0.3">
      <c r="AA706" s="51" t="str">
        <f>'Sites Master'!$B$14</f>
        <v>Site 13</v>
      </c>
      <c r="AB706" s="51" t="str">
        <f>'Phase-Resource Allocation'!$B$23</f>
        <v>UAT</v>
      </c>
      <c r="AC706" s="51" t="str">
        <f>'Phase-Resource Allocation'!$C$23</f>
        <v>Solution Architect</v>
      </c>
      <c r="AD706" s="60">
        <f>'Phase-Resource Allocation'!$D$23</f>
        <v>0.5</v>
      </c>
      <c r="AE706" s="51">
        <f>IFERROR(INDEX('02_SCHEDULE'!$K$5:$K$124,MATCH(AA706&amp;"|"&amp;AB706,'02_SCHEDULE'!$M$5:$M$124,0)),0)</f>
        <v>76</v>
      </c>
      <c r="AF706" s="51">
        <f>IFERROR(INDEX('02_SCHEDULE'!$L$5:$L$124,MATCH(AA706&amp;"|"&amp;AB706,'02_SCHEDULE'!$M$5:$M$124,0)),0)</f>
        <v>77</v>
      </c>
      <c r="AG706" s="51">
        <f t="shared" si="32"/>
        <v>1</v>
      </c>
    </row>
    <row r="707" spans="27:33" x14ac:dyDescent="0.3">
      <c r="AA707" s="51" t="str">
        <f>'Sites Master'!$B$14</f>
        <v>Site 13</v>
      </c>
      <c r="AB707" s="51" t="str">
        <f>'Phase-Resource Allocation'!$B$24</f>
        <v>UAT</v>
      </c>
      <c r="AC707" s="51" t="str">
        <f>'Phase-Resource Allocation'!$C$24</f>
        <v>Change Management Lead</v>
      </c>
      <c r="AD707" s="60">
        <f>'Phase-Resource Allocation'!$D$24</f>
        <v>1</v>
      </c>
      <c r="AE707" s="51">
        <f>IFERROR(INDEX('02_SCHEDULE'!$K$5:$K$124,MATCH(AA707&amp;"|"&amp;AB707,'02_SCHEDULE'!$M$5:$M$124,0)),0)</f>
        <v>76</v>
      </c>
      <c r="AF707" s="51">
        <f>IFERROR(INDEX('02_SCHEDULE'!$L$5:$L$124,MATCH(AA707&amp;"|"&amp;AB707,'02_SCHEDULE'!$M$5:$M$124,0)),0)</f>
        <v>77</v>
      </c>
      <c r="AG707" s="51">
        <f t="shared" ref="AG707:AG770" si="33">AD707*(AF707-AE707+1)</f>
        <v>2</v>
      </c>
    </row>
    <row r="708" spans="27:33" x14ac:dyDescent="0.3">
      <c r="AA708" s="51" t="str">
        <f>'Sites Master'!$B$14</f>
        <v>Site 13</v>
      </c>
      <c r="AB708" s="51" t="str">
        <f>'Phase-Resource Allocation'!$B$25</f>
        <v>UAT</v>
      </c>
      <c r="AC708" s="51" t="str">
        <f>'Phase-Resource Allocation'!$C$25</f>
        <v>SAP Integrations Lead</v>
      </c>
      <c r="AD708" s="60">
        <f>'Phase-Resource Allocation'!$D$25</f>
        <v>0.5</v>
      </c>
      <c r="AE708" s="51">
        <f>IFERROR(INDEX('02_SCHEDULE'!$K$5:$K$124,MATCH(AA708&amp;"|"&amp;AB708,'02_SCHEDULE'!$M$5:$M$124,0)),0)</f>
        <v>76</v>
      </c>
      <c r="AF708" s="51">
        <f>IFERROR(INDEX('02_SCHEDULE'!$L$5:$L$124,MATCH(AA708&amp;"|"&amp;AB708,'02_SCHEDULE'!$M$5:$M$124,0)),0)</f>
        <v>77</v>
      </c>
      <c r="AG708" s="51">
        <f t="shared" si="33"/>
        <v>1</v>
      </c>
    </row>
    <row r="709" spans="27:33" x14ac:dyDescent="0.3">
      <c r="AA709" s="51" t="str">
        <f>'Sites Master'!$B$14</f>
        <v>Site 13</v>
      </c>
      <c r="AB709" s="51" t="str">
        <f>'Phase-Resource Allocation'!$B$26</f>
        <v>UAT</v>
      </c>
      <c r="AC709" s="51" t="str">
        <f>'Phase-Resource Allocation'!$C$26</f>
        <v>SAP Integrations Specialist</v>
      </c>
      <c r="AD709" s="60">
        <f>'Phase-Resource Allocation'!$D$26</f>
        <v>0.5</v>
      </c>
      <c r="AE709" s="51">
        <f>IFERROR(INDEX('02_SCHEDULE'!$K$5:$K$124,MATCH(AA709&amp;"|"&amp;AB709,'02_SCHEDULE'!$M$5:$M$124,0)),0)</f>
        <v>76</v>
      </c>
      <c r="AF709" s="51">
        <f>IFERROR(INDEX('02_SCHEDULE'!$L$5:$L$124,MATCH(AA709&amp;"|"&amp;AB709,'02_SCHEDULE'!$M$5:$M$124,0)),0)</f>
        <v>77</v>
      </c>
      <c r="AG709" s="51">
        <f t="shared" si="33"/>
        <v>1</v>
      </c>
    </row>
    <row r="710" spans="27:33" x14ac:dyDescent="0.3">
      <c r="AA710" s="51" t="str">
        <f>'Sites Master'!$B$14</f>
        <v>Site 13</v>
      </c>
      <c r="AB710" s="51" t="str">
        <f>'Phase-Resource Allocation'!$B$27</f>
        <v>UAT</v>
      </c>
      <c r="AC710" s="51" t="str">
        <f>'Phase-Resource Allocation'!$C$27</f>
        <v>Azure Lead</v>
      </c>
      <c r="AD710" s="60">
        <f>'Phase-Resource Allocation'!$D$27</f>
        <v>0.5</v>
      </c>
      <c r="AE710" s="51">
        <f>IFERROR(INDEX('02_SCHEDULE'!$K$5:$K$124,MATCH(AA710&amp;"|"&amp;AB710,'02_SCHEDULE'!$M$5:$M$124,0)),0)</f>
        <v>76</v>
      </c>
      <c r="AF710" s="51">
        <f>IFERROR(INDEX('02_SCHEDULE'!$L$5:$L$124,MATCH(AA710&amp;"|"&amp;AB710,'02_SCHEDULE'!$M$5:$M$124,0)),0)</f>
        <v>77</v>
      </c>
      <c r="AG710" s="51">
        <f t="shared" si="33"/>
        <v>1</v>
      </c>
    </row>
    <row r="711" spans="27:33" x14ac:dyDescent="0.3">
      <c r="AA711" s="51" t="str">
        <f>'Sites Master'!$B$14</f>
        <v>Site 13</v>
      </c>
      <c r="AB711" s="51" t="str">
        <f>'Phase-Resource Allocation'!$B$28</f>
        <v>UAT</v>
      </c>
      <c r="AC711" s="51" t="str">
        <f>'Phase-Resource Allocation'!$C$28</f>
        <v>Azure Specialist</v>
      </c>
      <c r="AD711" s="60">
        <f>'Phase-Resource Allocation'!$D$28</f>
        <v>0.5</v>
      </c>
      <c r="AE711" s="51">
        <f>IFERROR(INDEX('02_SCHEDULE'!$K$5:$K$124,MATCH(AA711&amp;"|"&amp;AB711,'02_SCHEDULE'!$M$5:$M$124,0)),0)</f>
        <v>76</v>
      </c>
      <c r="AF711" s="51">
        <f>IFERROR(INDEX('02_SCHEDULE'!$L$5:$L$124,MATCH(AA711&amp;"|"&amp;AB711,'02_SCHEDULE'!$M$5:$M$124,0)),0)</f>
        <v>77</v>
      </c>
      <c r="AG711" s="51">
        <f t="shared" si="33"/>
        <v>1</v>
      </c>
    </row>
    <row r="712" spans="27:33" x14ac:dyDescent="0.3">
      <c r="AA712" s="51" t="str">
        <f>'Sites Master'!$B$14</f>
        <v>Site 13</v>
      </c>
      <c r="AB712" s="51" t="str">
        <f>'Phase-Resource Allocation'!$B$29</f>
        <v>UAT</v>
      </c>
      <c r="AC712" s="51" t="str">
        <f>'Phase-Resource Allocation'!$C$29</f>
        <v>Testing Lead</v>
      </c>
      <c r="AD712" s="60">
        <f>'Phase-Resource Allocation'!$D$29</f>
        <v>0.5</v>
      </c>
      <c r="AE712" s="51">
        <f>IFERROR(INDEX('02_SCHEDULE'!$K$5:$K$124,MATCH(AA712&amp;"|"&amp;AB712,'02_SCHEDULE'!$M$5:$M$124,0)),0)</f>
        <v>76</v>
      </c>
      <c r="AF712" s="51">
        <f>IFERROR(INDEX('02_SCHEDULE'!$L$5:$L$124,MATCH(AA712&amp;"|"&amp;AB712,'02_SCHEDULE'!$M$5:$M$124,0)),0)</f>
        <v>77</v>
      </c>
      <c r="AG712" s="51">
        <f t="shared" si="33"/>
        <v>1</v>
      </c>
    </row>
    <row r="713" spans="27:33" x14ac:dyDescent="0.3">
      <c r="AA713" s="51" t="str">
        <f>'Sites Master'!$B$14</f>
        <v>Site 13</v>
      </c>
      <c r="AB713" s="51" t="str">
        <f>'Phase-Resource Allocation'!$B$30</f>
        <v>UAT</v>
      </c>
      <c r="AC713" s="51" t="str">
        <f>'Phase-Resource Allocation'!$C$30</f>
        <v>Functional Lead</v>
      </c>
      <c r="AD713" s="60">
        <f>'Phase-Resource Allocation'!$D$30</f>
        <v>1</v>
      </c>
      <c r="AE713" s="51">
        <f>IFERROR(INDEX('02_SCHEDULE'!$K$5:$K$124,MATCH(AA713&amp;"|"&amp;AB713,'02_SCHEDULE'!$M$5:$M$124,0)),0)</f>
        <v>76</v>
      </c>
      <c r="AF713" s="51">
        <f>IFERROR(INDEX('02_SCHEDULE'!$L$5:$L$124,MATCH(AA713&amp;"|"&amp;AB713,'02_SCHEDULE'!$M$5:$M$124,0)),0)</f>
        <v>77</v>
      </c>
      <c r="AG713" s="51">
        <f t="shared" si="33"/>
        <v>2</v>
      </c>
    </row>
    <row r="714" spans="27:33" x14ac:dyDescent="0.3">
      <c r="AA714" s="51" t="str">
        <f>'Sites Master'!$B$14</f>
        <v>Site 13</v>
      </c>
      <c r="AB714" s="51" t="str">
        <f>'Phase-Resource Allocation'!$B$31</f>
        <v>UAT</v>
      </c>
      <c r="AC714" s="51" t="str">
        <f>'Phase-Resource Allocation'!$C$31</f>
        <v>Trainers</v>
      </c>
      <c r="AD714" s="60">
        <f>'Phase-Resource Allocation'!$D$31</f>
        <v>1</v>
      </c>
      <c r="AE714" s="51">
        <f>IFERROR(INDEX('02_SCHEDULE'!$K$5:$K$124,MATCH(AA714&amp;"|"&amp;AB714,'02_SCHEDULE'!$M$5:$M$124,0)),0)</f>
        <v>76</v>
      </c>
      <c r="AF714" s="51">
        <f>IFERROR(INDEX('02_SCHEDULE'!$L$5:$L$124,MATCH(AA714&amp;"|"&amp;AB714,'02_SCHEDULE'!$M$5:$M$124,0)),0)</f>
        <v>77</v>
      </c>
      <c r="AG714" s="51">
        <f t="shared" si="33"/>
        <v>2</v>
      </c>
    </row>
    <row r="715" spans="27:33" x14ac:dyDescent="0.3">
      <c r="AA715" s="51" t="str">
        <f>'Sites Master'!$B$14</f>
        <v>Site 13</v>
      </c>
      <c r="AB715" s="51" t="str">
        <f>'Phase-Resource Allocation'!$B$32</f>
        <v>Training</v>
      </c>
      <c r="AC715" s="51" t="str">
        <f>'Phase-Resource Allocation'!$C$32</f>
        <v>Change Management Lead</v>
      </c>
      <c r="AD715" s="60">
        <f>'Phase-Resource Allocation'!$D$32</f>
        <v>1</v>
      </c>
      <c r="AE715" s="51">
        <f>IFERROR(INDEX('02_SCHEDULE'!$K$5:$K$124,MATCH(AA715&amp;"|"&amp;AB715,'02_SCHEDULE'!$M$5:$M$124,0)),0)</f>
        <v>78</v>
      </c>
      <c r="AF715" s="51">
        <f>IFERROR(INDEX('02_SCHEDULE'!$L$5:$L$124,MATCH(AA715&amp;"|"&amp;AB715,'02_SCHEDULE'!$M$5:$M$124,0)),0)</f>
        <v>80</v>
      </c>
      <c r="AG715" s="51">
        <f t="shared" si="33"/>
        <v>3</v>
      </c>
    </row>
    <row r="716" spans="27:33" x14ac:dyDescent="0.3">
      <c r="AA716" s="51" t="str">
        <f>'Sites Master'!$B$14</f>
        <v>Site 13</v>
      </c>
      <c r="AB716" s="51" t="str">
        <f>'Phase-Resource Allocation'!$B$33</f>
        <v>Training</v>
      </c>
      <c r="AC716" s="51" t="str">
        <f>'Phase-Resource Allocation'!$C$33</f>
        <v>Trainers</v>
      </c>
      <c r="AD716" s="60">
        <f>'Phase-Resource Allocation'!$D$33</f>
        <v>1</v>
      </c>
      <c r="AE716" s="51">
        <f>IFERROR(INDEX('02_SCHEDULE'!$K$5:$K$124,MATCH(AA716&amp;"|"&amp;AB716,'02_SCHEDULE'!$M$5:$M$124,0)),0)</f>
        <v>78</v>
      </c>
      <c r="AF716" s="51">
        <f>IFERROR(INDEX('02_SCHEDULE'!$L$5:$L$124,MATCH(AA716&amp;"|"&amp;AB716,'02_SCHEDULE'!$M$5:$M$124,0)),0)</f>
        <v>80</v>
      </c>
      <c r="AG716" s="51">
        <f t="shared" si="33"/>
        <v>3</v>
      </c>
    </row>
    <row r="717" spans="27:33" x14ac:dyDescent="0.3">
      <c r="AA717" s="51" t="str">
        <f>'Sites Master'!$B$14</f>
        <v>Site 13</v>
      </c>
      <c r="AB717" s="51" t="str">
        <f>'Phase-Resource Allocation'!$B$34</f>
        <v>DIALT</v>
      </c>
      <c r="AC717" s="51" t="str">
        <f>'Phase-Resource Allocation'!$C$34</f>
        <v>Solution Architect</v>
      </c>
      <c r="AD717" s="60">
        <f>'Phase-Resource Allocation'!$D$34</f>
        <v>0.5</v>
      </c>
      <c r="AE717" s="51">
        <f>IFERROR(INDEX('02_SCHEDULE'!$K$5:$K$124,MATCH(AA717&amp;"|"&amp;AB717,'02_SCHEDULE'!$M$5:$M$124,0)),0)</f>
        <v>81</v>
      </c>
      <c r="AF717" s="51">
        <f>IFERROR(INDEX('02_SCHEDULE'!$L$5:$L$124,MATCH(AA717&amp;"|"&amp;AB717,'02_SCHEDULE'!$M$5:$M$124,0)),0)</f>
        <v>81</v>
      </c>
      <c r="AG717" s="51">
        <f t="shared" si="33"/>
        <v>0.5</v>
      </c>
    </row>
    <row r="718" spans="27:33" x14ac:dyDescent="0.3">
      <c r="AA718" s="51" t="str">
        <f>'Sites Master'!$B$14</f>
        <v>Site 13</v>
      </c>
      <c r="AB718" s="51" t="str">
        <f>'Phase-Resource Allocation'!$B$35</f>
        <v>DIALT</v>
      </c>
      <c r="AC718" s="51" t="str">
        <f>'Phase-Resource Allocation'!$C$35</f>
        <v>Change Management Lead</v>
      </c>
      <c r="AD718" s="60">
        <f>'Phase-Resource Allocation'!$D$35</f>
        <v>1</v>
      </c>
      <c r="AE718" s="51">
        <f>IFERROR(INDEX('02_SCHEDULE'!$K$5:$K$124,MATCH(AA718&amp;"|"&amp;AB718,'02_SCHEDULE'!$M$5:$M$124,0)),0)</f>
        <v>81</v>
      </c>
      <c r="AF718" s="51">
        <f>IFERROR(INDEX('02_SCHEDULE'!$L$5:$L$124,MATCH(AA718&amp;"|"&amp;AB718,'02_SCHEDULE'!$M$5:$M$124,0)),0)</f>
        <v>81</v>
      </c>
      <c r="AG718" s="51">
        <f t="shared" si="33"/>
        <v>1</v>
      </c>
    </row>
    <row r="719" spans="27:33" x14ac:dyDescent="0.3">
      <c r="AA719" s="51" t="str">
        <f>'Sites Master'!$B$14</f>
        <v>Site 13</v>
      </c>
      <c r="AB719" s="51" t="str">
        <f>'Phase-Resource Allocation'!$B$36</f>
        <v>DIALT</v>
      </c>
      <c r="AC719" s="51" t="str">
        <f>'Phase-Resource Allocation'!$C$36</f>
        <v>Azure Lead</v>
      </c>
      <c r="AD719" s="60">
        <f>'Phase-Resource Allocation'!$D$36</f>
        <v>0.75</v>
      </c>
      <c r="AE719" s="51">
        <f>IFERROR(INDEX('02_SCHEDULE'!$K$5:$K$124,MATCH(AA719&amp;"|"&amp;AB719,'02_SCHEDULE'!$M$5:$M$124,0)),0)</f>
        <v>81</v>
      </c>
      <c r="AF719" s="51">
        <f>IFERROR(INDEX('02_SCHEDULE'!$L$5:$L$124,MATCH(AA719&amp;"|"&amp;AB719,'02_SCHEDULE'!$M$5:$M$124,0)),0)</f>
        <v>81</v>
      </c>
      <c r="AG719" s="51">
        <f t="shared" si="33"/>
        <v>0.75</v>
      </c>
    </row>
    <row r="720" spans="27:33" x14ac:dyDescent="0.3">
      <c r="AA720" s="51" t="str">
        <f>'Sites Master'!$B$14</f>
        <v>Site 13</v>
      </c>
      <c r="AB720" s="51" t="str">
        <f>'Phase-Resource Allocation'!$B$37</f>
        <v>DIALT</v>
      </c>
      <c r="AC720" s="51" t="str">
        <f>'Phase-Resource Allocation'!$C$37</f>
        <v>Azure Specialist</v>
      </c>
      <c r="AD720" s="60">
        <f>'Phase-Resource Allocation'!$D$37</f>
        <v>0.75</v>
      </c>
      <c r="AE720" s="51">
        <f>IFERROR(INDEX('02_SCHEDULE'!$K$5:$K$124,MATCH(AA720&amp;"|"&amp;AB720,'02_SCHEDULE'!$M$5:$M$124,0)),0)</f>
        <v>81</v>
      </c>
      <c r="AF720" s="51">
        <f>IFERROR(INDEX('02_SCHEDULE'!$L$5:$L$124,MATCH(AA720&amp;"|"&amp;AB720,'02_SCHEDULE'!$M$5:$M$124,0)),0)</f>
        <v>81</v>
      </c>
      <c r="AG720" s="51">
        <f t="shared" si="33"/>
        <v>0.75</v>
      </c>
    </row>
    <row r="721" spans="27:33" x14ac:dyDescent="0.3">
      <c r="AA721" s="51" t="str">
        <f>'Sites Master'!$B$14</f>
        <v>Site 13</v>
      </c>
      <c r="AB721" s="51" t="str">
        <f>'Phase-Resource Allocation'!$B$38</f>
        <v>DIALT</v>
      </c>
      <c r="AC721" s="51" t="str">
        <f>'Phase-Resource Allocation'!$C$38</f>
        <v>Functional Lead</v>
      </c>
      <c r="AD721" s="60">
        <f>'Phase-Resource Allocation'!$D$38</f>
        <v>1</v>
      </c>
      <c r="AE721" s="51">
        <f>IFERROR(INDEX('02_SCHEDULE'!$K$5:$K$124,MATCH(AA721&amp;"|"&amp;AB721,'02_SCHEDULE'!$M$5:$M$124,0)),0)</f>
        <v>81</v>
      </c>
      <c r="AF721" s="51">
        <f>IFERROR(INDEX('02_SCHEDULE'!$L$5:$L$124,MATCH(AA721&amp;"|"&amp;AB721,'02_SCHEDULE'!$M$5:$M$124,0)),0)</f>
        <v>81</v>
      </c>
      <c r="AG721" s="51">
        <f t="shared" si="33"/>
        <v>1</v>
      </c>
    </row>
    <row r="722" spans="27:33" x14ac:dyDescent="0.3">
      <c r="AA722" s="51" t="str">
        <f>'Sites Master'!$B$14</f>
        <v>Site 13</v>
      </c>
      <c r="AB722" s="51" t="str">
        <f>'Phase-Resource Allocation'!$B$39</f>
        <v>DIALT</v>
      </c>
      <c r="AC722" s="51" t="str">
        <f>'Phase-Resource Allocation'!$C$39</f>
        <v>Trainers</v>
      </c>
      <c r="AD722" s="60">
        <f>'Phase-Resource Allocation'!$D$39</f>
        <v>1</v>
      </c>
      <c r="AE722" s="51">
        <f>IFERROR(INDEX('02_SCHEDULE'!$K$5:$K$124,MATCH(AA722&amp;"|"&amp;AB722,'02_SCHEDULE'!$M$5:$M$124,0)),0)</f>
        <v>81</v>
      </c>
      <c r="AF722" s="51">
        <f>IFERROR(INDEX('02_SCHEDULE'!$L$5:$L$124,MATCH(AA722&amp;"|"&amp;AB722,'02_SCHEDULE'!$M$5:$M$124,0)),0)</f>
        <v>81</v>
      </c>
      <c r="AG722" s="51">
        <f t="shared" si="33"/>
        <v>1</v>
      </c>
    </row>
    <row r="723" spans="27:33" x14ac:dyDescent="0.3">
      <c r="AA723" s="51" t="str">
        <f>'Sites Master'!$B$14</f>
        <v>Site 13</v>
      </c>
      <c r="AB723" s="51" t="str">
        <f>'Phase-Resource Allocation'!$B$40</f>
        <v>DIALT</v>
      </c>
      <c r="AC723" s="51" t="str">
        <f>'Phase-Resource Allocation'!$C$40</f>
        <v>Functional Lead Vendor A</v>
      </c>
      <c r="AD723" s="60">
        <f>'Phase-Resource Allocation'!$D$40</f>
        <v>1</v>
      </c>
      <c r="AE723" s="51">
        <f>IFERROR(INDEX('02_SCHEDULE'!$K$5:$K$124,MATCH(AA723&amp;"|"&amp;AB723,'02_SCHEDULE'!$M$5:$M$124,0)),0)</f>
        <v>81</v>
      </c>
      <c r="AF723" s="51">
        <f>IFERROR(INDEX('02_SCHEDULE'!$L$5:$L$124,MATCH(AA723&amp;"|"&amp;AB723,'02_SCHEDULE'!$M$5:$M$124,0)),0)</f>
        <v>81</v>
      </c>
      <c r="AG723" s="51">
        <f t="shared" si="33"/>
        <v>1</v>
      </c>
    </row>
    <row r="724" spans="27:33" x14ac:dyDescent="0.3">
      <c r="AA724" s="51" t="str">
        <f>'Sites Master'!$B$14</f>
        <v>Site 13</v>
      </c>
      <c r="AB724" s="51" t="str">
        <f>'Phase-Resource Allocation'!$B$41</f>
        <v>Go Live</v>
      </c>
      <c r="AC724" s="51" t="str">
        <f>'Phase-Resource Allocation'!$C$41</f>
        <v>Solution Architect</v>
      </c>
      <c r="AD724" s="60">
        <f>'Phase-Resource Allocation'!$D$41</f>
        <v>1</v>
      </c>
      <c r="AE724" s="51">
        <f>IFERROR(INDEX('02_SCHEDULE'!$K$5:$K$124,MATCH(AA724&amp;"|"&amp;AB724,'02_SCHEDULE'!$M$5:$M$124,0)),0)</f>
        <v>82</v>
      </c>
      <c r="AF724" s="51">
        <f>IFERROR(INDEX('02_SCHEDULE'!$L$5:$L$124,MATCH(AA724&amp;"|"&amp;AB724,'02_SCHEDULE'!$M$5:$M$124,0)),0)</f>
        <v>82</v>
      </c>
      <c r="AG724" s="51">
        <f t="shared" si="33"/>
        <v>1</v>
      </c>
    </row>
    <row r="725" spans="27:33" x14ac:dyDescent="0.3">
      <c r="AA725" s="51" t="str">
        <f>'Sites Master'!$B$14</f>
        <v>Site 13</v>
      </c>
      <c r="AB725" s="51" t="str">
        <f>'Phase-Resource Allocation'!$B$42</f>
        <v>Go Live</v>
      </c>
      <c r="AC725" s="51" t="str">
        <f>'Phase-Resource Allocation'!$C$42</f>
        <v>Change Management Lead</v>
      </c>
      <c r="AD725" s="60">
        <f>'Phase-Resource Allocation'!$D$42</f>
        <v>1</v>
      </c>
      <c r="AE725" s="51">
        <f>IFERROR(INDEX('02_SCHEDULE'!$K$5:$K$124,MATCH(AA725&amp;"|"&amp;AB725,'02_SCHEDULE'!$M$5:$M$124,0)),0)</f>
        <v>82</v>
      </c>
      <c r="AF725" s="51">
        <f>IFERROR(INDEX('02_SCHEDULE'!$L$5:$L$124,MATCH(AA725&amp;"|"&amp;AB725,'02_SCHEDULE'!$M$5:$M$124,0)),0)</f>
        <v>82</v>
      </c>
      <c r="AG725" s="51">
        <f t="shared" si="33"/>
        <v>1</v>
      </c>
    </row>
    <row r="726" spans="27:33" x14ac:dyDescent="0.3">
      <c r="AA726" s="51" t="str">
        <f>'Sites Master'!$B$14</f>
        <v>Site 13</v>
      </c>
      <c r="AB726" s="51" t="str">
        <f>'Phase-Resource Allocation'!$B$43</f>
        <v>Go Live</v>
      </c>
      <c r="AC726" s="51" t="str">
        <f>'Phase-Resource Allocation'!$C$43</f>
        <v>SAP Integrations Lead</v>
      </c>
      <c r="AD726" s="60">
        <f>'Phase-Resource Allocation'!$D$43</f>
        <v>1</v>
      </c>
      <c r="AE726" s="51">
        <f>IFERROR(INDEX('02_SCHEDULE'!$K$5:$K$124,MATCH(AA726&amp;"|"&amp;AB726,'02_SCHEDULE'!$M$5:$M$124,0)),0)</f>
        <v>82</v>
      </c>
      <c r="AF726" s="51">
        <f>IFERROR(INDEX('02_SCHEDULE'!$L$5:$L$124,MATCH(AA726&amp;"|"&amp;AB726,'02_SCHEDULE'!$M$5:$M$124,0)),0)</f>
        <v>82</v>
      </c>
      <c r="AG726" s="51">
        <f t="shared" si="33"/>
        <v>1</v>
      </c>
    </row>
    <row r="727" spans="27:33" x14ac:dyDescent="0.3">
      <c r="AA727" s="51" t="str">
        <f>'Sites Master'!$B$14</f>
        <v>Site 13</v>
      </c>
      <c r="AB727" s="51" t="str">
        <f>'Phase-Resource Allocation'!$B$44</f>
        <v>Go Live</v>
      </c>
      <c r="AC727" s="51" t="str">
        <f>'Phase-Resource Allocation'!$C$44</f>
        <v>SAP Integrations Specialist</v>
      </c>
      <c r="AD727" s="60">
        <f>'Phase-Resource Allocation'!$D$44</f>
        <v>1</v>
      </c>
      <c r="AE727" s="51">
        <f>IFERROR(INDEX('02_SCHEDULE'!$K$5:$K$124,MATCH(AA727&amp;"|"&amp;AB727,'02_SCHEDULE'!$M$5:$M$124,0)),0)</f>
        <v>82</v>
      </c>
      <c r="AF727" s="51">
        <f>IFERROR(INDEX('02_SCHEDULE'!$L$5:$L$124,MATCH(AA727&amp;"|"&amp;AB727,'02_SCHEDULE'!$M$5:$M$124,0)),0)</f>
        <v>82</v>
      </c>
      <c r="AG727" s="51">
        <f t="shared" si="33"/>
        <v>1</v>
      </c>
    </row>
    <row r="728" spans="27:33" x14ac:dyDescent="0.3">
      <c r="AA728" s="51" t="str">
        <f>'Sites Master'!$B$14</f>
        <v>Site 13</v>
      </c>
      <c r="AB728" s="51" t="str">
        <f>'Phase-Resource Allocation'!$B$45</f>
        <v>Go Live</v>
      </c>
      <c r="AC728" s="51" t="str">
        <f>'Phase-Resource Allocation'!$C$45</f>
        <v>Azure Lead</v>
      </c>
      <c r="AD728" s="60">
        <f>'Phase-Resource Allocation'!$D$45</f>
        <v>1</v>
      </c>
      <c r="AE728" s="51">
        <f>IFERROR(INDEX('02_SCHEDULE'!$K$5:$K$124,MATCH(AA728&amp;"|"&amp;AB728,'02_SCHEDULE'!$M$5:$M$124,0)),0)</f>
        <v>82</v>
      </c>
      <c r="AF728" s="51">
        <f>IFERROR(INDEX('02_SCHEDULE'!$L$5:$L$124,MATCH(AA728&amp;"|"&amp;AB728,'02_SCHEDULE'!$M$5:$M$124,0)),0)</f>
        <v>82</v>
      </c>
      <c r="AG728" s="51">
        <f t="shared" si="33"/>
        <v>1</v>
      </c>
    </row>
    <row r="729" spans="27:33" x14ac:dyDescent="0.3">
      <c r="AA729" s="51" t="str">
        <f>'Sites Master'!$B$14</f>
        <v>Site 13</v>
      </c>
      <c r="AB729" s="51" t="str">
        <f>'Phase-Resource Allocation'!$B$46</f>
        <v>Go Live</v>
      </c>
      <c r="AC729" s="51" t="str">
        <f>'Phase-Resource Allocation'!$C$46</f>
        <v>Azure Specialist</v>
      </c>
      <c r="AD729" s="60">
        <f>'Phase-Resource Allocation'!$D$46</f>
        <v>1</v>
      </c>
      <c r="AE729" s="51">
        <f>IFERROR(INDEX('02_SCHEDULE'!$K$5:$K$124,MATCH(AA729&amp;"|"&amp;AB729,'02_SCHEDULE'!$M$5:$M$124,0)),0)</f>
        <v>82</v>
      </c>
      <c r="AF729" s="51">
        <f>IFERROR(INDEX('02_SCHEDULE'!$L$5:$L$124,MATCH(AA729&amp;"|"&amp;AB729,'02_SCHEDULE'!$M$5:$M$124,0)),0)</f>
        <v>82</v>
      </c>
      <c r="AG729" s="51">
        <f t="shared" si="33"/>
        <v>1</v>
      </c>
    </row>
    <row r="730" spans="27:33" x14ac:dyDescent="0.3">
      <c r="AA730" s="51" t="str">
        <f>'Sites Master'!$B$14</f>
        <v>Site 13</v>
      </c>
      <c r="AB730" s="51" t="str">
        <f>'Phase-Resource Allocation'!$B$47</f>
        <v>Go Live</v>
      </c>
      <c r="AC730" s="51" t="str">
        <f>'Phase-Resource Allocation'!$C$47</f>
        <v>Functional Lead</v>
      </c>
      <c r="AD730" s="60">
        <f>'Phase-Resource Allocation'!$D$47</f>
        <v>1</v>
      </c>
      <c r="AE730" s="51">
        <f>IFERROR(INDEX('02_SCHEDULE'!$K$5:$K$124,MATCH(AA730&amp;"|"&amp;AB730,'02_SCHEDULE'!$M$5:$M$124,0)),0)</f>
        <v>82</v>
      </c>
      <c r="AF730" s="51">
        <f>IFERROR(INDEX('02_SCHEDULE'!$L$5:$L$124,MATCH(AA730&amp;"|"&amp;AB730,'02_SCHEDULE'!$M$5:$M$124,0)),0)</f>
        <v>82</v>
      </c>
      <c r="AG730" s="51">
        <f t="shared" si="33"/>
        <v>1</v>
      </c>
    </row>
    <row r="731" spans="27:33" x14ac:dyDescent="0.3">
      <c r="AA731" s="51" t="str">
        <f>'Sites Master'!$B$14</f>
        <v>Site 13</v>
      </c>
      <c r="AB731" s="51" t="str">
        <f>'Phase-Resource Allocation'!$B$48</f>
        <v>Go Live</v>
      </c>
      <c r="AC731" s="51" t="str">
        <f>'Phase-Resource Allocation'!$C$48</f>
        <v>Trainers</v>
      </c>
      <c r="AD731" s="60">
        <f>'Phase-Resource Allocation'!$D$48</f>
        <v>1</v>
      </c>
      <c r="AE731" s="51">
        <f>IFERROR(INDEX('02_SCHEDULE'!$K$5:$K$124,MATCH(AA731&amp;"|"&amp;AB731,'02_SCHEDULE'!$M$5:$M$124,0)),0)</f>
        <v>82</v>
      </c>
      <c r="AF731" s="51">
        <f>IFERROR(INDEX('02_SCHEDULE'!$L$5:$L$124,MATCH(AA731&amp;"|"&amp;AB731,'02_SCHEDULE'!$M$5:$M$124,0)),0)</f>
        <v>82</v>
      </c>
      <c r="AG731" s="51">
        <f t="shared" si="33"/>
        <v>1</v>
      </c>
    </row>
    <row r="732" spans="27:33" x14ac:dyDescent="0.3">
      <c r="AA732" s="51" t="str">
        <f>'Sites Master'!$B$14</f>
        <v>Site 13</v>
      </c>
      <c r="AB732" s="51" t="str">
        <f>'Phase-Resource Allocation'!$B$49</f>
        <v>Go Live</v>
      </c>
      <c r="AC732" s="51" t="str">
        <f>'Phase-Resource Allocation'!$C$49</f>
        <v>Infrastructure Lead</v>
      </c>
      <c r="AD732" s="60">
        <f>'Phase-Resource Allocation'!$D$49</f>
        <v>1</v>
      </c>
      <c r="AE732" s="51">
        <f>IFERROR(INDEX('02_SCHEDULE'!$K$5:$K$124,MATCH(AA732&amp;"|"&amp;AB732,'02_SCHEDULE'!$M$5:$M$124,0)),0)</f>
        <v>82</v>
      </c>
      <c r="AF732" s="51">
        <f>IFERROR(INDEX('02_SCHEDULE'!$L$5:$L$124,MATCH(AA732&amp;"|"&amp;AB732,'02_SCHEDULE'!$M$5:$M$124,0)),0)</f>
        <v>82</v>
      </c>
      <c r="AG732" s="51">
        <f t="shared" si="33"/>
        <v>1</v>
      </c>
    </row>
    <row r="733" spans="27:33" x14ac:dyDescent="0.3">
      <c r="AA733" s="51" t="str">
        <f>'Sites Master'!$B$14</f>
        <v>Site 13</v>
      </c>
      <c r="AB733" s="51" t="str">
        <f>'Phase-Resource Allocation'!$B$50</f>
        <v>Go Live</v>
      </c>
      <c r="AC733" s="51" t="str">
        <f>'Phase-Resource Allocation'!$C$50</f>
        <v>Functional Lead Vendor A</v>
      </c>
      <c r="AD733" s="60">
        <f>'Phase-Resource Allocation'!$D$50</f>
        <v>1</v>
      </c>
      <c r="AE733" s="51">
        <f>IFERROR(INDEX('02_SCHEDULE'!$K$5:$K$124,MATCH(AA733&amp;"|"&amp;AB733,'02_SCHEDULE'!$M$5:$M$124,0)),0)</f>
        <v>82</v>
      </c>
      <c r="AF733" s="51">
        <f>IFERROR(INDEX('02_SCHEDULE'!$L$5:$L$124,MATCH(AA733&amp;"|"&amp;AB733,'02_SCHEDULE'!$M$5:$M$124,0)),0)</f>
        <v>82</v>
      </c>
      <c r="AG733" s="51">
        <f t="shared" si="33"/>
        <v>1</v>
      </c>
    </row>
    <row r="734" spans="27:33" x14ac:dyDescent="0.3">
      <c r="AA734" s="51" t="str">
        <f>'Sites Master'!$B$14</f>
        <v>Site 13</v>
      </c>
      <c r="AB734" s="51" t="str">
        <f>'Phase-Resource Allocation'!$B$51</f>
        <v>Hypercare</v>
      </c>
      <c r="AC734" s="51" t="str">
        <f>'Phase-Resource Allocation'!$C$51</f>
        <v>Solution Architect</v>
      </c>
      <c r="AD734" s="60">
        <f>'Phase-Resource Allocation'!$D$51</f>
        <v>0.5</v>
      </c>
      <c r="AE734" s="51">
        <f>IFERROR(INDEX('02_SCHEDULE'!$K$5:$K$124,MATCH(AA734&amp;"|"&amp;AB734,'02_SCHEDULE'!$M$5:$M$124,0)),0)</f>
        <v>83</v>
      </c>
      <c r="AF734" s="51">
        <f>IFERROR(INDEX('02_SCHEDULE'!$L$5:$L$124,MATCH(AA734&amp;"|"&amp;AB734,'02_SCHEDULE'!$M$5:$M$124,0)),0)</f>
        <v>86</v>
      </c>
      <c r="AG734" s="51">
        <f t="shared" si="33"/>
        <v>2</v>
      </c>
    </row>
    <row r="735" spans="27:33" x14ac:dyDescent="0.3">
      <c r="AA735" s="51" t="str">
        <f>'Sites Master'!$B$14</f>
        <v>Site 13</v>
      </c>
      <c r="AB735" s="51" t="str">
        <f>'Phase-Resource Allocation'!$B$52</f>
        <v>Hypercare</v>
      </c>
      <c r="AC735" s="51" t="str">
        <f>'Phase-Resource Allocation'!$C$52</f>
        <v>Change Management Lead</v>
      </c>
      <c r="AD735" s="60">
        <f>'Phase-Resource Allocation'!$D$52</f>
        <v>1</v>
      </c>
      <c r="AE735" s="51">
        <f>IFERROR(INDEX('02_SCHEDULE'!$K$5:$K$124,MATCH(AA735&amp;"|"&amp;AB735,'02_SCHEDULE'!$M$5:$M$124,0)),0)</f>
        <v>83</v>
      </c>
      <c r="AF735" s="51">
        <f>IFERROR(INDEX('02_SCHEDULE'!$L$5:$L$124,MATCH(AA735&amp;"|"&amp;AB735,'02_SCHEDULE'!$M$5:$M$124,0)),0)</f>
        <v>86</v>
      </c>
      <c r="AG735" s="51">
        <f t="shared" si="33"/>
        <v>4</v>
      </c>
    </row>
    <row r="736" spans="27:33" x14ac:dyDescent="0.3">
      <c r="AA736" s="51" t="str">
        <f>'Sites Master'!$B$14</f>
        <v>Site 13</v>
      </c>
      <c r="AB736" s="51" t="str">
        <f>'Phase-Resource Allocation'!$B$53</f>
        <v>Hypercare</v>
      </c>
      <c r="AC736" s="51" t="str">
        <f>'Phase-Resource Allocation'!$C$53</f>
        <v>SAP Integrations Lead</v>
      </c>
      <c r="AD736" s="60">
        <f>'Phase-Resource Allocation'!$D$53</f>
        <v>0.5</v>
      </c>
      <c r="AE736" s="51">
        <f>IFERROR(INDEX('02_SCHEDULE'!$K$5:$K$124,MATCH(AA736&amp;"|"&amp;AB736,'02_SCHEDULE'!$M$5:$M$124,0)),0)</f>
        <v>83</v>
      </c>
      <c r="AF736" s="51">
        <f>IFERROR(INDEX('02_SCHEDULE'!$L$5:$L$124,MATCH(AA736&amp;"|"&amp;AB736,'02_SCHEDULE'!$M$5:$M$124,0)),0)</f>
        <v>86</v>
      </c>
      <c r="AG736" s="51">
        <f t="shared" si="33"/>
        <v>2</v>
      </c>
    </row>
    <row r="737" spans="27:33" x14ac:dyDescent="0.3">
      <c r="AA737" s="51" t="str">
        <f>'Sites Master'!$B$14</f>
        <v>Site 13</v>
      </c>
      <c r="AB737" s="51" t="str">
        <f>'Phase-Resource Allocation'!$B$54</f>
        <v>Hypercare</v>
      </c>
      <c r="AC737" s="51" t="str">
        <f>'Phase-Resource Allocation'!$C$54</f>
        <v>SAP Integrations Specialist</v>
      </c>
      <c r="AD737" s="60">
        <f>'Phase-Resource Allocation'!$D$54</f>
        <v>0.5</v>
      </c>
      <c r="AE737" s="51">
        <f>IFERROR(INDEX('02_SCHEDULE'!$K$5:$K$124,MATCH(AA737&amp;"|"&amp;AB737,'02_SCHEDULE'!$M$5:$M$124,0)),0)</f>
        <v>83</v>
      </c>
      <c r="AF737" s="51">
        <f>IFERROR(INDEX('02_SCHEDULE'!$L$5:$L$124,MATCH(AA737&amp;"|"&amp;AB737,'02_SCHEDULE'!$M$5:$M$124,0)),0)</f>
        <v>86</v>
      </c>
      <c r="AG737" s="51">
        <f t="shared" si="33"/>
        <v>2</v>
      </c>
    </row>
    <row r="738" spans="27:33" x14ac:dyDescent="0.3">
      <c r="AA738" s="51" t="str">
        <f>'Sites Master'!$B$14</f>
        <v>Site 13</v>
      </c>
      <c r="AB738" s="51" t="str">
        <f>'Phase-Resource Allocation'!$B$55</f>
        <v>Hypercare</v>
      </c>
      <c r="AC738" s="51" t="str">
        <f>'Phase-Resource Allocation'!$C$55</f>
        <v>Azure Lead</v>
      </c>
      <c r="AD738" s="60">
        <f>'Phase-Resource Allocation'!$D$55</f>
        <v>0.5</v>
      </c>
      <c r="AE738" s="51">
        <f>IFERROR(INDEX('02_SCHEDULE'!$K$5:$K$124,MATCH(AA738&amp;"|"&amp;AB738,'02_SCHEDULE'!$M$5:$M$124,0)),0)</f>
        <v>83</v>
      </c>
      <c r="AF738" s="51">
        <f>IFERROR(INDEX('02_SCHEDULE'!$L$5:$L$124,MATCH(AA738&amp;"|"&amp;AB738,'02_SCHEDULE'!$M$5:$M$124,0)),0)</f>
        <v>86</v>
      </c>
      <c r="AG738" s="51">
        <f t="shared" si="33"/>
        <v>2</v>
      </c>
    </row>
    <row r="739" spans="27:33" x14ac:dyDescent="0.3">
      <c r="AA739" s="51" t="str">
        <f>'Sites Master'!$B$14</f>
        <v>Site 13</v>
      </c>
      <c r="AB739" s="51" t="str">
        <f>'Phase-Resource Allocation'!$B$56</f>
        <v>Hypercare</v>
      </c>
      <c r="AC739" s="51" t="str">
        <f>'Phase-Resource Allocation'!$C$56</f>
        <v>Azure Specialist</v>
      </c>
      <c r="AD739" s="60">
        <f>'Phase-Resource Allocation'!$D$56</f>
        <v>0.5</v>
      </c>
      <c r="AE739" s="51">
        <f>IFERROR(INDEX('02_SCHEDULE'!$K$5:$K$124,MATCH(AA739&amp;"|"&amp;AB739,'02_SCHEDULE'!$M$5:$M$124,0)),0)</f>
        <v>83</v>
      </c>
      <c r="AF739" s="51">
        <f>IFERROR(INDEX('02_SCHEDULE'!$L$5:$L$124,MATCH(AA739&amp;"|"&amp;AB739,'02_SCHEDULE'!$M$5:$M$124,0)),0)</f>
        <v>86</v>
      </c>
      <c r="AG739" s="51">
        <f t="shared" si="33"/>
        <v>2</v>
      </c>
    </row>
    <row r="740" spans="27:33" x14ac:dyDescent="0.3">
      <c r="AA740" s="51" t="str">
        <f>'Sites Master'!$B$14</f>
        <v>Site 13</v>
      </c>
      <c r="AB740" s="51" t="str">
        <f>'Phase-Resource Allocation'!$B$57</f>
        <v>Hypercare</v>
      </c>
      <c r="AC740" s="51" t="str">
        <f>'Phase-Resource Allocation'!$C$57</f>
        <v>Functional Lead</v>
      </c>
      <c r="AD740" s="60">
        <f>'Phase-Resource Allocation'!$D$57</f>
        <v>1</v>
      </c>
      <c r="AE740" s="51">
        <f>IFERROR(INDEX('02_SCHEDULE'!$K$5:$K$124,MATCH(AA740&amp;"|"&amp;AB740,'02_SCHEDULE'!$M$5:$M$124,0)),0)</f>
        <v>83</v>
      </c>
      <c r="AF740" s="51">
        <f>IFERROR(INDEX('02_SCHEDULE'!$L$5:$L$124,MATCH(AA740&amp;"|"&amp;AB740,'02_SCHEDULE'!$M$5:$M$124,0)),0)</f>
        <v>86</v>
      </c>
      <c r="AG740" s="51">
        <f t="shared" si="33"/>
        <v>4</v>
      </c>
    </row>
    <row r="741" spans="27:33" x14ac:dyDescent="0.3">
      <c r="AA741" s="51" t="str">
        <f>'Sites Master'!$B$14</f>
        <v>Site 13</v>
      </c>
      <c r="AB741" s="51" t="str">
        <f>'Phase-Resource Allocation'!$B$58</f>
        <v>Hypercare</v>
      </c>
      <c r="AC741" s="51" t="str">
        <f>'Phase-Resource Allocation'!$C$58</f>
        <v>Functional Lead</v>
      </c>
      <c r="AD741" s="60">
        <f>'Phase-Resource Allocation'!$D$58</f>
        <v>1</v>
      </c>
      <c r="AE741" s="51">
        <f>IFERROR(INDEX('02_SCHEDULE'!$K$5:$K$124,MATCH(AA741&amp;"|"&amp;AB741,'02_SCHEDULE'!$M$5:$M$124,0)),0)</f>
        <v>83</v>
      </c>
      <c r="AF741" s="51">
        <f>IFERROR(INDEX('02_SCHEDULE'!$L$5:$L$124,MATCH(AA741&amp;"|"&amp;AB741,'02_SCHEDULE'!$M$5:$M$124,0)),0)</f>
        <v>86</v>
      </c>
      <c r="AG741" s="51">
        <f t="shared" si="33"/>
        <v>4</v>
      </c>
    </row>
    <row r="742" spans="27:33" x14ac:dyDescent="0.3">
      <c r="AA742" s="51" t="str">
        <f>'Sites Master'!$B$14</f>
        <v>Site 13</v>
      </c>
      <c r="AB742" s="51" t="str">
        <f>'Phase-Resource Allocation'!$B$59</f>
        <v>Hypercare</v>
      </c>
      <c r="AC742" s="51" t="str">
        <f>'Phase-Resource Allocation'!$C$59</f>
        <v>Trainers</v>
      </c>
      <c r="AD742" s="60">
        <f>'Phase-Resource Allocation'!$D$59</f>
        <v>1</v>
      </c>
      <c r="AE742" s="51">
        <f>IFERROR(INDEX('02_SCHEDULE'!$K$5:$K$124,MATCH(AA742&amp;"|"&amp;AB742,'02_SCHEDULE'!$M$5:$M$124,0)),0)</f>
        <v>83</v>
      </c>
      <c r="AF742" s="51">
        <f>IFERROR(INDEX('02_SCHEDULE'!$L$5:$L$124,MATCH(AA742&amp;"|"&amp;AB742,'02_SCHEDULE'!$M$5:$M$124,0)),0)</f>
        <v>86</v>
      </c>
      <c r="AG742" s="51">
        <f t="shared" si="33"/>
        <v>4</v>
      </c>
    </row>
    <row r="743" spans="27:33" x14ac:dyDescent="0.3">
      <c r="AA743" s="51" t="str">
        <f>'Sites Master'!$B$14</f>
        <v>Site 13</v>
      </c>
      <c r="AB743" s="51" t="str">
        <f>'Phase-Resource Allocation'!$B$60</f>
        <v>Hypercare</v>
      </c>
      <c r="AC743" s="51" t="str">
        <f>'Phase-Resource Allocation'!$C$60</f>
        <v>Trainers</v>
      </c>
      <c r="AD743" s="60">
        <f>'Phase-Resource Allocation'!$D$60</f>
        <v>1</v>
      </c>
      <c r="AE743" s="51">
        <f>IFERROR(INDEX('02_SCHEDULE'!$K$5:$K$124,MATCH(AA743&amp;"|"&amp;AB743,'02_SCHEDULE'!$M$5:$M$124,0)),0)</f>
        <v>83</v>
      </c>
      <c r="AF743" s="51">
        <f>IFERROR(INDEX('02_SCHEDULE'!$L$5:$L$124,MATCH(AA743&amp;"|"&amp;AB743,'02_SCHEDULE'!$M$5:$M$124,0)),0)</f>
        <v>86</v>
      </c>
      <c r="AG743" s="51">
        <f t="shared" si="33"/>
        <v>4</v>
      </c>
    </row>
    <row r="744" spans="27:33" x14ac:dyDescent="0.3">
      <c r="AA744" s="51" t="str">
        <f>'Sites Master'!$B$14</f>
        <v>Site 13</v>
      </c>
      <c r="AB744" s="51" t="str">
        <f>'Phase-Resource Allocation'!$B$61</f>
        <v>Hypercare</v>
      </c>
      <c r="AC744" s="51" t="str">
        <f>'Phase-Resource Allocation'!$C$61</f>
        <v>Trainers</v>
      </c>
      <c r="AD744" s="60">
        <f>'Phase-Resource Allocation'!$D$61</f>
        <v>1</v>
      </c>
      <c r="AE744" s="51">
        <f>IFERROR(INDEX('02_SCHEDULE'!$K$5:$K$124,MATCH(AA744&amp;"|"&amp;AB744,'02_SCHEDULE'!$M$5:$M$124,0)),0)</f>
        <v>83</v>
      </c>
      <c r="AF744" s="51">
        <f>IFERROR(INDEX('02_SCHEDULE'!$L$5:$L$124,MATCH(AA744&amp;"|"&amp;AB744,'02_SCHEDULE'!$M$5:$M$124,0)),0)</f>
        <v>86</v>
      </c>
      <c r="AG744" s="51">
        <f t="shared" si="33"/>
        <v>4</v>
      </c>
    </row>
    <row r="745" spans="27:33" x14ac:dyDescent="0.3">
      <c r="AA745" s="51" t="str">
        <f>'Sites Master'!$B$14</f>
        <v>Site 13</v>
      </c>
      <c r="AB745" s="51" t="str">
        <f>'Phase-Resource Allocation'!$B$62</f>
        <v>Hypercare</v>
      </c>
      <c r="AC745" s="51" t="str">
        <f>'Phase-Resource Allocation'!$C$62</f>
        <v>Infrastructure Lead</v>
      </c>
      <c r="AD745" s="60">
        <f>'Phase-Resource Allocation'!$D$62</f>
        <v>1</v>
      </c>
      <c r="AE745" s="51">
        <f>IFERROR(INDEX('02_SCHEDULE'!$K$5:$K$124,MATCH(AA745&amp;"|"&amp;AB745,'02_SCHEDULE'!$M$5:$M$124,0)),0)</f>
        <v>83</v>
      </c>
      <c r="AF745" s="51">
        <f>IFERROR(INDEX('02_SCHEDULE'!$L$5:$L$124,MATCH(AA745&amp;"|"&amp;AB745,'02_SCHEDULE'!$M$5:$M$124,0)),0)</f>
        <v>86</v>
      </c>
      <c r="AG745" s="51">
        <f t="shared" si="33"/>
        <v>4</v>
      </c>
    </row>
    <row r="746" spans="27:33" x14ac:dyDescent="0.3">
      <c r="AA746" s="51" t="str">
        <f>'Sites Master'!$B$14</f>
        <v>Site 13</v>
      </c>
      <c r="AB746" s="51" t="str">
        <f>'Phase-Resource Allocation'!$B$63</f>
        <v>Hypercare</v>
      </c>
      <c r="AC746" s="51" t="str">
        <f>'Phase-Resource Allocation'!$C$63</f>
        <v>Functional Lead Vendor A</v>
      </c>
      <c r="AD746" s="60">
        <f>'Phase-Resource Allocation'!$D$63</f>
        <v>0.5</v>
      </c>
      <c r="AE746" s="51">
        <f>IFERROR(INDEX('02_SCHEDULE'!$K$5:$K$124,MATCH(AA746&amp;"|"&amp;AB746,'02_SCHEDULE'!$M$5:$M$124,0)),0)</f>
        <v>83</v>
      </c>
      <c r="AF746" s="51">
        <f>IFERROR(INDEX('02_SCHEDULE'!$L$5:$L$124,MATCH(AA746&amp;"|"&amp;AB746,'02_SCHEDULE'!$M$5:$M$124,0)),0)</f>
        <v>86</v>
      </c>
      <c r="AG746" s="51">
        <f t="shared" si="33"/>
        <v>2</v>
      </c>
    </row>
    <row r="747" spans="27:33" x14ac:dyDescent="0.3">
      <c r="AA747" s="51" t="str">
        <f>'Sites Master'!$B$15</f>
        <v>Site 14</v>
      </c>
      <c r="AB747" s="51" t="str">
        <f>'Phase-Resource Allocation'!$B$2</f>
        <v>Site Readiness</v>
      </c>
      <c r="AC747" s="51" t="str">
        <f>'Phase-Resource Allocation'!$C$2</f>
        <v>Infrastructure Lead</v>
      </c>
      <c r="AD747" s="60">
        <f>'Phase-Resource Allocation'!$D$2</f>
        <v>1</v>
      </c>
      <c r="AE747" s="51">
        <f>IFERROR(INDEX('02_SCHEDULE'!$K$5:$K$124,MATCH(AA747&amp;"|"&amp;AB747,'02_SCHEDULE'!$M$5:$M$124,0)),0)</f>
        <v>66</v>
      </c>
      <c r="AF747" s="51">
        <f>IFERROR(INDEX('02_SCHEDULE'!$L$5:$L$124,MATCH(AA747&amp;"|"&amp;AB747,'02_SCHEDULE'!$M$5:$M$124,0)),0)</f>
        <v>70</v>
      </c>
      <c r="AG747" s="51">
        <f t="shared" si="33"/>
        <v>5</v>
      </c>
    </row>
    <row r="748" spans="27:33" x14ac:dyDescent="0.3">
      <c r="AA748" s="51" t="str">
        <f>'Sites Master'!$B$15</f>
        <v>Site 14</v>
      </c>
      <c r="AB748" s="51" t="str">
        <f>'Phase-Resource Allocation'!$B$3</f>
        <v>Site Readiness</v>
      </c>
      <c r="AC748" s="51" t="str">
        <f>'Phase-Resource Allocation'!$C$3</f>
        <v>SAP Integrations Lead</v>
      </c>
      <c r="AD748" s="60">
        <f>'Phase-Resource Allocation'!$D$3</f>
        <v>0.5</v>
      </c>
      <c r="AE748" s="51">
        <f>IFERROR(INDEX('02_SCHEDULE'!$K$5:$K$124,MATCH(AA748&amp;"|"&amp;AB748,'02_SCHEDULE'!$M$5:$M$124,0)),0)</f>
        <v>66</v>
      </c>
      <c r="AF748" s="51">
        <f>IFERROR(INDEX('02_SCHEDULE'!$L$5:$L$124,MATCH(AA748&amp;"|"&amp;AB748,'02_SCHEDULE'!$M$5:$M$124,0)),0)</f>
        <v>70</v>
      </c>
      <c r="AG748" s="51">
        <f t="shared" si="33"/>
        <v>2.5</v>
      </c>
    </row>
    <row r="749" spans="27:33" x14ac:dyDescent="0.3">
      <c r="AA749" s="51" t="str">
        <f>'Sites Master'!$B$15</f>
        <v>Site 14</v>
      </c>
      <c r="AB749" s="51" t="str">
        <f>'Phase-Resource Allocation'!$B$4</f>
        <v>Design Adaptation</v>
      </c>
      <c r="AC749" s="51" t="str">
        <f>'Phase-Resource Allocation'!$C$4</f>
        <v>Solution Architect</v>
      </c>
      <c r="AD749" s="60">
        <f>'Phase-Resource Allocation'!$D$4</f>
        <v>1</v>
      </c>
      <c r="AE749" s="51">
        <f>IFERROR(INDEX('02_SCHEDULE'!$K$5:$K$124,MATCH(AA749&amp;"|"&amp;AB749,'02_SCHEDULE'!$M$5:$M$124,0)),0)</f>
        <v>71</v>
      </c>
      <c r="AF749" s="51">
        <f>IFERROR(INDEX('02_SCHEDULE'!$L$5:$L$124,MATCH(AA749&amp;"|"&amp;AB749,'02_SCHEDULE'!$M$5:$M$124,0)),0)</f>
        <v>72</v>
      </c>
      <c r="AG749" s="51">
        <f t="shared" si="33"/>
        <v>2</v>
      </c>
    </row>
    <row r="750" spans="27:33" x14ac:dyDescent="0.3">
      <c r="AA750" s="51" t="str">
        <f>'Sites Master'!$B$15</f>
        <v>Site 14</v>
      </c>
      <c r="AB750" s="51" t="str">
        <f>'Phase-Resource Allocation'!$B$5</f>
        <v>Design Adaptation</v>
      </c>
      <c r="AC750" s="51" t="str">
        <f>'Phase-Resource Allocation'!$C$5</f>
        <v>SAP Integrations Lead</v>
      </c>
      <c r="AD750" s="60">
        <f>'Phase-Resource Allocation'!$D$5</f>
        <v>0.5</v>
      </c>
      <c r="AE750" s="51">
        <f>IFERROR(INDEX('02_SCHEDULE'!$K$5:$K$124,MATCH(AA750&amp;"|"&amp;AB750,'02_SCHEDULE'!$M$5:$M$124,0)),0)</f>
        <v>71</v>
      </c>
      <c r="AF750" s="51">
        <f>IFERROR(INDEX('02_SCHEDULE'!$L$5:$L$124,MATCH(AA750&amp;"|"&amp;AB750,'02_SCHEDULE'!$M$5:$M$124,0)),0)</f>
        <v>72</v>
      </c>
      <c r="AG750" s="51">
        <f t="shared" si="33"/>
        <v>1</v>
      </c>
    </row>
    <row r="751" spans="27:33" x14ac:dyDescent="0.3">
      <c r="AA751" s="51" t="str">
        <f>'Sites Master'!$B$15</f>
        <v>Site 14</v>
      </c>
      <c r="AB751" s="51" t="str">
        <f>'Phase-Resource Allocation'!$B$6</f>
        <v>Design Adaptation</v>
      </c>
      <c r="AC751" s="51" t="str">
        <f>'Phase-Resource Allocation'!$C$6</f>
        <v>SAP Integrations Specialist</v>
      </c>
      <c r="AD751" s="60">
        <f>'Phase-Resource Allocation'!$D$6</f>
        <v>0.5</v>
      </c>
      <c r="AE751" s="51">
        <f>IFERROR(INDEX('02_SCHEDULE'!$K$5:$K$124,MATCH(AA751&amp;"|"&amp;AB751,'02_SCHEDULE'!$M$5:$M$124,0)),0)</f>
        <v>71</v>
      </c>
      <c r="AF751" s="51">
        <f>IFERROR(INDEX('02_SCHEDULE'!$L$5:$L$124,MATCH(AA751&amp;"|"&amp;AB751,'02_SCHEDULE'!$M$5:$M$124,0)),0)</f>
        <v>72</v>
      </c>
      <c r="AG751" s="51">
        <f t="shared" si="33"/>
        <v>1</v>
      </c>
    </row>
    <row r="752" spans="27:33" x14ac:dyDescent="0.3">
      <c r="AA752" s="51" t="str">
        <f>'Sites Master'!$B$15</f>
        <v>Site 14</v>
      </c>
      <c r="AB752" s="51" t="str">
        <f>'Phase-Resource Allocation'!$B$7</f>
        <v>Design Adaptation</v>
      </c>
      <c r="AC752" s="51" t="str">
        <f>'Phase-Resource Allocation'!$C$7</f>
        <v>Azure Lead</v>
      </c>
      <c r="AD752" s="60">
        <f>'Phase-Resource Allocation'!$D$7</f>
        <v>0.5</v>
      </c>
      <c r="AE752" s="51">
        <f>IFERROR(INDEX('02_SCHEDULE'!$K$5:$K$124,MATCH(AA752&amp;"|"&amp;AB752,'02_SCHEDULE'!$M$5:$M$124,0)),0)</f>
        <v>71</v>
      </c>
      <c r="AF752" s="51">
        <f>IFERROR(INDEX('02_SCHEDULE'!$L$5:$L$124,MATCH(AA752&amp;"|"&amp;AB752,'02_SCHEDULE'!$M$5:$M$124,0)),0)</f>
        <v>72</v>
      </c>
      <c r="AG752" s="51">
        <f t="shared" si="33"/>
        <v>1</v>
      </c>
    </row>
    <row r="753" spans="27:33" x14ac:dyDescent="0.3">
      <c r="AA753" s="51" t="str">
        <f>'Sites Master'!$B$15</f>
        <v>Site 14</v>
      </c>
      <c r="AB753" s="51" t="str">
        <f>'Phase-Resource Allocation'!$B$8</f>
        <v>Design Adaptation</v>
      </c>
      <c r="AC753" s="51" t="str">
        <f>'Phase-Resource Allocation'!$C$8</f>
        <v>Azure Specialist</v>
      </c>
      <c r="AD753" s="60">
        <f>'Phase-Resource Allocation'!$D$8</f>
        <v>0.5</v>
      </c>
      <c r="AE753" s="51">
        <f>IFERROR(INDEX('02_SCHEDULE'!$K$5:$K$124,MATCH(AA753&amp;"|"&amp;AB753,'02_SCHEDULE'!$M$5:$M$124,0)),0)</f>
        <v>71</v>
      </c>
      <c r="AF753" s="51">
        <f>IFERROR(INDEX('02_SCHEDULE'!$L$5:$L$124,MATCH(AA753&amp;"|"&amp;AB753,'02_SCHEDULE'!$M$5:$M$124,0)),0)</f>
        <v>72</v>
      </c>
      <c r="AG753" s="51">
        <f t="shared" si="33"/>
        <v>1</v>
      </c>
    </row>
    <row r="754" spans="27:33" x14ac:dyDescent="0.3">
      <c r="AA754" s="51" t="str">
        <f>'Sites Master'!$B$15</f>
        <v>Site 14</v>
      </c>
      <c r="AB754" s="51" t="str">
        <f>'Phase-Resource Allocation'!$B$9</f>
        <v>Design Adaptation</v>
      </c>
      <c r="AC754" s="51" t="str">
        <f>'Phase-Resource Allocation'!$C$9</f>
        <v>Testing Lead</v>
      </c>
      <c r="AD754" s="60">
        <f>'Phase-Resource Allocation'!$D$9</f>
        <v>1</v>
      </c>
      <c r="AE754" s="51">
        <f>IFERROR(INDEX('02_SCHEDULE'!$K$5:$K$124,MATCH(AA754&amp;"|"&amp;AB754,'02_SCHEDULE'!$M$5:$M$124,0)),0)</f>
        <v>71</v>
      </c>
      <c r="AF754" s="51">
        <f>IFERROR(INDEX('02_SCHEDULE'!$L$5:$L$124,MATCH(AA754&amp;"|"&amp;AB754,'02_SCHEDULE'!$M$5:$M$124,0)),0)</f>
        <v>72</v>
      </c>
      <c r="AG754" s="51">
        <f t="shared" si="33"/>
        <v>2</v>
      </c>
    </row>
    <row r="755" spans="27:33" x14ac:dyDescent="0.3">
      <c r="AA755" s="51" t="str">
        <f>'Sites Master'!$B$15</f>
        <v>Site 14</v>
      </c>
      <c r="AB755" s="51" t="str">
        <f>'Phase-Resource Allocation'!$B$10</f>
        <v>Design Adaptation</v>
      </c>
      <c r="AC755" s="51" t="str">
        <f>'Phase-Resource Allocation'!$C$10</f>
        <v>Functional Lead</v>
      </c>
      <c r="AD755" s="60">
        <f>'Phase-Resource Allocation'!$D$10</f>
        <v>1</v>
      </c>
      <c r="AE755" s="51">
        <f>IFERROR(INDEX('02_SCHEDULE'!$K$5:$K$124,MATCH(AA755&amp;"|"&amp;AB755,'02_SCHEDULE'!$M$5:$M$124,0)),0)</f>
        <v>71</v>
      </c>
      <c r="AF755" s="51">
        <f>IFERROR(INDEX('02_SCHEDULE'!$L$5:$L$124,MATCH(AA755&amp;"|"&amp;AB755,'02_SCHEDULE'!$M$5:$M$124,0)),0)</f>
        <v>72</v>
      </c>
      <c r="AG755" s="51">
        <f t="shared" si="33"/>
        <v>2</v>
      </c>
    </row>
    <row r="756" spans="27:33" x14ac:dyDescent="0.3">
      <c r="AA756" s="51" t="str">
        <f>'Sites Master'!$B$15</f>
        <v>Site 14</v>
      </c>
      <c r="AB756" s="51" t="str">
        <f>'Phase-Resource Allocation'!$B$11</f>
        <v>Design Adaptation</v>
      </c>
      <c r="AC756" s="51" t="str">
        <f>'Phase-Resource Allocation'!$C$11</f>
        <v>Trainers</v>
      </c>
      <c r="AD756" s="60">
        <f>'Phase-Resource Allocation'!$D$11</f>
        <v>1</v>
      </c>
      <c r="AE756" s="51">
        <f>IFERROR(INDEX('02_SCHEDULE'!$K$5:$K$124,MATCH(AA756&amp;"|"&amp;AB756,'02_SCHEDULE'!$M$5:$M$124,0)),0)</f>
        <v>71</v>
      </c>
      <c r="AF756" s="51">
        <f>IFERROR(INDEX('02_SCHEDULE'!$L$5:$L$124,MATCH(AA756&amp;"|"&amp;AB756,'02_SCHEDULE'!$M$5:$M$124,0)),0)</f>
        <v>72</v>
      </c>
      <c r="AG756" s="51">
        <f t="shared" si="33"/>
        <v>2</v>
      </c>
    </row>
    <row r="757" spans="27:33" x14ac:dyDescent="0.3">
      <c r="AA757" s="51" t="str">
        <f>'Sites Master'!$B$15</f>
        <v>Site 14</v>
      </c>
      <c r="AB757" s="51" t="str">
        <f>'Phase-Resource Allocation'!$B$12</f>
        <v>Design Adaptation</v>
      </c>
      <c r="AC757" s="51" t="str">
        <f>'Phase-Resource Allocation'!$C$12</f>
        <v>Infrastructure Lead</v>
      </c>
      <c r="AD757" s="60">
        <f>'Phase-Resource Allocation'!$D$12</f>
        <v>1</v>
      </c>
      <c r="AE757" s="51">
        <f>IFERROR(INDEX('02_SCHEDULE'!$K$5:$K$124,MATCH(AA757&amp;"|"&amp;AB757,'02_SCHEDULE'!$M$5:$M$124,0)),0)</f>
        <v>71</v>
      </c>
      <c r="AF757" s="51">
        <f>IFERROR(INDEX('02_SCHEDULE'!$L$5:$L$124,MATCH(AA757&amp;"|"&amp;AB757,'02_SCHEDULE'!$M$5:$M$124,0)),0)</f>
        <v>72</v>
      </c>
      <c r="AG757" s="51">
        <f t="shared" si="33"/>
        <v>2</v>
      </c>
    </row>
    <row r="758" spans="27:33" x14ac:dyDescent="0.3">
      <c r="AA758" s="51" t="str">
        <f>'Sites Master'!$B$15</f>
        <v>Site 14</v>
      </c>
      <c r="AB758" s="51" t="str">
        <f>'Phase-Resource Allocation'!$B$13</f>
        <v>Design Adaptation</v>
      </c>
      <c r="AC758" s="51" t="str">
        <f>'Phase-Resource Allocation'!$C$13</f>
        <v>Functional Lead Vendor A</v>
      </c>
      <c r="AD758" s="60">
        <f>'Phase-Resource Allocation'!$D$13</f>
        <v>1</v>
      </c>
      <c r="AE758" s="51">
        <f>IFERROR(INDEX('02_SCHEDULE'!$K$5:$K$124,MATCH(AA758&amp;"|"&amp;AB758,'02_SCHEDULE'!$M$5:$M$124,0)),0)</f>
        <v>71</v>
      </c>
      <c r="AF758" s="51">
        <f>IFERROR(INDEX('02_SCHEDULE'!$L$5:$L$124,MATCH(AA758&amp;"|"&amp;AB758,'02_SCHEDULE'!$M$5:$M$124,0)),0)</f>
        <v>72</v>
      </c>
      <c r="AG758" s="51">
        <f t="shared" si="33"/>
        <v>2</v>
      </c>
    </row>
    <row r="759" spans="27:33" x14ac:dyDescent="0.3">
      <c r="AA759" s="51" t="str">
        <f>'Sites Master'!$B$15</f>
        <v>Site 14</v>
      </c>
      <c r="AB759" s="51" t="str">
        <f>'Phase-Resource Allocation'!$B$14</f>
        <v>Functional Review</v>
      </c>
      <c r="AC759" s="51" t="str">
        <f>'Phase-Resource Allocation'!$C$14</f>
        <v>Solution Architect</v>
      </c>
      <c r="AD759" s="60">
        <f>'Phase-Resource Allocation'!$D$14</f>
        <v>0.5</v>
      </c>
      <c r="AE759" s="51">
        <f>IFERROR(INDEX('02_SCHEDULE'!$K$5:$K$124,MATCH(AA759&amp;"|"&amp;AB759,'02_SCHEDULE'!$M$5:$M$124,0)),0)</f>
        <v>73</v>
      </c>
      <c r="AF759" s="51">
        <f>IFERROR(INDEX('02_SCHEDULE'!$L$5:$L$124,MATCH(AA759&amp;"|"&amp;AB759,'02_SCHEDULE'!$M$5:$M$124,0)),0)</f>
        <v>73</v>
      </c>
      <c r="AG759" s="51">
        <f t="shared" si="33"/>
        <v>0.5</v>
      </c>
    </row>
    <row r="760" spans="27:33" x14ac:dyDescent="0.3">
      <c r="AA760" s="51" t="str">
        <f>'Sites Master'!$B$15</f>
        <v>Site 14</v>
      </c>
      <c r="AB760" s="51" t="str">
        <f>'Phase-Resource Allocation'!$B$15</f>
        <v>Functional Review</v>
      </c>
      <c r="AC760" s="51" t="str">
        <f>'Phase-Resource Allocation'!$C$15</f>
        <v>Change Management Lead</v>
      </c>
      <c r="AD760" s="60">
        <f>'Phase-Resource Allocation'!$D$15</f>
        <v>1</v>
      </c>
      <c r="AE760" s="51">
        <f>IFERROR(INDEX('02_SCHEDULE'!$K$5:$K$124,MATCH(AA760&amp;"|"&amp;AB760,'02_SCHEDULE'!$M$5:$M$124,0)),0)</f>
        <v>73</v>
      </c>
      <c r="AF760" s="51">
        <f>IFERROR(INDEX('02_SCHEDULE'!$L$5:$L$124,MATCH(AA760&amp;"|"&amp;AB760,'02_SCHEDULE'!$M$5:$M$124,0)),0)</f>
        <v>73</v>
      </c>
      <c r="AG760" s="51">
        <f t="shared" si="33"/>
        <v>1</v>
      </c>
    </row>
    <row r="761" spans="27:33" x14ac:dyDescent="0.3">
      <c r="AA761" s="51" t="str">
        <f>'Sites Master'!$B$15</f>
        <v>Site 14</v>
      </c>
      <c r="AB761" s="51" t="str">
        <f>'Phase-Resource Allocation'!$B$16</f>
        <v>Functional Review</v>
      </c>
      <c r="AC761" s="51" t="str">
        <f>'Phase-Resource Allocation'!$C$16</f>
        <v>SAP Integrations Lead</v>
      </c>
      <c r="AD761" s="60">
        <f>'Phase-Resource Allocation'!$D$16</f>
        <v>0.5</v>
      </c>
      <c r="AE761" s="51">
        <f>IFERROR(INDEX('02_SCHEDULE'!$K$5:$K$124,MATCH(AA761&amp;"|"&amp;AB761,'02_SCHEDULE'!$M$5:$M$124,0)),0)</f>
        <v>73</v>
      </c>
      <c r="AF761" s="51">
        <f>IFERROR(INDEX('02_SCHEDULE'!$L$5:$L$124,MATCH(AA761&amp;"|"&amp;AB761,'02_SCHEDULE'!$M$5:$M$124,0)),0)</f>
        <v>73</v>
      </c>
      <c r="AG761" s="51">
        <f t="shared" si="33"/>
        <v>0.5</v>
      </c>
    </row>
    <row r="762" spans="27:33" x14ac:dyDescent="0.3">
      <c r="AA762" s="51" t="str">
        <f>'Sites Master'!$B$15</f>
        <v>Site 14</v>
      </c>
      <c r="AB762" s="51" t="str">
        <f>'Phase-Resource Allocation'!$B$17</f>
        <v>Functional Review</v>
      </c>
      <c r="AC762" s="51" t="str">
        <f>'Phase-Resource Allocation'!$C$17</f>
        <v>SAP Integrations Specialist</v>
      </c>
      <c r="AD762" s="60">
        <f>'Phase-Resource Allocation'!$D$17</f>
        <v>0.5</v>
      </c>
      <c r="AE762" s="51">
        <f>IFERROR(INDEX('02_SCHEDULE'!$K$5:$K$124,MATCH(AA762&amp;"|"&amp;AB762,'02_SCHEDULE'!$M$5:$M$124,0)),0)</f>
        <v>73</v>
      </c>
      <c r="AF762" s="51">
        <f>IFERROR(INDEX('02_SCHEDULE'!$L$5:$L$124,MATCH(AA762&amp;"|"&amp;AB762,'02_SCHEDULE'!$M$5:$M$124,0)),0)</f>
        <v>73</v>
      </c>
      <c r="AG762" s="51">
        <f t="shared" si="33"/>
        <v>0.5</v>
      </c>
    </row>
    <row r="763" spans="27:33" x14ac:dyDescent="0.3">
      <c r="AA763" s="51" t="str">
        <f>'Sites Master'!$B$15</f>
        <v>Site 14</v>
      </c>
      <c r="AB763" s="51" t="str">
        <f>'Phase-Resource Allocation'!$B$18</f>
        <v>Functional Review</v>
      </c>
      <c r="AC763" s="51" t="str">
        <f>'Phase-Resource Allocation'!$C$18</f>
        <v>Azure Lead</v>
      </c>
      <c r="AD763" s="60">
        <f>'Phase-Resource Allocation'!$D$18</f>
        <v>0.5</v>
      </c>
      <c r="AE763" s="51">
        <f>IFERROR(INDEX('02_SCHEDULE'!$K$5:$K$124,MATCH(AA763&amp;"|"&amp;AB763,'02_SCHEDULE'!$M$5:$M$124,0)),0)</f>
        <v>73</v>
      </c>
      <c r="AF763" s="51">
        <f>IFERROR(INDEX('02_SCHEDULE'!$L$5:$L$124,MATCH(AA763&amp;"|"&amp;AB763,'02_SCHEDULE'!$M$5:$M$124,0)),0)</f>
        <v>73</v>
      </c>
      <c r="AG763" s="51">
        <f t="shared" si="33"/>
        <v>0.5</v>
      </c>
    </row>
    <row r="764" spans="27:33" x14ac:dyDescent="0.3">
      <c r="AA764" s="51" t="str">
        <f>'Sites Master'!$B$15</f>
        <v>Site 14</v>
      </c>
      <c r="AB764" s="51" t="str">
        <f>'Phase-Resource Allocation'!$B$19</f>
        <v>Functional Review</v>
      </c>
      <c r="AC764" s="51" t="str">
        <f>'Phase-Resource Allocation'!$C$19</f>
        <v>Azure Specialist</v>
      </c>
      <c r="AD764" s="60">
        <f>'Phase-Resource Allocation'!$D$19</f>
        <v>0.5</v>
      </c>
      <c r="AE764" s="51">
        <f>IFERROR(INDEX('02_SCHEDULE'!$K$5:$K$124,MATCH(AA764&amp;"|"&amp;AB764,'02_SCHEDULE'!$M$5:$M$124,0)),0)</f>
        <v>73</v>
      </c>
      <c r="AF764" s="51">
        <f>IFERROR(INDEX('02_SCHEDULE'!$L$5:$L$124,MATCH(AA764&amp;"|"&amp;AB764,'02_SCHEDULE'!$M$5:$M$124,0)),0)</f>
        <v>73</v>
      </c>
      <c r="AG764" s="51">
        <f t="shared" si="33"/>
        <v>0.5</v>
      </c>
    </row>
    <row r="765" spans="27:33" x14ac:dyDescent="0.3">
      <c r="AA765" s="51" t="str">
        <f>'Sites Master'!$B$15</f>
        <v>Site 14</v>
      </c>
      <c r="AB765" s="51" t="str">
        <f>'Phase-Resource Allocation'!$B$20</f>
        <v>Functional Review</v>
      </c>
      <c r="AC765" s="51" t="str">
        <f>'Phase-Resource Allocation'!$C$20</f>
        <v>Testing Lead</v>
      </c>
      <c r="AD765" s="60">
        <f>'Phase-Resource Allocation'!$D$20</f>
        <v>0.5</v>
      </c>
      <c r="AE765" s="51">
        <f>IFERROR(INDEX('02_SCHEDULE'!$K$5:$K$124,MATCH(AA765&amp;"|"&amp;AB765,'02_SCHEDULE'!$M$5:$M$124,0)),0)</f>
        <v>73</v>
      </c>
      <c r="AF765" s="51">
        <f>IFERROR(INDEX('02_SCHEDULE'!$L$5:$L$124,MATCH(AA765&amp;"|"&amp;AB765,'02_SCHEDULE'!$M$5:$M$124,0)),0)</f>
        <v>73</v>
      </c>
      <c r="AG765" s="51">
        <f t="shared" si="33"/>
        <v>0.5</v>
      </c>
    </row>
    <row r="766" spans="27:33" x14ac:dyDescent="0.3">
      <c r="AA766" s="51" t="str">
        <f>'Sites Master'!$B$15</f>
        <v>Site 14</v>
      </c>
      <c r="AB766" s="51" t="str">
        <f>'Phase-Resource Allocation'!$B$21</f>
        <v>Functional Review</v>
      </c>
      <c r="AC766" s="51" t="str">
        <f>'Phase-Resource Allocation'!$C$21</f>
        <v>Functional Lead</v>
      </c>
      <c r="AD766" s="60">
        <f>'Phase-Resource Allocation'!$D$21</f>
        <v>1</v>
      </c>
      <c r="AE766" s="51">
        <f>IFERROR(INDEX('02_SCHEDULE'!$K$5:$K$124,MATCH(AA766&amp;"|"&amp;AB766,'02_SCHEDULE'!$M$5:$M$124,0)),0)</f>
        <v>73</v>
      </c>
      <c r="AF766" s="51">
        <f>IFERROR(INDEX('02_SCHEDULE'!$L$5:$L$124,MATCH(AA766&amp;"|"&amp;AB766,'02_SCHEDULE'!$M$5:$M$124,0)),0)</f>
        <v>73</v>
      </c>
      <c r="AG766" s="51">
        <f t="shared" si="33"/>
        <v>1</v>
      </c>
    </row>
    <row r="767" spans="27:33" x14ac:dyDescent="0.3">
      <c r="AA767" s="51" t="str">
        <f>'Sites Master'!$B$15</f>
        <v>Site 14</v>
      </c>
      <c r="AB767" s="51" t="str">
        <f>'Phase-Resource Allocation'!$B$22</f>
        <v>Functional Review</v>
      </c>
      <c r="AC767" s="51" t="str">
        <f>'Phase-Resource Allocation'!$C$22</f>
        <v>Trainers</v>
      </c>
      <c r="AD767" s="60">
        <f>'Phase-Resource Allocation'!$D$22</f>
        <v>1</v>
      </c>
      <c r="AE767" s="51">
        <f>IFERROR(INDEX('02_SCHEDULE'!$K$5:$K$124,MATCH(AA767&amp;"|"&amp;AB767,'02_SCHEDULE'!$M$5:$M$124,0)),0)</f>
        <v>73</v>
      </c>
      <c r="AF767" s="51">
        <f>IFERROR(INDEX('02_SCHEDULE'!$L$5:$L$124,MATCH(AA767&amp;"|"&amp;AB767,'02_SCHEDULE'!$M$5:$M$124,0)),0)</f>
        <v>73</v>
      </c>
      <c r="AG767" s="51">
        <f t="shared" si="33"/>
        <v>1</v>
      </c>
    </row>
    <row r="768" spans="27:33" x14ac:dyDescent="0.3">
      <c r="AA768" s="51" t="str">
        <f>'Sites Master'!$B$15</f>
        <v>Site 14</v>
      </c>
      <c r="AB768" s="51" t="str">
        <f>'Phase-Resource Allocation'!$B$23</f>
        <v>UAT</v>
      </c>
      <c r="AC768" s="51" t="str">
        <f>'Phase-Resource Allocation'!$C$23</f>
        <v>Solution Architect</v>
      </c>
      <c r="AD768" s="60">
        <f>'Phase-Resource Allocation'!$D$23</f>
        <v>0.5</v>
      </c>
      <c r="AE768" s="51">
        <f>IFERROR(INDEX('02_SCHEDULE'!$K$5:$K$124,MATCH(AA768&amp;"|"&amp;AB768,'02_SCHEDULE'!$M$5:$M$124,0)),0)</f>
        <v>74</v>
      </c>
      <c r="AF768" s="51">
        <f>IFERROR(INDEX('02_SCHEDULE'!$L$5:$L$124,MATCH(AA768&amp;"|"&amp;AB768,'02_SCHEDULE'!$M$5:$M$124,0)),0)</f>
        <v>75</v>
      </c>
      <c r="AG768" s="51">
        <f t="shared" si="33"/>
        <v>1</v>
      </c>
    </row>
    <row r="769" spans="27:33" x14ac:dyDescent="0.3">
      <c r="AA769" s="51" t="str">
        <f>'Sites Master'!$B$15</f>
        <v>Site 14</v>
      </c>
      <c r="AB769" s="51" t="str">
        <f>'Phase-Resource Allocation'!$B$24</f>
        <v>UAT</v>
      </c>
      <c r="AC769" s="51" t="str">
        <f>'Phase-Resource Allocation'!$C$24</f>
        <v>Change Management Lead</v>
      </c>
      <c r="AD769" s="60">
        <f>'Phase-Resource Allocation'!$D$24</f>
        <v>1</v>
      </c>
      <c r="AE769" s="51">
        <f>IFERROR(INDEX('02_SCHEDULE'!$K$5:$K$124,MATCH(AA769&amp;"|"&amp;AB769,'02_SCHEDULE'!$M$5:$M$124,0)),0)</f>
        <v>74</v>
      </c>
      <c r="AF769" s="51">
        <f>IFERROR(INDEX('02_SCHEDULE'!$L$5:$L$124,MATCH(AA769&amp;"|"&amp;AB769,'02_SCHEDULE'!$M$5:$M$124,0)),0)</f>
        <v>75</v>
      </c>
      <c r="AG769" s="51">
        <f t="shared" si="33"/>
        <v>2</v>
      </c>
    </row>
    <row r="770" spans="27:33" x14ac:dyDescent="0.3">
      <c r="AA770" s="51" t="str">
        <f>'Sites Master'!$B$15</f>
        <v>Site 14</v>
      </c>
      <c r="AB770" s="51" t="str">
        <f>'Phase-Resource Allocation'!$B$25</f>
        <v>UAT</v>
      </c>
      <c r="AC770" s="51" t="str">
        <f>'Phase-Resource Allocation'!$C$25</f>
        <v>SAP Integrations Lead</v>
      </c>
      <c r="AD770" s="60">
        <f>'Phase-Resource Allocation'!$D$25</f>
        <v>0.5</v>
      </c>
      <c r="AE770" s="51">
        <f>IFERROR(INDEX('02_SCHEDULE'!$K$5:$K$124,MATCH(AA770&amp;"|"&amp;AB770,'02_SCHEDULE'!$M$5:$M$124,0)),0)</f>
        <v>74</v>
      </c>
      <c r="AF770" s="51">
        <f>IFERROR(INDEX('02_SCHEDULE'!$L$5:$L$124,MATCH(AA770&amp;"|"&amp;AB770,'02_SCHEDULE'!$M$5:$M$124,0)),0)</f>
        <v>75</v>
      </c>
      <c r="AG770" s="51">
        <f t="shared" si="33"/>
        <v>1</v>
      </c>
    </row>
    <row r="771" spans="27:33" x14ac:dyDescent="0.3">
      <c r="AA771" s="51" t="str">
        <f>'Sites Master'!$B$15</f>
        <v>Site 14</v>
      </c>
      <c r="AB771" s="51" t="str">
        <f>'Phase-Resource Allocation'!$B$26</f>
        <v>UAT</v>
      </c>
      <c r="AC771" s="51" t="str">
        <f>'Phase-Resource Allocation'!$C$26</f>
        <v>SAP Integrations Specialist</v>
      </c>
      <c r="AD771" s="60">
        <f>'Phase-Resource Allocation'!$D$26</f>
        <v>0.5</v>
      </c>
      <c r="AE771" s="51">
        <f>IFERROR(INDEX('02_SCHEDULE'!$K$5:$K$124,MATCH(AA771&amp;"|"&amp;AB771,'02_SCHEDULE'!$M$5:$M$124,0)),0)</f>
        <v>74</v>
      </c>
      <c r="AF771" s="51">
        <f>IFERROR(INDEX('02_SCHEDULE'!$L$5:$L$124,MATCH(AA771&amp;"|"&amp;AB771,'02_SCHEDULE'!$M$5:$M$124,0)),0)</f>
        <v>75</v>
      </c>
      <c r="AG771" s="51">
        <f t="shared" ref="AG771:AG834" si="34">AD771*(AF771-AE771+1)</f>
        <v>1</v>
      </c>
    </row>
    <row r="772" spans="27:33" x14ac:dyDescent="0.3">
      <c r="AA772" s="51" t="str">
        <f>'Sites Master'!$B$15</f>
        <v>Site 14</v>
      </c>
      <c r="AB772" s="51" t="str">
        <f>'Phase-Resource Allocation'!$B$27</f>
        <v>UAT</v>
      </c>
      <c r="AC772" s="51" t="str">
        <f>'Phase-Resource Allocation'!$C$27</f>
        <v>Azure Lead</v>
      </c>
      <c r="AD772" s="60">
        <f>'Phase-Resource Allocation'!$D$27</f>
        <v>0.5</v>
      </c>
      <c r="AE772" s="51">
        <f>IFERROR(INDEX('02_SCHEDULE'!$K$5:$K$124,MATCH(AA772&amp;"|"&amp;AB772,'02_SCHEDULE'!$M$5:$M$124,0)),0)</f>
        <v>74</v>
      </c>
      <c r="AF772" s="51">
        <f>IFERROR(INDEX('02_SCHEDULE'!$L$5:$L$124,MATCH(AA772&amp;"|"&amp;AB772,'02_SCHEDULE'!$M$5:$M$124,0)),0)</f>
        <v>75</v>
      </c>
      <c r="AG772" s="51">
        <f t="shared" si="34"/>
        <v>1</v>
      </c>
    </row>
    <row r="773" spans="27:33" x14ac:dyDescent="0.3">
      <c r="AA773" s="51" t="str">
        <f>'Sites Master'!$B$15</f>
        <v>Site 14</v>
      </c>
      <c r="AB773" s="51" t="str">
        <f>'Phase-Resource Allocation'!$B$28</f>
        <v>UAT</v>
      </c>
      <c r="AC773" s="51" t="str">
        <f>'Phase-Resource Allocation'!$C$28</f>
        <v>Azure Specialist</v>
      </c>
      <c r="AD773" s="60">
        <f>'Phase-Resource Allocation'!$D$28</f>
        <v>0.5</v>
      </c>
      <c r="AE773" s="51">
        <f>IFERROR(INDEX('02_SCHEDULE'!$K$5:$K$124,MATCH(AA773&amp;"|"&amp;AB773,'02_SCHEDULE'!$M$5:$M$124,0)),0)</f>
        <v>74</v>
      </c>
      <c r="AF773" s="51">
        <f>IFERROR(INDEX('02_SCHEDULE'!$L$5:$L$124,MATCH(AA773&amp;"|"&amp;AB773,'02_SCHEDULE'!$M$5:$M$124,0)),0)</f>
        <v>75</v>
      </c>
      <c r="AG773" s="51">
        <f t="shared" si="34"/>
        <v>1</v>
      </c>
    </row>
    <row r="774" spans="27:33" x14ac:dyDescent="0.3">
      <c r="AA774" s="51" t="str">
        <f>'Sites Master'!$B$15</f>
        <v>Site 14</v>
      </c>
      <c r="AB774" s="51" t="str">
        <f>'Phase-Resource Allocation'!$B$29</f>
        <v>UAT</v>
      </c>
      <c r="AC774" s="51" t="str">
        <f>'Phase-Resource Allocation'!$C$29</f>
        <v>Testing Lead</v>
      </c>
      <c r="AD774" s="60">
        <f>'Phase-Resource Allocation'!$D$29</f>
        <v>0.5</v>
      </c>
      <c r="AE774" s="51">
        <f>IFERROR(INDEX('02_SCHEDULE'!$K$5:$K$124,MATCH(AA774&amp;"|"&amp;AB774,'02_SCHEDULE'!$M$5:$M$124,0)),0)</f>
        <v>74</v>
      </c>
      <c r="AF774" s="51">
        <f>IFERROR(INDEX('02_SCHEDULE'!$L$5:$L$124,MATCH(AA774&amp;"|"&amp;AB774,'02_SCHEDULE'!$M$5:$M$124,0)),0)</f>
        <v>75</v>
      </c>
      <c r="AG774" s="51">
        <f t="shared" si="34"/>
        <v>1</v>
      </c>
    </row>
    <row r="775" spans="27:33" x14ac:dyDescent="0.3">
      <c r="AA775" s="51" t="str">
        <f>'Sites Master'!$B$15</f>
        <v>Site 14</v>
      </c>
      <c r="AB775" s="51" t="str">
        <f>'Phase-Resource Allocation'!$B$30</f>
        <v>UAT</v>
      </c>
      <c r="AC775" s="51" t="str">
        <f>'Phase-Resource Allocation'!$C$30</f>
        <v>Functional Lead</v>
      </c>
      <c r="AD775" s="60">
        <f>'Phase-Resource Allocation'!$D$30</f>
        <v>1</v>
      </c>
      <c r="AE775" s="51">
        <f>IFERROR(INDEX('02_SCHEDULE'!$K$5:$K$124,MATCH(AA775&amp;"|"&amp;AB775,'02_SCHEDULE'!$M$5:$M$124,0)),0)</f>
        <v>74</v>
      </c>
      <c r="AF775" s="51">
        <f>IFERROR(INDEX('02_SCHEDULE'!$L$5:$L$124,MATCH(AA775&amp;"|"&amp;AB775,'02_SCHEDULE'!$M$5:$M$124,0)),0)</f>
        <v>75</v>
      </c>
      <c r="AG775" s="51">
        <f t="shared" si="34"/>
        <v>2</v>
      </c>
    </row>
    <row r="776" spans="27:33" x14ac:dyDescent="0.3">
      <c r="AA776" s="51" t="str">
        <f>'Sites Master'!$B$15</f>
        <v>Site 14</v>
      </c>
      <c r="AB776" s="51" t="str">
        <f>'Phase-Resource Allocation'!$B$31</f>
        <v>UAT</v>
      </c>
      <c r="AC776" s="51" t="str">
        <f>'Phase-Resource Allocation'!$C$31</f>
        <v>Trainers</v>
      </c>
      <c r="AD776" s="60">
        <f>'Phase-Resource Allocation'!$D$31</f>
        <v>1</v>
      </c>
      <c r="AE776" s="51">
        <f>IFERROR(INDEX('02_SCHEDULE'!$K$5:$K$124,MATCH(AA776&amp;"|"&amp;AB776,'02_SCHEDULE'!$M$5:$M$124,0)),0)</f>
        <v>74</v>
      </c>
      <c r="AF776" s="51">
        <f>IFERROR(INDEX('02_SCHEDULE'!$L$5:$L$124,MATCH(AA776&amp;"|"&amp;AB776,'02_SCHEDULE'!$M$5:$M$124,0)),0)</f>
        <v>75</v>
      </c>
      <c r="AG776" s="51">
        <f t="shared" si="34"/>
        <v>2</v>
      </c>
    </row>
    <row r="777" spans="27:33" x14ac:dyDescent="0.3">
      <c r="AA777" s="51" t="str">
        <f>'Sites Master'!$B$15</f>
        <v>Site 14</v>
      </c>
      <c r="AB777" s="51" t="str">
        <f>'Phase-Resource Allocation'!$B$32</f>
        <v>Training</v>
      </c>
      <c r="AC777" s="51" t="str">
        <f>'Phase-Resource Allocation'!$C$32</f>
        <v>Change Management Lead</v>
      </c>
      <c r="AD777" s="60">
        <f>'Phase-Resource Allocation'!$D$32</f>
        <v>1</v>
      </c>
      <c r="AE777" s="51">
        <f>IFERROR(INDEX('02_SCHEDULE'!$K$5:$K$124,MATCH(AA777&amp;"|"&amp;AB777,'02_SCHEDULE'!$M$5:$M$124,0)),0)</f>
        <v>76</v>
      </c>
      <c r="AF777" s="51">
        <f>IFERROR(INDEX('02_SCHEDULE'!$L$5:$L$124,MATCH(AA777&amp;"|"&amp;AB777,'02_SCHEDULE'!$M$5:$M$124,0)),0)</f>
        <v>78</v>
      </c>
      <c r="AG777" s="51">
        <f t="shared" si="34"/>
        <v>3</v>
      </c>
    </row>
    <row r="778" spans="27:33" x14ac:dyDescent="0.3">
      <c r="AA778" s="51" t="str">
        <f>'Sites Master'!$B$15</f>
        <v>Site 14</v>
      </c>
      <c r="AB778" s="51" t="str">
        <f>'Phase-Resource Allocation'!$B$33</f>
        <v>Training</v>
      </c>
      <c r="AC778" s="51" t="str">
        <f>'Phase-Resource Allocation'!$C$33</f>
        <v>Trainers</v>
      </c>
      <c r="AD778" s="60">
        <f>'Phase-Resource Allocation'!$D$33</f>
        <v>1</v>
      </c>
      <c r="AE778" s="51">
        <f>IFERROR(INDEX('02_SCHEDULE'!$K$5:$K$124,MATCH(AA778&amp;"|"&amp;AB778,'02_SCHEDULE'!$M$5:$M$124,0)),0)</f>
        <v>76</v>
      </c>
      <c r="AF778" s="51">
        <f>IFERROR(INDEX('02_SCHEDULE'!$L$5:$L$124,MATCH(AA778&amp;"|"&amp;AB778,'02_SCHEDULE'!$M$5:$M$124,0)),0)</f>
        <v>78</v>
      </c>
      <c r="AG778" s="51">
        <f t="shared" si="34"/>
        <v>3</v>
      </c>
    </row>
    <row r="779" spans="27:33" x14ac:dyDescent="0.3">
      <c r="AA779" s="51" t="str">
        <f>'Sites Master'!$B$15</f>
        <v>Site 14</v>
      </c>
      <c r="AB779" s="51" t="str">
        <f>'Phase-Resource Allocation'!$B$34</f>
        <v>DIALT</v>
      </c>
      <c r="AC779" s="51" t="str">
        <f>'Phase-Resource Allocation'!$C$34</f>
        <v>Solution Architect</v>
      </c>
      <c r="AD779" s="60">
        <f>'Phase-Resource Allocation'!$D$34</f>
        <v>0.5</v>
      </c>
      <c r="AE779" s="51">
        <f>IFERROR(INDEX('02_SCHEDULE'!$K$5:$K$124,MATCH(AA779&amp;"|"&amp;AB779,'02_SCHEDULE'!$M$5:$M$124,0)),0)</f>
        <v>79</v>
      </c>
      <c r="AF779" s="51">
        <f>IFERROR(INDEX('02_SCHEDULE'!$L$5:$L$124,MATCH(AA779&amp;"|"&amp;AB779,'02_SCHEDULE'!$M$5:$M$124,0)),0)</f>
        <v>79</v>
      </c>
      <c r="AG779" s="51">
        <f t="shared" si="34"/>
        <v>0.5</v>
      </c>
    </row>
    <row r="780" spans="27:33" x14ac:dyDescent="0.3">
      <c r="AA780" s="51" t="str">
        <f>'Sites Master'!$B$15</f>
        <v>Site 14</v>
      </c>
      <c r="AB780" s="51" t="str">
        <f>'Phase-Resource Allocation'!$B$35</f>
        <v>DIALT</v>
      </c>
      <c r="AC780" s="51" t="str">
        <f>'Phase-Resource Allocation'!$C$35</f>
        <v>Change Management Lead</v>
      </c>
      <c r="AD780" s="60">
        <f>'Phase-Resource Allocation'!$D$35</f>
        <v>1</v>
      </c>
      <c r="AE780" s="51">
        <f>IFERROR(INDEX('02_SCHEDULE'!$K$5:$K$124,MATCH(AA780&amp;"|"&amp;AB780,'02_SCHEDULE'!$M$5:$M$124,0)),0)</f>
        <v>79</v>
      </c>
      <c r="AF780" s="51">
        <f>IFERROR(INDEX('02_SCHEDULE'!$L$5:$L$124,MATCH(AA780&amp;"|"&amp;AB780,'02_SCHEDULE'!$M$5:$M$124,0)),0)</f>
        <v>79</v>
      </c>
      <c r="AG780" s="51">
        <f t="shared" si="34"/>
        <v>1</v>
      </c>
    </row>
    <row r="781" spans="27:33" x14ac:dyDescent="0.3">
      <c r="AA781" s="51" t="str">
        <f>'Sites Master'!$B$15</f>
        <v>Site 14</v>
      </c>
      <c r="AB781" s="51" t="str">
        <f>'Phase-Resource Allocation'!$B$36</f>
        <v>DIALT</v>
      </c>
      <c r="AC781" s="51" t="str">
        <f>'Phase-Resource Allocation'!$C$36</f>
        <v>Azure Lead</v>
      </c>
      <c r="AD781" s="60">
        <f>'Phase-Resource Allocation'!$D$36</f>
        <v>0.75</v>
      </c>
      <c r="AE781" s="51">
        <f>IFERROR(INDEX('02_SCHEDULE'!$K$5:$K$124,MATCH(AA781&amp;"|"&amp;AB781,'02_SCHEDULE'!$M$5:$M$124,0)),0)</f>
        <v>79</v>
      </c>
      <c r="AF781" s="51">
        <f>IFERROR(INDEX('02_SCHEDULE'!$L$5:$L$124,MATCH(AA781&amp;"|"&amp;AB781,'02_SCHEDULE'!$M$5:$M$124,0)),0)</f>
        <v>79</v>
      </c>
      <c r="AG781" s="51">
        <f t="shared" si="34"/>
        <v>0.75</v>
      </c>
    </row>
    <row r="782" spans="27:33" x14ac:dyDescent="0.3">
      <c r="AA782" s="51" t="str">
        <f>'Sites Master'!$B$15</f>
        <v>Site 14</v>
      </c>
      <c r="AB782" s="51" t="str">
        <f>'Phase-Resource Allocation'!$B$37</f>
        <v>DIALT</v>
      </c>
      <c r="AC782" s="51" t="str">
        <f>'Phase-Resource Allocation'!$C$37</f>
        <v>Azure Specialist</v>
      </c>
      <c r="AD782" s="60">
        <f>'Phase-Resource Allocation'!$D$37</f>
        <v>0.75</v>
      </c>
      <c r="AE782" s="51">
        <f>IFERROR(INDEX('02_SCHEDULE'!$K$5:$K$124,MATCH(AA782&amp;"|"&amp;AB782,'02_SCHEDULE'!$M$5:$M$124,0)),0)</f>
        <v>79</v>
      </c>
      <c r="AF782" s="51">
        <f>IFERROR(INDEX('02_SCHEDULE'!$L$5:$L$124,MATCH(AA782&amp;"|"&amp;AB782,'02_SCHEDULE'!$M$5:$M$124,0)),0)</f>
        <v>79</v>
      </c>
      <c r="AG782" s="51">
        <f t="shared" si="34"/>
        <v>0.75</v>
      </c>
    </row>
    <row r="783" spans="27:33" x14ac:dyDescent="0.3">
      <c r="AA783" s="51" t="str">
        <f>'Sites Master'!$B$15</f>
        <v>Site 14</v>
      </c>
      <c r="AB783" s="51" t="str">
        <f>'Phase-Resource Allocation'!$B$38</f>
        <v>DIALT</v>
      </c>
      <c r="AC783" s="51" t="str">
        <f>'Phase-Resource Allocation'!$C$38</f>
        <v>Functional Lead</v>
      </c>
      <c r="AD783" s="60">
        <f>'Phase-Resource Allocation'!$D$38</f>
        <v>1</v>
      </c>
      <c r="AE783" s="51">
        <f>IFERROR(INDEX('02_SCHEDULE'!$K$5:$K$124,MATCH(AA783&amp;"|"&amp;AB783,'02_SCHEDULE'!$M$5:$M$124,0)),0)</f>
        <v>79</v>
      </c>
      <c r="AF783" s="51">
        <f>IFERROR(INDEX('02_SCHEDULE'!$L$5:$L$124,MATCH(AA783&amp;"|"&amp;AB783,'02_SCHEDULE'!$M$5:$M$124,0)),0)</f>
        <v>79</v>
      </c>
      <c r="AG783" s="51">
        <f t="shared" si="34"/>
        <v>1</v>
      </c>
    </row>
    <row r="784" spans="27:33" x14ac:dyDescent="0.3">
      <c r="AA784" s="51" t="str">
        <f>'Sites Master'!$B$15</f>
        <v>Site 14</v>
      </c>
      <c r="AB784" s="51" t="str">
        <f>'Phase-Resource Allocation'!$B$39</f>
        <v>DIALT</v>
      </c>
      <c r="AC784" s="51" t="str">
        <f>'Phase-Resource Allocation'!$C$39</f>
        <v>Trainers</v>
      </c>
      <c r="AD784" s="60">
        <f>'Phase-Resource Allocation'!$D$39</f>
        <v>1</v>
      </c>
      <c r="AE784" s="51">
        <f>IFERROR(INDEX('02_SCHEDULE'!$K$5:$K$124,MATCH(AA784&amp;"|"&amp;AB784,'02_SCHEDULE'!$M$5:$M$124,0)),0)</f>
        <v>79</v>
      </c>
      <c r="AF784" s="51">
        <f>IFERROR(INDEX('02_SCHEDULE'!$L$5:$L$124,MATCH(AA784&amp;"|"&amp;AB784,'02_SCHEDULE'!$M$5:$M$124,0)),0)</f>
        <v>79</v>
      </c>
      <c r="AG784" s="51">
        <f t="shared" si="34"/>
        <v>1</v>
      </c>
    </row>
    <row r="785" spans="27:33" x14ac:dyDescent="0.3">
      <c r="AA785" s="51" t="str">
        <f>'Sites Master'!$B$15</f>
        <v>Site 14</v>
      </c>
      <c r="AB785" s="51" t="str">
        <f>'Phase-Resource Allocation'!$B$40</f>
        <v>DIALT</v>
      </c>
      <c r="AC785" s="51" t="str">
        <f>'Phase-Resource Allocation'!$C$40</f>
        <v>Functional Lead Vendor A</v>
      </c>
      <c r="AD785" s="60">
        <f>'Phase-Resource Allocation'!$D$40</f>
        <v>1</v>
      </c>
      <c r="AE785" s="51">
        <f>IFERROR(INDEX('02_SCHEDULE'!$K$5:$K$124,MATCH(AA785&amp;"|"&amp;AB785,'02_SCHEDULE'!$M$5:$M$124,0)),0)</f>
        <v>79</v>
      </c>
      <c r="AF785" s="51">
        <f>IFERROR(INDEX('02_SCHEDULE'!$L$5:$L$124,MATCH(AA785&amp;"|"&amp;AB785,'02_SCHEDULE'!$M$5:$M$124,0)),0)</f>
        <v>79</v>
      </c>
      <c r="AG785" s="51">
        <f t="shared" si="34"/>
        <v>1</v>
      </c>
    </row>
    <row r="786" spans="27:33" x14ac:dyDescent="0.3">
      <c r="AA786" s="51" t="str">
        <f>'Sites Master'!$B$15</f>
        <v>Site 14</v>
      </c>
      <c r="AB786" s="51" t="str">
        <f>'Phase-Resource Allocation'!$B$41</f>
        <v>Go Live</v>
      </c>
      <c r="AC786" s="51" t="str">
        <f>'Phase-Resource Allocation'!$C$41</f>
        <v>Solution Architect</v>
      </c>
      <c r="AD786" s="60">
        <f>'Phase-Resource Allocation'!$D$41</f>
        <v>1</v>
      </c>
      <c r="AE786" s="51">
        <f>IFERROR(INDEX('02_SCHEDULE'!$K$5:$K$124,MATCH(AA786&amp;"|"&amp;AB786,'02_SCHEDULE'!$M$5:$M$124,0)),0)</f>
        <v>80</v>
      </c>
      <c r="AF786" s="51">
        <f>IFERROR(INDEX('02_SCHEDULE'!$L$5:$L$124,MATCH(AA786&amp;"|"&amp;AB786,'02_SCHEDULE'!$M$5:$M$124,0)),0)</f>
        <v>80</v>
      </c>
      <c r="AG786" s="51">
        <f t="shared" si="34"/>
        <v>1</v>
      </c>
    </row>
    <row r="787" spans="27:33" x14ac:dyDescent="0.3">
      <c r="AA787" s="51" t="str">
        <f>'Sites Master'!$B$15</f>
        <v>Site 14</v>
      </c>
      <c r="AB787" s="51" t="str">
        <f>'Phase-Resource Allocation'!$B$42</f>
        <v>Go Live</v>
      </c>
      <c r="AC787" s="51" t="str">
        <f>'Phase-Resource Allocation'!$C$42</f>
        <v>Change Management Lead</v>
      </c>
      <c r="AD787" s="60">
        <f>'Phase-Resource Allocation'!$D$42</f>
        <v>1</v>
      </c>
      <c r="AE787" s="51">
        <f>IFERROR(INDEX('02_SCHEDULE'!$K$5:$K$124,MATCH(AA787&amp;"|"&amp;AB787,'02_SCHEDULE'!$M$5:$M$124,0)),0)</f>
        <v>80</v>
      </c>
      <c r="AF787" s="51">
        <f>IFERROR(INDEX('02_SCHEDULE'!$L$5:$L$124,MATCH(AA787&amp;"|"&amp;AB787,'02_SCHEDULE'!$M$5:$M$124,0)),0)</f>
        <v>80</v>
      </c>
      <c r="AG787" s="51">
        <f t="shared" si="34"/>
        <v>1</v>
      </c>
    </row>
    <row r="788" spans="27:33" x14ac:dyDescent="0.3">
      <c r="AA788" s="51" t="str">
        <f>'Sites Master'!$B$15</f>
        <v>Site 14</v>
      </c>
      <c r="AB788" s="51" t="str">
        <f>'Phase-Resource Allocation'!$B$43</f>
        <v>Go Live</v>
      </c>
      <c r="AC788" s="51" t="str">
        <f>'Phase-Resource Allocation'!$C$43</f>
        <v>SAP Integrations Lead</v>
      </c>
      <c r="AD788" s="60">
        <f>'Phase-Resource Allocation'!$D$43</f>
        <v>1</v>
      </c>
      <c r="AE788" s="51">
        <f>IFERROR(INDEX('02_SCHEDULE'!$K$5:$K$124,MATCH(AA788&amp;"|"&amp;AB788,'02_SCHEDULE'!$M$5:$M$124,0)),0)</f>
        <v>80</v>
      </c>
      <c r="AF788" s="51">
        <f>IFERROR(INDEX('02_SCHEDULE'!$L$5:$L$124,MATCH(AA788&amp;"|"&amp;AB788,'02_SCHEDULE'!$M$5:$M$124,0)),0)</f>
        <v>80</v>
      </c>
      <c r="AG788" s="51">
        <f t="shared" si="34"/>
        <v>1</v>
      </c>
    </row>
    <row r="789" spans="27:33" x14ac:dyDescent="0.3">
      <c r="AA789" s="51" t="str">
        <f>'Sites Master'!$B$15</f>
        <v>Site 14</v>
      </c>
      <c r="AB789" s="51" t="str">
        <f>'Phase-Resource Allocation'!$B$44</f>
        <v>Go Live</v>
      </c>
      <c r="AC789" s="51" t="str">
        <f>'Phase-Resource Allocation'!$C$44</f>
        <v>SAP Integrations Specialist</v>
      </c>
      <c r="AD789" s="60">
        <f>'Phase-Resource Allocation'!$D$44</f>
        <v>1</v>
      </c>
      <c r="AE789" s="51">
        <f>IFERROR(INDEX('02_SCHEDULE'!$K$5:$K$124,MATCH(AA789&amp;"|"&amp;AB789,'02_SCHEDULE'!$M$5:$M$124,0)),0)</f>
        <v>80</v>
      </c>
      <c r="AF789" s="51">
        <f>IFERROR(INDEX('02_SCHEDULE'!$L$5:$L$124,MATCH(AA789&amp;"|"&amp;AB789,'02_SCHEDULE'!$M$5:$M$124,0)),0)</f>
        <v>80</v>
      </c>
      <c r="AG789" s="51">
        <f t="shared" si="34"/>
        <v>1</v>
      </c>
    </row>
    <row r="790" spans="27:33" x14ac:dyDescent="0.3">
      <c r="AA790" s="51" t="str">
        <f>'Sites Master'!$B$15</f>
        <v>Site 14</v>
      </c>
      <c r="AB790" s="51" t="str">
        <f>'Phase-Resource Allocation'!$B$45</f>
        <v>Go Live</v>
      </c>
      <c r="AC790" s="51" t="str">
        <f>'Phase-Resource Allocation'!$C$45</f>
        <v>Azure Lead</v>
      </c>
      <c r="AD790" s="60">
        <f>'Phase-Resource Allocation'!$D$45</f>
        <v>1</v>
      </c>
      <c r="AE790" s="51">
        <f>IFERROR(INDEX('02_SCHEDULE'!$K$5:$K$124,MATCH(AA790&amp;"|"&amp;AB790,'02_SCHEDULE'!$M$5:$M$124,0)),0)</f>
        <v>80</v>
      </c>
      <c r="AF790" s="51">
        <f>IFERROR(INDEX('02_SCHEDULE'!$L$5:$L$124,MATCH(AA790&amp;"|"&amp;AB790,'02_SCHEDULE'!$M$5:$M$124,0)),0)</f>
        <v>80</v>
      </c>
      <c r="AG790" s="51">
        <f t="shared" si="34"/>
        <v>1</v>
      </c>
    </row>
    <row r="791" spans="27:33" x14ac:dyDescent="0.3">
      <c r="AA791" s="51" t="str">
        <f>'Sites Master'!$B$15</f>
        <v>Site 14</v>
      </c>
      <c r="AB791" s="51" t="str">
        <f>'Phase-Resource Allocation'!$B$46</f>
        <v>Go Live</v>
      </c>
      <c r="AC791" s="51" t="str">
        <f>'Phase-Resource Allocation'!$C$46</f>
        <v>Azure Specialist</v>
      </c>
      <c r="AD791" s="60">
        <f>'Phase-Resource Allocation'!$D$46</f>
        <v>1</v>
      </c>
      <c r="AE791" s="51">
        <f>IFERROR(INDEX('02_SCHEDULE'!$K$5:$K$124,MATCH(AA791&amp;"|"&amp;AB791,'02_SCHEDULE'!$M$5:$M$124,0)),0)</f>
        <v>80</v>
      </c>
      <c r="AF791" s="51">
        <f>IFERROR(INDEX('02_SCHEDULE'!$L$5:$L$124,MATCH(AA791&amp;"|"&amp;AB791,'02_SCHEDULE'!$M$5:$M$124,0)),0)</f>
        <v>80</v>
      </c>
      <c r="AG791" s="51">
        <f t="shared" si="34"/>
        <v>1</v>
      </c>
    </row>
    <row r="792" spans="27:33" x14ac:dyDescent="0.3">
      <c r="AA792" s="51" t="str">
        <f>'Sites Master'!$B$15</f>
        <v>Site 14</v>
      </c>
      <c r="AB792" s="51" t="str">
        <f>'Phase-Resource Allocation'!$B$47</f>
        <v>Go Live</v>
      </c>
      <c r="AC792" s="51" t="str">
        <f>'Phase-Resource Allocation'!$C$47</f>
        <v>Functional Lead</v>
      </c>
      <c r="AD792" s="60">
        <f>'Phase-Resource Allocation'!$D$47</f>
        <v>1</v>
      </c>
      <c r="AE792" s="51">
        <f>IFERROR(INDEX('02_SCHEDULE'!$K$5:$K$124,MATCH(AA792&amp;"|"&amp;AB792,'02_SCHEDULE'!$M$5:$M$124,0)),0)</f>
        <v>80</v>
      </c>
      <c r="AF792" s="51">
        <f>IFERROR(INDEX('02_SCHEDULE'!$L$5:$L$124,MATCH(AA792&amp;"|"&amp;AB792,'02_SCHEDULE'!$M$5:$M$124,0)),0)</f>
        <v>80</v>
      </c>
      <c r="AG792" s="51">
        <f t="shared" si="34"/>
        <v>1</v>
      </c>
    </row>
    <row r="793" spans="27:33" x14ac:dyDescent="0.3">
      <c r="AA793" s="51" t="str">
        <f>'Sites Master'!$B$15</f>
        <v>Site 14</v>
      </c>
      <c r="AB793" s="51" t="str">
        <f>'Phase-Resource Allocation'!$B$48</f>
        <v>Go Live</v>
      </c>
      <c r="AC793" s="51" t="str">
        <f>'Phase-Resource Allocation'!$C$48</f>
        <v>Trainers</v>
      </c>
      <c r="AD793" s="60">
        <f>'Phase-Resource Allocation'!$D$48</f>
        <v>1</v>
      </c>
      <c r="AE793" s="51">
        <f>IFERROR(INDEX('02_SCHEDULE'!$K$5:$K$124,MATCH(AA793&amp;"|"&amp;AB793,'02_SCHEDULE'!$M$5:$M$124,0)),0)</f>
        <v>80</v>
      </c>
      <c r="AF793" s="51">
        <f>IFERROR(INDEX('02_SCHEDULE'!$L$5:$L$124,MATCH(AA793&amp;"|"&amp;AB793,'02_SCHEDULE'!$M$5:$M$124,0)),0)</f>
        <v>80</v>
      </c>
      <c r="AG793" s="51">
        <f t="shared" si="34"/>
        <v>1</v>
      </c>
    </row>
    <row r="794" spans="27:33" x14ac:dyDescent="0.3">
      <c r="AA794" s="51" t="str">
        <f>'Sites Master'!$B$15</f>
        <v>Site 14</v>
      </c>
      <c r="AB794" s="51" t="str">
        <f>'Phase-Resource Allocation'!$B$49</f>
        <v>Go Live</v>
      </c>
      <c r="AC794" s="51" t="str">
        <f>'Phase-Resource Allocation'!$C$49</f>
        <v>Infrastructure Lead</v>
      </c>
      <c r="AD794" s="60">
        <f>'Phase-Resource Allocation'!$D$49</f>
        <v>1</v>
      </c>
      <c r="AE794" s="51">
        <f>IFERROR(INDEX('02_SCHEDULE'!$K$5:$K$124,MATCH(AA794&amp;"|"&amp;AB794,'02_SCHEDULE'!$M$5:$M$124,0)),0)</f>
        <v>80</v>
      </c>
      <c r="AF794" s="51">
        <f>IFERROR(INDEX('02_SCHEDULE'!$L$5:$L$124,MATCH(AA794&amp;"|"&amp;AB794,'02_SCHEDULE'!$M$5:$M$124,0)),0)</f>
        <v>80</v>
      </c>
      <c r="AG794" s="51">
        <f t="shared" si="34"/>
        <v>1</v>
      </c>
    </row>
    <row r="795" spans="27:33" x14ac:dyDescent="0.3">
      <c r="AA795" s="51" t="str">
        <f>'Sites Master'!$B$15</f>
        <v>Site 14</v>
      </c>
      <c r="AB795" s="51" t="str">
        <f>'Phase-Resource Allocation'!$B$50</f>
        <v>Go Live</v>
      </c>
      <c r="AC795" s="51" t="str">
        <f>'Phase-Resource Allocation'!$C$50</f>
        <v>Functional Lead Vendor A</v>
      </c>
      <c r="AD795" s="60">
        <f>'Phase-Resource Allocation'!$D$50</f>
        <v>1</v>
      </c>
      <c r="AE795" s="51">
        <f>IFERROR(INDEX('02_SCHEDULE'!$K$5:$K$124,MATCH(AA795&amp;"|"&amp;AB795,'02_SCHEDULE'!$M$5:$M$124,0)),0)</f>
        <v>80</v>
      </c>
      <c r="AF795" s="51">
        <f>IFERROR(INDEX('02_SCHEDULE'!$L$5:$L$124,MATCH(AA795&amp;"|"&amp;AB795,'02_SCHEDULE'!$M$5:$M$124,0)),0)</f>
        <v>80</v>
      </c>
      <c r="AG795" s="51">
        <f t="shared" si="34"/>
        <v>1</v>
      </c>
    </row>
    <row r="796" spans="27:33" x14ac:dyDescent="0.3">
      <c r="AA796" s="51" t="str">
        <f>'Sites Master'!$B$15</f>
        <v>Site 14</v>
      </c>
      <c r="AB796" s="51" t="str">
        <f>'Phase-Resource Allocation'!$B$51</f>
        <v>Hypercare</v>
      </c>
      <c r="AC796" s="51" t="str">
        <f>'Phase-Resource Allocation'!$C$51</f>
        <v>Solution Architect</v>
      </c>
      <c r="AD796" s="60">
        <f>'Phase-Resource Allocation'!$D$51</f>
        <v>0.5</v>
      </c>
      <c r="AE796" s="51">
        <f>IFERROR(INDEX('02_SCHEDULE'!$K$5:$K$124,MATCH(AA796&amp;"|"&amp;AB796,'02_SCHEDULE'!$M$5:$M$124,0)),0)</f>
        <v>81</v>
      </c>
      <c r="AF796" s="51">
        <f>IFERROR(INDEX('02_SCHEDULE'!$L$5:$L$124,MATCH(AA796&amp;"|"&amp;AB796,'02_SCHEDULE'!$M$5:$M$124,0)),0)</f>
        <v>84</v>
      </c>
      <c r="AG796" s="51">
        <f t="shared" si="34"/>
        <v>2</v>
      </c>
    </row>
    <row r="797" spans="27:33" x14ac:dyDescent="0.3">
      <c r="AA797" s="51" t="str">
        <f>'Sites Master'!$B$15</f>
        <v>Site 14</v>
      </c>
      <c r="AB797" s="51" t="str">
        <f>'Phase-Resource Allocation'!$B$52</f>
        <v>Hypercare</v>
      </c>
      <c r="AC797" s="51" t="str">
        <f>'Phase-Resource Allocation'!$C$52</f>
        <v>Change Management Lead</v>
      </c>
      <c r="AD797" s="60">
        <f>'Phase-Resource Allocation'!$D$52</f>
        <v>1</v>
      </c>
      <c r="AE797" s="51">
        <f>IFERROR(INDEX('02_SCHEDULE'!$K$5:$K$124,MATCH(AA797&amp;"|"&amp;AB797,'02_SCHEDULE'!$M$5:$M$124,0)),0)</f>
        <v>81</v>
      </c>
      <c r="AF797" s="51">
        <f>IFERROR(INDEX('02_SCHEDULE'!$L$5:$L$124,MATCH(AA797&amp;"|"&amp;AB797,'02_SCHEDULE'!$M$5:$M$124,0)),0)</f>
        <v>84</v>
      </c>
      <c r="AG797" s="51">
        <f t="shared" si="34"/>
        <v>4</v>
      </c>
    </row>
    <row r="798" spans="27:33" x14ac:dyDescent="0.3">
      <c r="AA798" s="51" t="str">
        <f>'Sites Master'!$B$15</f>
        <v>Site 14</v>
      </c>
      <c r="AB798" s="51" t="str">
        <f>'Phase-Resource Allocation'!$B$53</f>
        <v>Hypercare</v>
      </c>
      <c r="AC798" s="51" t="str">
        <f>'Phase-Resource Allocation'!$C$53</f>
        <v>SAP Integrations Lead</v>
      </c>
      <c r="AD798" s="60">
        <f>'Phase-Resource Allocation'!$D$53</f>
        <v>0.5</v>
      </c>
      <c r="AE798" s="51">
        <f>IFERROR(INDEX('02_SCHEDULE'!$K$5:$K$124,MATCH(AA798&amp;"|"&amp;AB798,'02_SCHEDULE'!$M$5:$M$124,0)),0)</f>
        <v>81</v>
      </c>
      <c r="AF798" s="51">
        <f>IFERROR(INDEX('02_SCHEDULE'!$L$5:$L$124,MATCH(AA798&amp;"|"&amp;AB798,'02_SCHEDULE'!$M$5:$M$124,0)),0)</f>
        <v>84</v>
      </c>
      <c r="AG798" s="51">
        <f t="shared" si="34"/>
        <v>2</v>
      </c>
    </row>
    <row r="799" spans="27:33" x14ac:dyDescent="0.3">
      <c r="AA799" s="51" t="str">
        <f>'Sites Master'!$B$15</f>
        <v>Site 14</v>
      </c>
      <c r="AB799" s="51" t="str">
        <f>'Phase-Resource Allocation'!$B$54</f>
        <v>Hypercare</v>
      </c>
      <c r="AC799" s="51" t="str">
        <f>'Phase-Resource Allocation'!$C$54</f>
        <v>SAP Integrations Specialist</v>
      </c>
      <c r="AD799" s="60">
        <f>'Phase-Resource Allocation'!$D$54</f>
        <v>0.5</v>
      </c>
      <c r="AE799" s="51">
        <f>IFERROR(INDEX('02_SCHEDULE'!$K$5:$K$124,MATCH(AA799&amp;"|"&amp;AB799,'02_SCHEDULE'!$M$5:$M$124,0)),0)</f>
        <v>81</v>
      </c>
      <c r="AF799" s="51">
        <f>IFERROR(INDEX('02_SCHEDULE'!$L$5:$L$124,MATCH(AA799&amp;"|"&amp;AB799,'02_SCHEDULE'!$M$5:$M$124,0)),0)</f>
        <v>84</v>
      </c>
      <c r="AG799" s="51">
        <f t="shared" si="34"/>
        <v>2</v>
      </c>
    </row>
    <row r="800" spans="27:33" x14ac:dyDescent="0.3">
      <c r="AA800" s="51" t="str">
        <f>'Sites Master'!$B$15</f>
        <v>Site 14</v>
      </c>
      <c r="AB800" s="51" t="str">
        <f>'Phase-Resource Allocation'!$B$55</f>
        <v>Hypercare</v>
      </c>
      <c r="AC800" s="51" t="str">
        <f>'Phase-Resource Allocation'!$C$55</f>
        <v>Azure Lead</v>
      </c>
      <c r="AD800" s="60">
        <f>'Phase-Resource Allocation'!$D$55</f>
        <v>0.5</v>
      </c>
      <c r="AE800" s="51">
        <f>IFERROR(INDEX('02_SCHEDULE'!$K$5:$K$124,MATCH(AA800&amp;"|"&amp;AB800,'02_SCHEDULE'!$M$5:$M$124,0)),0)</f>
        <v>81</v>
      </c>
      <c r="AF800" s="51">
        <f>IFERROR(INDEX('02_SCHEDULE'!$L$5:$L$124,MATCH(AA800&amp;"|"&amp;AB800,'02_SCHEDULE'!$M$5:$M$124,0)),0)</f>
        <v>84</v>
      </c>
      <c r="AG800" s="51">
        <f t="shared" si="34"/>
        <v>2</v>
      </c>
    </row>
    <row r="801" spans="27:33" x14ac:dyDescent="0.3">
      <c r="AA801" s="51" t="str">
        <f>'Sites Master'!$B$15</f>
        <v>Site 14</v>
      </c>
      <c r="AB801" s="51" t="str">
        <f>'Phase-Resource Allocation'!$B$56</f>
        <v>Hypercare</v>
      </c>
      <c r="AC801" s="51" t="str">
        <f>'Phase-Resource Allocation'!$C$56</f>
        <v>Azure Specialist</v>
      </c>
      <c r="AD801" s="60">
        <f>'Phase-Resource Allocation'!$D$56</f>
        <v>0.5</v>
      </c>
      <c r="AE801" s="51">
        <f>IFERROR(INDEX('02_SCHEDULE'!$K$5:$K$124,MATCH(AA801&amp;"|"&amp;AB801,'02_SCHEDULE'!$M$5:$M$124,0)),0)</f>
        <v>81</v>
      </c>
      <c r="AF801" s="51">
        <f>IFERROR(INDEX('02_SCHEDULE'!$L$5:$L$124,MATCH(AA801&amp;"|"&amp;AB801,'02_SCHEDULE'!$M$5:$M$124,0)),0)</f>
        <v>84</v>
      </c>
      <c r="AG801" s="51">
        <f t="shared" si="34"/>
        <v>2</v>
      </c>
    </row>
    <row r="802" spans="27:33" x14ac:dyDescent="0.3">
      <c r="AA802" s="51" t="str">
        <f>'Sites Master'!$B$15</f>
        <v>Site 14</v>
      </c>
      <c r="AB802" s="51" t="str">
        <f>'Phase-Resource Allocation'!$B$57</f>
        <v>Hypercare</v>
      </c>
      <c r="AC802" s="51" t="str">
        <f>'Phase-Resource Allocation'!$C$57</f>
        <v>Functional Lead</v>
      </c>
      <c r="AD802" s="60">
        <f>'Phase-Resource Allocation'!$D$57</f>
        <v>1</v>
      </c>
      <c r="AE802" s="51">
        <f>IFERROR(INDEX('02_SCHEDULE'!$K$5:$K$124,MATCH(AA802&amp;"|"&amp;AB802,'02_SCHEDULE'!$M$5:$M$124,0)),0)</f>
        <v>81</v>
      </c>
      <c r="AF802" s="51">
        <f>IFERROR(INDEX('02_SCHEDULE'!$L$5:$L$124,MATCH(AA802&amp;"|"&amp;AB802,'02_SCHEDULE'!$M$5:$M$124,0)),0)</f>
        <v>84</v>
      </c>
      <c r="AG802" s="51">
        <f t="shared" si="34"/>
        <v>4</v>
      </c>
    </row>
    <row r="803" spans="27:33" x14ac:dyDescent="0.3">
      <c r="AA803" s="51" t="str">
        <f>'Sites Master'!$B$15</f>
        <v>Site 14</v>
      </c>
      <c r="AB803" s="51" t="str">
        <f>'Phase-Resource Allocation'!$B$58</f>
        <v>Hypercare</v>
      </c>
      <c r="AC803" s="51" t="str">
        <f>'Phase-Resource Allocation'!$C$58</f>
        <v>Functional Lead</v>
      </c>
      <c r="AD803" s="60">
        <f>'Phase-Resource Allocation'!$D$58</f>
        <v>1</v>
      </c>
      <c r="AE803" s="51">
        <f>IFERROR(INDEX('02_SCHEDULE'!$K$5:$K$124,MATCH(AA803&amp;"|"&amp;AB803,'02_SCHEDULE'!$M$5:$M$124,0)),0)</f>
        <v>81</v>
      </c>
      <c r="AF803" s="51">
        <f>IFERROR(INDEX('02_SCHEDULE'!$L$5:$L$124,MATCH(AA803&amp;"|"&amp;AB803,'02_SCHEDULE'!$M$5:$M$124,0)),0)</f>
        <v>84</v>
      </c>
      <c r="AG803" s="51">
        <f t="shared" si="34"/>
        <v>4</v>
      </c>
    </row>
    <row r="804" spans="27:33" x14ac:dyDescent="0.3">
      <c r="AA804" s="51" t="str">
        <f>'Sites Master'!$B$15</f>
        <v>Site 14</v>
      </c>
      <c r="AB804" s="51" t="str">
        <f>'Phase-Resource Allocation'!$B$59</f>
        <v>Hypercare</v>
      </c>
      <c r="AC804" s="51" t="str">
        <f>'Phase-Resource Allocation'!$C$59</f>
        <v>Trainers</v>
      </c>
      <c r="AD804" s="60">
        <f>'Phase-Resource Allocation'!$D$59</f>
        <v>1</v>
      </c>
      <c r="AE804" s="51">
        <f>IFERROR(INDEX('02_SCHEDULE'!$K$5:$K$124,MATCH(AA804&amp;"|"&amp;AB804,'02_SCHEDULE'!$M$5:$M$124,0)),0)</f>
        <v>81</v>
      </c>
      <c r="AF804" s="51">
        <f>IFERROR(INDEX('02_SCHEDULE'!$L$5:$L$124,MATCH(AA804&amp;"|"&amp;AB804,'02_SCHEDULE'!$M$5:$M$124,0)),0)</f>
        <v>84</v>
      </c>
      <c r="AG804" s="51">
        <f t="shared" si="34"/>
        <v>4</v>
      </c>
    </row>
    <row r="805" spans="27:33" x14ac:dyDescent="0.3">
      <c r="AA805" s="51" t="str">
        <f>'Sites Master'!$B$15</f>
        <v>Site 14</v>
      </c>
      <c r="AB805" s="51" t="str">
        <f>'Phase-Resource Allocation'!$B$60</f>
        <v>Hypercare</v>
      </c>
      <c r="AC805" s="51" t="str">
        <f>'Phase-Resource Allocation'!$C$60</f>
        <v>Trainers</v>
      </c>
      <c r="AD805" s="60">
        <f>'Phase-Resource Allocation'!$D$60</f>
        <v>1</v>
      </c>
      <c r="AE805" s="51">
        <f>IFERROR(INDEX('02_SCHEDULE'!$K$5:$K$124,MATCH(AA805&amp;"|"&amp;AB805,'02_SCHEDULE'!$M$5:$M$124,0)),0)</f>
        <v>81</v>
      </c>
      <c r="AF805" s="51">
        <f>IFERROR(INDEX('02_SCHEDULE'!$L$5:$L$124,MATCH(AA805&amp;"|"&amp;AB805,'02_SCHEDULE'!$M$5:$M$124,0)),0)</f>
        <v>84</v>
      </c>
      <c r="AG805" s="51">
        <f t="shared" si="34"/>
        <v>4</v>
      </c>
    </row>
    <row r="806" spans="27:33" x14ac:dyDescent="0.3">
      <c r="AA806" s="51" t="str">
        <f>'Sites Master'!$B$15</f>
        <v>Site 14</v>
      </c>
      <c r="AB806" s="51" t="str">
        <f>'Phase-Resource Allocation'!$B$61</f>
        <v>Hypercare</v>
      </c>
      <c r="AC806" s="51" t="str">
        <f>'Phase-Resource Allocation'!$C$61</f>
        <v>Trainers</v>
      </c>
      <c r="AD806" s="60">
        <f>'Phase-Resource Allocation'!$D$61</f>
        <v>1</v>
      </c>
      <c r="AE806" s="51">
        <f>IFERROR(INDEX('02_SCHEDULE'!$K$5:$K$124,MATCH(AA806&amp;"|"&amp;AB806,'02_SCHEDULE'!$M$5:$M$124,0)),0)</f>
        <v>81</v>
      </c>
      <c r="AF806" s="51">
        <f>IFERROR(INDEX('02_SCHEDULE'!$L$5:$L$124,MATCH(AA806&amp;"|"&amp;AB806,'02_SCHEDULE'!$M$5:$M$124,0)),0)</f>
        <v>84</v>
      </c>
      <c r="AG806" s="51">
        <f t="shared" si="34"/>
        <v>4</v>
      </c>
    </row>
    <row r="807" spans="27:33" x14ac:dyDescent="0.3">
      <c r="AA807" s="51" t="str">
        <f>'Sites Master'!$B$15</f>
        <v>Site 14</v>
      </c>
      <c r="AB807" s="51" t="str">
        <f>'Phase-Resource Allocation'!$B$62</f>
        <v>Hypercare</v>
      </c>
      <c r="AC807" s="51" t="str">
        <f>'Phase-Resource Allocation'!$C$62</f>
        <v>Infrastructure Lead</v>
      </c>
      <c r="AD807" s="60">
        <f>'Phase-Resource Allocation'!$D$62</f>
        <v>1</v>
      </c>
      <c r="AE807" s="51">
        <f>IFERROR(INDEX('02_SCHEDULE'!$K$5:$K$124,MATCH(AA807&amp;"|"&amp;AB807,'02_SCHEDULE'!$M$5:$M$124,0)),0)</f>
        <v>81</v>
      </c>
      <c r="AF807" s="51">
        <f>IFERROR(INDEX('02_SCHEDULE'!$L$5:$L$124,MATCH(AA807&amp;"|"&amp;AB807,'02_SCHEDULE'!$M$5:$M$124,0)),0)</f>
        <v>84</v>
      </c>
      <c r="AG807" s="51">
        <f t="shared" si="34"/>
        <v>4</v>
      </c>
    </row>
    <row r="808" spans="27:33" x14ac:dyDescent="0.3">
      <c r="AA808" s="51" t="str">
        <f>'Sites Master'!$B$15</f>
        <v>Site 14</v>
      </c>
      <c r="AB808" s="51" t="str">
        <f>'Phase-Resource Allocation'!$B$63</f>
        <v>Hypercare</v>
      </c>
      <c r="AC808" s="51" t="str">
        <f>'Phase-Resource Allocation'!$C$63</f>
        <v>Functional Lead Vendor A</v>
      </c>
      <c r="AD808" s="60">
        <f>'Phase-Resource Allocation'!$D$63</f>
        <v>0.5</v>
      </c>
      <c r="AE808" s="51">
        <f>IFERROR(INDEX('02_SCHEDULE'!$K$5:$K$124,MATCH(AA808&amp;"|"&amp;AB808,'02_SCHEDULE'!$M$5:$M$124,0)),0)</f>
        <v>81</v>
      </c>
      <c r="AF808" s="51">
        <f>IFERROR(INDEX('02_SCHEDULE'!$L$5:$L$124,MATCH(AA808&amp;"|"&amp;AB808,'02_SCHEDULE'!$M$5:$M$124,0)),0)</f>
        <v>84</v>
      </c>
      <c r="AG808" s="51">
        <f t="shared" si="34"/>
        <v>2</v>
      </c>
    </row>
    <row r="809" spans="27:33" x14ac:dyDescent="0.3">
      <c r="AA809" s="51" t="str">
        <f>'Sites Master'!$B$16</f>
        <v>Site 15</v>
      </c>
      <c r="AB809" s="51" t="str">
        <f>'Phase-Resource Allocation'!$B$64</f>
        <v>Site Readiness</v>
      </c>
      <c r="AC809" s="51" t="str">
        <f>'Phase-Resource Allocation'!$C$64</f>
        <v>Infrastructure Lead</v>
      </c>
      <c r="AD809" s="60">
        <f>'Phase-Resource Allocation'!$D$64</f>
        <v>1</v>
      </c>
      <c r="AE809" s="51">
        <f>IFERROR(INDEX('02_SCHEDULE'!$K$5:$K$124,MATCH(AA809&amp;"|"&amp;AB809,'02_SCHEDULE'!$M$5:$M$124,0)),0)</f>
        <v>62</v>
      </c>
      <c r="AF809" s="51">
        <f>IFERROR(INDEX('02_SCHEDULE'!$L$5:$L$124,MATCH(AA809&amp;"|"&amp;AB809,'02_SCHEDULE'!$M$5:$M$124,0)),0)</f>
        <v>65</v>
      </c>
      <c r="AG809" s="51">
        <f t="shared" si="34"/>
        <v>4</v>
      </c>
    </row>
    <row r="810" spans="27:33" x14ac:dyDescent="0.3">
      <c r="AA810" s="51" t="str">
        <f>'Sites Master'!$B$16</f>
        <v>Site 15</v>
      </c>
      <c r="AB810" s="51" t="str">
        <f>'Phase-Resource Allocation'!$B$65</f>
        <v>Site Readiness</v>
      </c>
      <c r="AC810" s="51" t="str">
        <f>'Phase-Resource Allocation'!$C$65</f>
        <v>SAP Integrations Lead</v>
      </c>
      <c r="AD810" s="60">
        <f>'Phase-Resource Allocation'!$D$65</f>
        <v>0.5</v>
      </c>
      <c r="AE810" s="51">
        <f>IFERROR(INDEX('02_SCHEDULE'!$K$5:$K$124,MATCH(AA810&amp;"|"&amp;AB810,'02_SCHEDULE'!$M$5:$M$124,0)),0)</f>
        <v>62</v>
      </c>
      <c r="AF810" s="51">
        <f>IFERROR(INDEX('02_SCHEDULE'!$L$5:$L$124,MATCH(AA810&amp;"|"&amp;AB810,'02_SCHEDULE'!$M$5:$M$124,0)),0)</f>
        <v>65</v>
      </c>
      <c r="AG810" s="51">
        <f t="shared" si="34"/>
        <v>2</v>
      </c>
    </row>
    <row r="811" spans="27:33" x14ac:dyDescent="0.3">
      <c r="AA811" s="51" t="str">
        <f>'Sites Master'!$B$16</f>
        <v>Site 15</v>
      </c>
      <c r="AB811" s="51" t="str">
        <f>'Phase-Resource Allocation'!$B$66</f>
        <v>Design Adaptation</v>
      </c>
      <c r="AC811" s="51" t="str">
        <f>'Phase-Resource Allocation'!$C$66</f>
        <v>Solution Architect</v>
      </c>
      <c r="AD811" s="60">
        <f>'Phase-Resource Allocation'!$D$66</f>
        <v>1</v>
      </c>
      <c r="AE811" s="51">
        <f>IFERROR(INDEX('02_SCHEDULE'!$K$5:$K$124,MATCH(AA811&amp;"|"&amp;AB811,'02_SCHEDULE'!$M$5:$M$124,0)),0)</f>
        <v>66</v>
      </c>
      <c r="AF811" s="51">
        <f>IFERROR(INDEX('02_SCHEDULE'!$L$5:$L$124,MATCH(AA811&amp;"|"&amp;AB811,'02_SCHEDULE'!$M$5:$M$124,0)),0)</f>
        <v>66</v>
      </c>
      <c r="AG811" s="51">
        <f t="shared" si="34"/>
        <v>1</v>
      </c>
    </row>
    <row r="812" spans="27:33" x14ac:dyDescent="0.3">
      <c r="AA812" s="51" t="str">
        <f>'Sites Master'!$B$16</f>
        <v>Site 15</v>
      </c>
      <c r="AB812" s="51" t="str">
        <f>'Phase-Resource Allocation'!$B$67</f>
        <v>Design Adaptation</v>
      </c>
      <c r="AC812" s="51" t="str">
        <f>'Phase-Resource Allocation'!$C$67</f>
        <v>SAP Integrations Lead</v>
      </c>
      <c r="AD812" s="60">
        <f>'Phase-Resource Allocation'!$D$67</f>
        <v>0.5</v>
      </c>
      <c r="AE812" s="51">
        <f>IFERROR(INDEX('02_SCHEDULE'!$K$5:$K$124,MATCH(AA812&amp;"|"&amp;AB812,'02_SCHEDULE'!$M$5:$M$124,0)),0)</f>
        <v>66</v>
      </c>
      <c r="AF812" s="51">
        <f>IFERROR(INDEX('02_SCHEDULE'!$L$5:$L$124,MATCH(AA812&amp;"|"&amp;AB812,'02_SCHEDULE'!$M$5:$M$124,0)),0)</f>
        <v>66</v>
      </c>
      <c r="AG812" s="51">
        <f t="shared" si="34"/>
        <v>0.5</v>
      </c>
    </row>
    <row r="813" spans="27:33" x14ac:dyDescent="0.3">
      <c r="AA813" s="51" t="str">
        <f>'Sites Master'!$B$16</f>
        <v>Site 15</v>
      </c>
      <c r="AB813" s="51" t="str">
        <f>'Phase-Resource Allocation'!$B$68</f>
        <v>Design Adaptation</v>
      </c>
      <c r="AC813" s="51" t="str">
        <f>'Phase-Resource Allocation'!$C$68</f>
        <v>SAP Integrations Specialist</v>
      </c>
      <c r="AD813" s="60">
        <f>'Phase-Resource Allocation'!$D$68</f>
        <v>0.5</v>
      </c>
      <c r="AE813" s="51">
        <f>IFERROR(INDEX('02_SCHEDULE'!$K$5:$K$124,MATCH(AA813&amp;"|"&amp;AB813,'02_SCHEDULE'!$M$5:$M$124,0)),0)</f>
        <v>66</v>
      </c>
      <c r="AF813" s="51">
        <f>IFERROR(INDEX('02_SCHEDULE'!$L$5:$L$124,MATCH(AA813&amp;"|"&amp;AB813,'02_SCHEDULE'!$M$5:$M$124,0)),0)</f>
        <v>66</v>
      </c>
      <c r="AG813" s="51">
        <f t="shared" si="34"/>
        <v>0.5</v>
      </c>
    </row>
    <row r="814" spans="27:33" x14ac:dyDescent="0.3">
      <c r="AA814" s="51" t="str">
        <f>'Sites Master'!$B$16</f>
        <v>Site 15</v>
      </c>
      <c r="AB814" s="51" t="str">
        <f>'Phase-Resource Allocation'!$B$69</f>
        <v>Design Adaptation</v>
      </c>
      <c r="AC814" s="51" t="str">
        <f>'Phase-Resource Allocation'!$C$69</f>
        <v>Azure Lead</v>
      </c>
      <c r="AD814" s="60">
        <f>'Phase-Resource Allocation'!$D$69</f>
        <v>0.5</v>
      </c>
      <c r="AE814" s="51">
        <f>IFERROR(INDEX('02_SCHEDULE'!$K$5:$K$124,MATCH(AA814&amp;"|"&amp;AB814,'02_SCHEDULE'!$M$5:$M$124,0)),0)</f>
        <v>66</v>
      </c>
      <c r="AF814" s="51">
        <f>IFERROR(INDEX('02_SCHEDULE'!$L$5:$L$124,MATCH(AA814&amp;"|"&amp;AB814,'02_SCHEDULE'!$M$5:$M$124,0)),0)</f>
        <v>66</v>
      </c>
      <c r="AG814" s="51">
        <f t="shared" si="34"/>
        <v>0.5</v>
      </c>
    </row>
    <row r="815" spans="27:33" x14ac:dyDescent="0.3">
      <c r="AA815" s="51" t="str">
        <f>'Sites Master'!$B$16</f>
        <v>Site 15</v>
      </c>
      <c r="AB815" s="51" t="str">
        <f>'Phase-Resource Allocation'!$B$70</f>
        <v>Design Adaptation</v>
      </c>
      <c r="AC815" s="51" t="str">
        <f>'Phase-Resource Allocation'!$C$70</f>
        <v>Azure Specialist</v>
      </c>
      <c r="AD815" s="60">
        <f>'Phase-Resource Allocation'!$D$70</f>
        <v>0.5</v>
      </c>
      <c r="AE815" s="51">
        <f>IFERROR(INDEX('02_SCHEDULE'!$K$5:$K$124,MATCH(AA815&amp;"|"&amp;AB815,'02_SCHEDULE'!$M$5:$M$124,0)),0)</f>
        <v>66</v>
      </c>
      <c r="AF815" s="51">
        <f>IFERROR(INDEX('02_SCHEDULE'!$L$5:$L$124,MATCH(AA815&amp;"|"&amp;AB815,'02_SCHEDULE'!$M$5:$M$124,0)),0)</f>
        <v>66</v>
      </c>
      <c r="AG815" s="51">
        <f t="shared" si="34"/>
        <v>0.5</v>
      </c>
    </row>
    <row r="816" spans="27:33" x14ac:dyDescent="0.3">
      <c r="AA816" s="51" t="str">
        <f>'Sites Master'!$B$16</f>
        <v>Site 15</v>
      </c>
      <c r="AB816" s="51" t="str">
        <f>'Phase-Resource Allocation'!$B$71</f>
        <v>Design Adaptation</v>
      </c>
      <c r="AC816" s="51" t="str">
        <f>'Phase-Resource Allocation'!$C$71</f>
        <v>Testing Lead</v>
      </c>
      <c r="AD816" s="60">
        <f>'Phase-Resource Allocation'!$D$71</f>
        <v>1</v>
      </c>
      <c r="AE816" s="51">
        <f>IFERROR(INDEX('02_SCHEDULE'!$K$5:$K$124,MATCH(AA816&amp;"|"&amp;AB816,'02_SCHEDULE'!$M$5:$M$124,0)),0)</f>
        <v>66</v>
      </c>
      <c r="AF816" s="51">
        <f>IFERROR(INDEX('02_SCHEDULE'!$L$5:$L$124,MATCH(AA816&amp;"|"&amp;AB816,'02_SCHEDULE'!$M$5:$M$124,0)),0)</f>
        <v>66</v>
      </c>
      <c r="AG816" s="51">
        <f t="shared" si="34"/>
        <v>1</v>
      </c>
    </row>
    <row r="817" spans="27:33" x14ac:dyDescent="0.3">
      <c r="AA817" s="51" t="str">
        <f>'Sites Master'!$B$16</f>
        <v>Site 15</v>
      </c>
      <c r="AB817" s="51" t="str">
        <f>'Phase-Resource Allocation'!$B$72</f>
        <v>Design Adaptation</v>
      </c>
      <c r="AC817" s="51" t="str">
        <f>'Phase-Resource Allocation'!$C$72</f>
        <v>Functional Lead</v>
      </c>
      <c r="AD817" s="60">
        <f>'Phase-Resource Allocation'!$D$72</f>
        <v>1</v>
      </c>
      <c r="AE817" s="51">
        <f>IFERROR(INDEX('02_SCHEDULE'!$K$5:$K$124,MATCH(AA817&amp;"|"&amp;AB817,'02_SCHEDULE'!$M$5:$M$124,0)),0)</f>
        <v>66</v>
      </c>
      <c r="AF817" s="51">
        <f>IFERROR(INDEX('02_SCHEDULE'!$L$5:$L$124,MATCH(AA817&amp;"|"&amp;AB817,'02_SCHEDULE'!$M$5:$M$124,0)),0)</f>
        <v>66</v>
      </c>
      <c r="AG817" s="51">
        <f t="shared" si="34"/>
        <v>1</v>
      </c>
    </row>
    <row r="818" spans="27:33" x14ac:dyDescent="0.3">
      <c r="AA818" s="51" t="str">
        <f>'Sites Master'!$B$16</f>
        <v>Site 15</v>
      </c>
      <c r="AB818" s="51" t="str">
        <f>'Phase-Resource Allocation'!$B$73</f>
        <v>Design Adaptation</v>
      </c>
      <c r="AC818" s="51" t="str">
        <f>'Phase-Resource Allocation'!$C$73</f>
        <v>Trainers</v>
      </c>
      <c r="AD818" s="60">
        <f>'Phase-Resource Allocation'!$D$73</f>
        <v>1</v>
      </c>
      <c r="AE818" s="51">
        <f>IFERROR(INDEX('02_SCHEDULE'!$K$5:$K$124,MATCH(AA818&amp;"|"&amp;AB818,'02_SCHEDULE'!$M$5:$M$124,0)),0)</f>
        <v>66</v>
      </c>
      <c r="AF818" s="51">
        <f>IFERROR(INDEX('02_SCHEDULE'!$L$5:$L$124,MATCH(AA818&amp;"|"&amp;AB818,'02_SCHEDULE'!$M$5:$M$124,0)),0)</f>
        <v>66</v>
      </c>
      <c r="AG818" s="51">
        <f t="shared" si="34"/>
        <v>1</v>
      </c>
    </row>
    <row r="819" spans="27:33" x14ac:dyDescent="0.3">
      <c r="AA819" s="51" t="str">
        <f>'Sites Master'!$B$16</f>
        <v>Site 15</v>
      </c>
      <c r="AB819" s="51" t="str">
        <f>'Phase-Resource Allocation'!$B$74</f>
        <v>Design Adaptation</v>
      </c>
      <c r="AC819" s="51" t="str">
        <f>'Phase-Resource Allocation'!$C$74</f>
        <v>Infrastructure Lead</v>
      </c>
      <c r="AD819" s="60">
        <f>'Phase-Resource Allocation'!$D$74</f>
        <v>1</v>
      </c>
      <c r="AE819" s="51">
        <f>IFERROR(INDEX('02_SCHEDULE'!$K$5:$K$124,MATCH(AA819&amp;"|"&amp;AB819,'02_SCHEDULE'!$M$5:$M$124,0)),0)</f>
        <v>66</v>
      </c>
      <c r="AF819" s="51">
        <f>IFERROR(INDEX('02_SCHEDULE'!$L$5:$L$124,MATCH(AA819&amp;"|"&amp;AB819,'02_SCHEDULE'!$M$5:$M$124,0)),0)</f>
        <v>66</v>
      </c>
      <c r="AG819" s="51">
        <f t="shared" si="34"/>
        <v>1</v>
      </c>
    </row>
    <row r="820" spans="27:33" x14ac:dyDescent="0.3">
      <c r="AA820" s="51" t="str">
        <f>'Sites Master'!$B$16</f>
        <v>Site 15</v>
      </c>
      <c r="AB820" s="51" t="str">
        <f>'Phase-Resource Allocation'!$B$75</f>
        <v>Design Adaptation</v>
      </c>
      <c r="AC820" s="51" t="str">
        <f>'Phase-Resource Allocation'!$C$75</f>
        <v>Functional Lead Vendor A</v>
      </c>
      <c r="AD820" s="60">
        <f>'Phase-Resource Allocation'!$D$75</f>
        <v>1</v>
      </c>
      <c r="AE820" s="51">
        <f>IFERROR(INDEX('02_SCHEDULE'!$K$5:$K$124,MATCH(AA820&amp;"|"&amp;AB820,'02_SCHEDULE'!$M$5:$M$124,0)),0)</f>
        <v>66</v>
      </c>
      <c r="AF820" s="51">
        <f>IFERROR(INDEX('02_SCHEDULE'!$L$5:$L$124,MATCH(AA820&amp;"|"&amp;AB820,'02_SCHEDULE'!$M$5:$M$124,0)),0)</f>
        <v>66</v>
      </c>
      <c r="AG820" s="51">
        <f t="shared" si="34"/>
        <v>1</v>
      </c>
    </row>
    <row r="821" spans="27:33" x14ac:dyDescent="0.3">
      <c r="AA821" s="51" t="str">
        <f>'Sites Master'!$B$16</f>
        <v>Site 15</v>
      </c>
      <c r="AB821" s="51" t="str">
        <f>'Phase-Resource Allocation'!$B$76</f>
        <v>Functional Review</v>
      </c>
      <c r="AC821" s="51" t="str">
        <f>'Phase-Resource Allocation'!$C$76</f>
        <v>Solution Architect</v>
      </c>
      <c r="AD821" s="60">
        <f>'Phase-Resource Allocation'!$D$76</f>
        <v>0.5</v>
      </c>
      <c r="AE821" s="51">
        <f>IFERROR(INDEX('02_SCHEDULE'!$K$5:$K$124,MATCH(AA821&amp;"|"&amp;AB821,'02_SCHEDULE'!$M$5:$M$124,0)),0)</f>
        <v>67</v>
      </c>
      <c r="AF821" s="51">
        <f>IFERROR(INDEX('02_SCHEDULE'!$L$5:$L$124,MATCH(AA821&amp;"|"&amp;AB821,'02_SCHEDULE'!$M$5:$M$124,0)),0)</f>
        <v>67</v>
      </c>
      <c r="AG821" s="51">
        <f t="shared" si="34"/>
        <v>0.5</v>
      </c>
    </row>
    <row r="822" spans="27:33" x14ac:dyDescent="0.3">
      <c r="AA822" s="51" t="str">
        <f>'Sites Master'!$B$16</f>
        <v>Site 15</v>
      </c>
      <c r="AB822" s="51" t="str">
        <f>'Phase-Resource Allocation'!$B$77</f>
        <v>Functional Review</v>
      </c>
      <c r="AC822" s="51" t="str">
        <f>'Phase-Resource Allocation'!$C$77</f>
        <v>Change Management Lead</v>
      </c>
      <c r="AD822" s="60">
        <f>'Phase-Resource Allocation'!$D$77</f>
        <v>1</v>
      </c>
      <c r="AE822" s="51">
        <f>IFERROR(INDEX('02_SCHEDULE'!$K$5:$K$124,MATCH(AA822&amp;"|"&amp;AB822,'02_SCHEDULE'!$M$5:$M$124,0)),0)</f>
        <v>67</v>
      </c>
      <c r="AF822" s="51">
        <f>IFERROR(INDEX('02_SCHEDULE'!$L$5:$L$124,MATCH(AA822&amp;"|"&amp;AB822,'02_SCHEDULE'!$M$5:$M$124,0)),0)</f>
        <v>67</v>
      </c>
      <c r="AG822" s="51">
        <f t="shared" si="34"/>
        <v>1</v>
      </c>
    </row>
    <row r="823" spans="27:33" x14ac:dyDescent="0.3">
      <c r="AA823" s="51" t="str">
        <f>'Sites Master'!$B$16</f>
        <v>Site 15</v>
      </c>
      <c r="AB823" s="51" t="str">
        <f>'Phase-Resource Allocation'!$B$78</f>
        <v>Functional Review</v>
      </c>
      <c r="AC823" s="51" t="str">
        <f>'Phase-Resource Allocation'!$C$78</f>
        <v>SAP Integrations Lead</v>
      </c>
      <c r="AD823" s="60">
        <f>'Phase-Resource Allocation'!$D$78</f>
        <v>0.5</v>
      </c>
      <c r="AE823" s="51">
        <f>IFERROR(INDEX('02_SCHEDULE'!$K$5:$K$124,MATCH(AA823&amp;"|"&amp;AB823,'02_SCHEDULE'!$M$5:$M$124,0)),0)</f>
        <v>67</v>
      </c>
      <c r="AF823" s="51">
        <f>IFERROR(INDEX('02_SCHEDULE'!$L$5:$L$124,MATCH(AA823&amp;"|"&amp;AB823,'02_SCHEDULE'!$M$5:$M$124,0)),0)</f>
        <v>67</v>
      </c>
      <c r="AG823" s="51">
        <f t="shared" si="34"/>
        <v>0.5</v>
      </c>
    </row>
    <row r="824" spans="27:33" x14ac:dyDescent="0.3">
      <c r="AA824" s="51" t="str">
        <f>'Sites Master'!$B$16</f>
        <v>Site 15</v>
      </c>
      <c r="AB824" s="51" t="str">
        <f>'Phase-Resource Allocation'!$B$79</f>
        <v>Functional Review</v>
      </c>
      <c r="AC824" s="51" t="str">
        <f>'Phase-Resource Allocation'!$C$79</f>
        <v>SAP Integrations Specialist</v>
      </c>
      <c r="AD824" s="60">
        <f>'Phase-Resource Allocation'!$D$79</f>
        <v>0.5</v>
      </c>
      <c r="AE824" s="51">
        <f>IFERROR(INDEX('02_SCHEDULE'!$K$5:$K$124,MATCH(AA824&amp;"|"&amp;AB824,'02_SCHEDULE'!$M$5:$M$124,0)),0)</f>
        <v>67</v>
      </c>
      <c r="AF824" s="51">
        <f>IFERROR(INDEX('02_SCHEDULE'!$L$5:$L$124,MATCH(AA824&amp;"|"&amp;AB824,'02_SCHEDULE'!$M$5:$M$124,0)),0)</f>
        <v>67</v>
      </c>
      <c r="AG824" s="51">
        <f t="shared" si="34"/>
        <v>0.5</v>
      </c>
    </row>
    <row r="825" spans="27:33" x14ac:dyDescent="0.3">
      <c r="AA825" s="51" t="str">
        <f>'Sites Master'!$B$16</f>
        <v>Site 15</v>
      </c>
      <c r="AB825" s="51" t="str">
        <f>'Phase-Resource Allocation'!$B$80</f>
        <v>Functional Review</v>
      </c>
      <c r="AC825" s="51" t="str">
        <f>'Phase-Resource Allocation'!$C$80</f>
        <v>Azure Lead</v>
      </c>
      <c r="AD825" s="60">
        <f>'Phase-Resource Allocation'!$D$80</f>
        <v>0.5</v>
      </c>
      <c r="AE825" s="51">
        <f>IFERROR(INDEX('02_SCHEDULE'!$K$5:$K$124,MATCH(AA825&amp;"|"&amp;AB825,'02_SCHEDULE'!$M$5:$M$124,0)),0)</f>
        <v>67</v>
      </c>
      <c r="AF825" s="51">
        <f>IFERROR(INDEX('02_SCHEDULE'!$L$5:$L$124,MATCH(AA825&amp;"|"&amp;AB825,'02_SCHEDULE'!$M$5:$M$124,0)),0)</f>
        <v>67</v>
      </c>
      <c r="AG825" s="51">
        <f t="shared" si="34"/>
        <v>0.5</v>
      </c>
    </row>
    <row r="826" spans="27:33" x14ac:dyDescent="0.3">
      <c r="AA826" s="51" t="str">
        <f>'Sites Master'!$B$16</f>
        <v>Site 15</v>
      </c>
      <c r="AB826" s="51" t="str">
        <f>'Phase-Resource Allocation'!$B$81</f>
        <v>Functional Review</v>
      </c>
      <c r="AC826" s="51" t="str">
        <f>'Phase-Resource Allocation'!$C$81</f>
        <v>Azure Specialist</v>
      </c>
      <c r="AD826" s="60">
        <f>'Phase-Resource Allocation'!$D$81</f>
        <v>0.5</v>
      </c>
      <c r="AE826" s="51">
        <f>IFERROR(INDEX('02_SCHEDULE'!$K$5:$K$124,MATCH(AA826&amp;"|"&amp;AB826,'02_SCHEDULE'!$M$5:$M$124,0)),0)</f>
        <v>67</v>
      </c>
      <c r="AF826" s="51">
        <f>IFERROR(INDEX('02_SCHEDULE'!$L$5:$L$124,MATCH(AA826&amp;"|"&amp;AB826,'02_SCHEDULE'!$M$5:$M$124,0)),0)</f>
        <v>67</v>
      </c>
      <c r="AG826" s="51">
        <f t="shared" si="34"/>
        <v>0.5</v>
      </c>
    </row>
    <row r="827" spans="27:33" x14ac:dyDescent="0.3">
      <c r="AA827" s="51" t="str">
        <f>'Sites Master'!$B$16</f>
        <v>Site 15</v>
      </c>
      <c r="AB827" s="51" t="str">
        <f>'Phase-Resource Allocation'!$B$82</f>
        <v>Functional Review</v>
      </c>
      <c r="AC827" s="51" t="str">
        <f>'Phase-Resource Allocation'!$C$82</f>
        <v>Testing Lead</v>
      </c>
      <c r="AD827" s="60">
        <f>'Phase-Resource Allocation'!$D$82</f>
        <v>0.5</v>
      </c>
      <c r="AE827" s="51">
        <f>IFERROR(INDEX('02_SCHEDULE'!$K$5:$K$124,MATCH(AA827&amp;"|"&amp;AB827,'02_SCHEDULE'!$M$5:$M$124,0)),0)</f>
        <v>67</v>
      </c>
      <c r="AF827" s="51">
        <f>IFERROR(INDEX('02_SCHEDULE'!$L$5:$L$124,MATCH(AA827&amp;"|"&amp;AB827,'02_SCHEDULE'!$M$5:$M$124,0)),0)</f>
        <v>67</v>
      </c>
      <c r="AG827" s="51">
        <f t="shared" si="34"/>
        <v>0.5</v>
      </c>
    </row>
    <row r="828" spans="27:33" x14ac:dyDescent="0.3">
      <c r="AA828" s="51" t="str">
        <f>'Sites Master'!$B$16</f>
        <v>Site 15</v>
      </c>
      <c r="AB828" s="51" t="str">
        <f>'Phase-Resource Allocation'!$B$83</f>
        <v>Functional Review</v>
      </c>
      <c r="AC828" s="51" t="str">
        <f>'Phase-Resource Allocation'!$C$83</f>
        <v>Functional Lead</v>
      </c>
      <c r="AD828" s="60">
        <f>'Phase-Resource Allocation'!$D$83</f>
        <v>1</v>
      </c>
      <c r="AE828" s="51">
        <f>IFERROR(INDEX('02_SCHEDULE'!$K$5:$K$124,MATCH(AA828&amp;"|"&amp;AB828,'02_SCHEDULE'!$M$5:$M$124,0)),0)</f>
        <v>67</v>
      </c>
      <c r="AF828" s="51">
        <f>IFERROR(INDEX('02_SCHEDULE'!$L$5:$L$124,MATCH(AA828&amp;"|"&amp;AB828,'02_SCHEDULE'!$M$5:$M$124,0)),0)</f>
        <v>67</v>
      </c>
      <c r="AG828" s="51">
        <f t="shared" si="34"/>
        <v>1</v>
      </c>
    </row>
    <row r="829" spans="27:33" x14ac:dyDescent="0.3">
      <c r="AA829" s="51" t="str">
        <f>'Sites Master'!$B$16</f>
        <v>Site 15</v>
      </c>
      <c r="AB829" s="51" t="str">
        <f>'Phase-Resource Allocation'!$B$84</f>
        <v>Functional Review</v>
      </c>
      <c r="AC829" s="51" t="str">
        <f>'Phase-Resource Allocation'!$C$84</f>
        <v>Trainers</v>
      </c>
      <c r="AD829" s="60">
        <f>'Phase-Resource Allocation'!$D$84</f>
        <v>1</v>
      </c>
      <c r="AE829" s="51">
        <f>IFERROR(INDEX('02_SCHEDULE'!$K$5:$K$124,MATCH(AA829&amp;"|"&amp;AB829,'02_SCHEDULE'!$M$5:$M$124,0)),0)</f>
        <v>67</v>
      </c>
      <c r="AF829" s="51">
        <f>IFERROR(INDEX('02_SCHEDULE'!$L$5:$L$124,MATCH(AA829&amp;"|"&amp;AB829,'02_SCHEDULE'!$M$5:$M$124,0)),0)</f>
        <v>67</v>
      </c>
      <c r="AG829" s="51">
        <f t="shared" si="34"/>
        <v>1</v>
      </c>
    </row>
    <row r="830" spans="27:33" x14ac:dyDescent="0.3">
      <c r="AA830" s="51" t="str">
        <f>'Sites Master'!$B$16</f>
        <v>Site 15</v>
      </c>
      <c r="AB830" s="51" t="str">
        <f>'Phase-Resource Allocation'!$B$85</f>
        <v>UAT</v>
      </c>
      <c r="AC830" s="51" t="str">
        <f>'Phase-Resource Allocation'!$C$85</f>
        <v>Solution Architect</v>
      </c>
      <c r="AD830" s="60">
        <f>'Phase-Resource Allocation'!$D$85</f>
        <v>0.5</v>
      </c>
      <c r="AE830" s="51">
        <f>IFERROR(INDEX('02_SCHEDULE'!$K$5:$K$124,MATCH(AA830&amp;"|"&amp;AB830,'02_SCHEDULE'!$M$5:$M$124,0)),0)</f>
        <v>68</v>
      </c>
      <c r="AF830" s="51">
        <f>IFERROR(INDEX('02_SCHEDULE'!$L$5:$L$124,MATCH(AA830&amp;"|"&amp;AB830,'02_SCHEDULE'!$M$5:$M$124,0)),0)</f>
        <v>69</v>
      </c>
      <c r="AG830" s="51">
        <f t="shared" si="34"/>
        <v>1</v>
      </c>
    </row>
    <row r="831" spans="27:33" x14ac:dyDescent="0.3">
      <c r="AA831" s="51" t="str">
        <f>'Sites Master'!$B$16</f>
        <v>Site 15</v>
      </c>
      <c r="AB831" s="51" t="str">
        <f>'Phase-Resource Allocation'!$B$86</f>
        <v>UAT</v>
      </c>
      <c r="AC831" s="51" t="str">
        <f>'Phase-Resource Allocation'!$C$86</f>
        <v>Change Management Lead</v>
      </c>
      <c r="AD831" s="60">
        <f>'Phase-Resource Allocation'!$D$86</f>
        <v>1</v>
      </c>
      <c r="AE831" s="51">
        <f>IFERROR(INDEX('02_SCHEDULE'!$K$5:$K$124,MATCH(AA831&amp;"|"&amp;AB831,'02_SCHEDULE'!$M$5:$M$124,0)),0)</f>
        <v>68</v>
      </c>
      <c r="AF831" s="51">
        <f>IFERROR(INDEX('02_SCHEDULE'!$L$5:$L$124,MATCH(AA831&amp;"|"&amp;AB831,'02_SCHEDULE'!$M$5:$M$124,0)),0)</f>
        <v>69</v>
      </c>
      <c r="AG831" s="51">
        <f t="shared" si="34"/>
        <v>2</v>
      </c>
    </row>
    <row r="832" spans="27:33" x14ac:dyDescent="0.3">
      <c r="AA832" s="51" t="str">
        <f>'Sites Master'!$B$16</f>
        <v>Site 15</v>
      </c>
      <c r="AB832" s="51" t="str">
        <f>'Phase-Resource Allocation'!$B$87</f>
        <v>UAT</v>
      </c>
      <c r="AC832" s="51" t="str">
        <f>'Phase-Resource Allocation'!$C$87</f>
        <v>SAP Integrations Lead</v>
      </c>
      <c r="AD832" s="60">
        <f>'Phase-Resource Allocation'!$D$87</f>
        <v>0.5</v>
      </c>
      <c r="AE832" s="51">
        <f>IFERROR(INDEX('02_SCHEDULE'!$K$5:$K$124,MATCH(AA832&amp;"|"&amp;AB832,'02_SCHEDULE'!$M$5:$M$124,0)),0)</f>
        <v>68</v>
      </c>
      <c r="AF832" s="51">
        <f>IFERROR(INDEX('02_SCHEDULE'!$L$5:$L$124,MATCH(AA832&amp;"|"&amp;AB832,'02_SCHEDULE'!$M$5:$M$124,0)),0)</f>
        <v>69</v>
      </c>
      <c r="AG832" s="51">
        <f t="shared" si="34"/>
        <v>1</v>
      </c>
    </row>
    <row r="833" spans="27:33" x14ac:dyDescent="0.3">
      <c r="AA833" s="51" t="str">
        <f>'Sites Master'!$B$16</f>
        <v>Site 15</v>
      </c>
      <c r="AB833" s="51" t="str">
        <f>'Phase-Resource Allocation'!$B$88</f>
        <v>UAT</v>
      </c>
      <c r="AC833" s="51" t="str">
        <f>'Phase-Resource Allocation'!$C$88</f>
        <v>SAP Integrations Specialist</v>
      </c>
      <c r="AD833" s="60">
        <f>'Phase-Resource Allocation'!$D$88</f>
        <v>0.5</v>
      </c>
      <c r="AE833" s="51">
        <f>IFERROR(INDEX('02_SCHEDULE'!$K$5:$K$124,MATCH(AA833&amp;"|"&amp;AB833,'02_SCHEDULE'!$M$5:$M$124,0)),0)</f>
        <v>68</v>
      </c>
      <c r="AF833" s="51">
        <f>IFERROR(INDEX('02_SCHEDULE'!$L$5:$L$124,MATCH(AA833&amp;"|"&amp;AB833,'02_SCHEDULE'!$M$5:$M$124,0)),0)</f>
        <v>69</v>
      </c>
      <c r="AG833" s="51">
        <f t="shared" si="34"/>
        <v>1</v>
      </c>
    </row>
    <row r="834" spans="27:33" x14ac:dyDescent="0.3">
      <c r="AA834" s="51" t="str">
        <f>'Sites Master'!$B$16</f>
        <v>Site 15</v>
      </c>
      <c r="AB834" s="51" t="str">
        <f>'Phase-Resource Allocation'!$B$89</f>
        <v>UAT</v>
      </c>
      <c r="AC834" s="51" t="str">
        <f>'Phase-Resource Allocation'!$C$89</f>
        <v>Azure Lead</v>
      </c>
      <c r="AD834" s="60">
        <f>'Phase-Resource Allocation'!$D$89</f>
        <v>0.5</v>
      </c>
      <c r="AE834" s="51">
        <f>IFERROR(INDEX('02_SCHEDULE'!$K$5:$K$124,MATCH(AA834&amp;"|"&amp;AB834,'02_SCHEDULE'!$M$5:$M$124,0)),0)</f>
        <v>68</v>
      </c>
      <c r="AF834" s="51">
        <f>IFERROR(INDEX('02_SCHEDULE'!$L$5:$L$124,MATCH(AA834&amp;"|"&amp;AB834,'02_SCHEDULE'!$M$5:$M$124,0)),0)</f>
        <v>69</v>
      </c>
      <c r="AG834" s="51">
        <f t="shared" si="34"/>
        <v>1</v>
      </c>
    </row>
    <row r="835" spans="27:33" x14ac:dyDescent="0.3">
      <c r="AA835" s="51" t="str">
        <f>'Sites Master'!$B$16</f>
        <v>Site 15</v>
      </c>
      <c r="AB835" s="51" t="str">
        <f>'Phase-Resource Allocation'!$B$90</f>
        <v>UAT</v>
      </c>
      <c r="AC835" s="51" t="str">
        <f>'Phase-Resource Allocation'!$C$90</f>
        <v>Azure Specialist</v>
      </c>
      <c r="AD835" s="60">
        <f>'Phase-Resource Allocation'!$D$90</f>
        <v>0.5</v>
      </c>
      <c r="AE835" s="51">
        <f>IFERROR(INDEX('02_SCHEDULE'!$K$5:$K$124,MATCH(AA835&amp;"|"&amp;AB835,'02_SCHEDULE'!$M$5:$M$124,0)),0)</f>
        <v>68</v>
      </c>
      <c r="AF835" s="51">
        <f>IFERROR(INDEX('02_SCHEDULE'!$L$5:$L$124,MATCH(AA835&amp;"|"&amp;AB835,'02_SCHEDULE'!$M$5:$M$124,0)),0)</f>
        <v>69</v>
      </c>
      <c r="AG835" s="51">
        <f t="shared" ref="AG835:AG870" si="35">AD835*(AF835-AE835+1)</f>
        <v>1</v>
      </c>
    </row>
    <row r="836" spans="27:33" x14ac:dyDescent="0.3">
      <c r="AA836" s="51" t="str">
        <f>'Sites Master'!$B$16</f>
        <v>Site 15</v>
      </c>
      <c r="AB836" s="51" t="str">
        <f>'Phase-Resource Allocation'!$B$91</f>
        <v>UAT</v>
      </c>
      <c r="AC836" s="51" t="str">
        <f>'Phase-Resource Allocation'!$C$91</f>
        <v>Testing Lead</v>
      </c>
      <c r="AD836" s="60">
        <f>'Phase-Resource Allocation'!$D$91</f>
        <v>0.5</v>
      </c>
      <c r="AE836" s="51">
        <f>IFERROR(INDEX('02_SCHEDULE'!$K$5:$K$124,MATCH(AA836&amp;"|"&amp;AB836,'02_SCHEDULE'!$M$5:$M$124,0)),0)</f>
        <v>68</v>
      </c>
      <c r="AF836" s="51">
        <f>IFERROR(INDEX('02_SCHEDULE'!$L$5:$L$124,MATCH(AA836&amp;"|"&amp;AB836,'02_SCHEDULE'!$M$5:$M$124,0)),0)</f>
        <v>69</v>
      </c>
      <c r="AG836" s="51">
        <f t="shared" si="35"/>
        <v>1</v>
      </c>
    </row>
    <row r="837" spans="27:33" x14ac:dyDescent="0.3">
      <c r="AA837" s="51" t="str">
        <f>'Sites Master'!$B$16</f>
        <v>Site 15</v>
      </c>
      <c r="AB837" s="51" t="str">
        <f>'Phase-Resource Allocation'!$B$92</f>
        <v>UAT</v>
      </c>
      <c r="AC837" s="51" t="str">
        <f>'Phase-Resource Allocation'!$C$92</f>
        <v>Functional Lead</v>
      </c>
      <c r="AD837" s="60">
        <f>'Phase-Resource Allocation'!$D$92</f>
        <v>1</v>
      </c>
      <c r="AE837" s="51">
        <f>IFERROR(INDEX('02_SCHEDULE'!$K$5:$K$124,MATCH(AA837&amp;"|"&amp;AB837,'02_SCHEDULE'!$M$5:$M$124,0)),0)</f>
        <v>68</v>
      </c>
      <c r="AF837" s="51">
        <f>IFERROR(INDEX('02_SCHEDULE'!$L$5:$L$124,MATCH(AA837&amp;"|"&amp;AB837,'02_SCHEDULE'!$M$5:$M$124,0)),0)</f>
        <v>69</v>
      </c>
      <c r="AG837" s="51">
        <f t="shared" si="35"/>
        <v>2</v>
      </c>
    </row>
    <row r="838" spans="27:33" x14ac:dyDescent="0.3">
      <c r="AA838" s="51" t="str">
        <f>'Sites Master'!$B$16</f>
        <v>Site 15</v>
      </c>
      <c r="AB838" s="51" t="str">
        <f>'Phase-Resource Allocation'!$B$93</f>
        <v>UAT</v>
      </c>
      <c r="AC838" s="51" t="str">
        <f>'Phase-Resource Allocation'!$C$93</f>
        <v>Trainers</v>
      </c>
      <c r="AD838" s="60">
        <f>'Phase-Resource Allocation'!$D$93</f>
        <v>1</v>
      </c>
      <c r="AE838" s="51">
        <f>IFERROR(INDEX('02_SCHEDULE'!$K$5:$K$124,MATCH(AA838&amp;"|"&amp;AB838,'02_SCHEDULE'!$M$5:$M$124,0)),0)</f>
        <v>68</v>
      </c>
      <c r="AF838" s="51">
        <f>IFERROR(INDEX('02_SCHEDULE'!$L$5:$L$124,MATCH(AA838&amp;"|"&amp;AB838,'02_SCHEDULE'!$M$5:$M$124,0)),0)</f>
        <v>69</v>
      </c>
      <c r="AG838" s="51">
        <f t="shared" si="35"/>
        <v>2</v>
      </c>
    </row>
    <row r="839" spans="27:33" x14ac:dyDescent="0.3">
      <c r="AA839" s="51" t="str">
        <f>'Sites Master'!$B$16</f>
        <v>Site 15</v>
      </c>
      <c r="AB839" s="51" t="str">
        <f>'Phase-Resource Allocation'!$B$94</f>
        <v>Training</v>
      </c>
      <c r="AC839" s="51" t="str">
        <f>'Phase-Resource Allocation'!$C$94</f>
        <v>Change Management Lead</v>
      </c>
      <c r="AD839" s="60">
        <f>'Phase-Resource Allocation'!$D$94</f>
        <v>1</v>
      </c>
      <c r="AE839" s="51">
        <f>IFERROR(INDEX('02_SCHEDULE'!$K$5:$K$124,MATCH(AA839&amp;"|"&amp;AB839,'02_SCHEDULE'!$M$5:$M$124,0)),0)</f>
        <v>70</v>
      </c>
      <c r="AF839" s="51">
        <f>IFERROR(INDEX('02_SCHEDULE'!$L$5:$L$124,MATCH(AA839&amp;"|"&amp;AB839,'02_SCHEDULE'!$M$5:$M$124,0)),0)</f>
        <v>71</v>
      </c>
      <c r="AG839" s="51">
        <f t="shared" si="35"/>
        <v>2</v>
      </c>
    </row>
    <row r="840" spans="27:33" x14ac:dyDescent="0.3">
      <c r="AA840" s="51" t="str">
        <f>'Sites Master'!$B$16</f>
        <v>Site 15</v>
      </c>
      <c r="AB840" s="51" t="str">
        <f>'Phase-Resource Allocation'!$B$95</f>
        <v>Training</v>
      </c>
      <c r="AC840" s="51" t="str">
        <f>'Phase-Resource Allocation'!$C$95</f>
        <v>Trainers</v>
      </c>
      <c r="AD840" s="60">
        <f>'Phase-Resource Allocation'!$D$95</f>
        <v>1</v>
      </c>
      <c r="AE840" s="51">
        <f>IFERROR(INDEX('02_SCHEDULE'!$K$5:$K$124,MATCH(AA840&amp;"|"&amp;AB840,'02_SCHEDULE'!$M$5:$M$124,0)),0)</f>
        <v>70</v>
      </c>
      <c r="AF840" s="51">
        <f>IFERROR(INDEX('02_SCHEDULE'!$L$5:$L$124,MATCH(AA840&amp;"|"&amp;AB840,'02_SCHEDULE'!$M$5:$M$124,0)),0)</f>
        <v>71</v>
      </c>
      <c r="AG840" s="51">
        <f t="shared" si="35"/>
        <v>2</v>
      </c>
    </row>
    <row r="841" spans="27:33" x14ac:dyDescent="0.3">
      <c r="AA841" s="51" t="str">
        <f>'Sites Master'!$B$16</f>
        <v>Site 15</v>
      </c>
      <c r="AB841" s="51" t="str">
        <f>'Phase-Resource Allocation'!$B$96</f>
        <v>DIALT</v>
      </c>
      <c r="AC841" s="51" t="str">
        <f>'Phase-Resource Allocation'!$C$96</f>
        <v>Solution Architect</v>
      </c>
      <c r="AD841" s="60">
        <f>'Phase-Resource Allocation'!$D$96</f>
        <v>0.5</v>
      </c>
      <c r="AE841" s="51">
        <f>IFERROR(INDEX('02_SCHEDULE'!$K$5:$K$124,MATCH(AA841&amp;"|"&amp;AB841,'02_SCHEDULE'!$M$5:$M$124,0)),0)</f>
        <v>72</v>
      </c>
      <c r="AF841" s="51">
        <f>IFERROR(INDEX('02_SCHEDULE'!$L$5:$L$124,MATCH(AA841&amp;"|"&amp;AB841,'02_SCHEDULE'!$M$5:$M$124,0)),0)</f>
        <v>72</v>
      </c>
      <c r="AG841" s="51">
        <f t="shared" si="35"/>
        <v>0.5</v>
      </c>
    </row>
    <row r="842" spans="27:33" x14ac:dyDescent="0.3">
      <c r="AA842" s="51" t="str">
        <f>'Sites Master'!$B$16</f>
        <v>Site 15</v>
      </c>
      <c r="AB842" s="51" t="str">
        <f>'Phase-Resource Allocation'!$B$97</f>
        <v>DIALT</v>
      </c>
      <c r="AC842" s="51" t="str">
        <f>'Phase-Resource Allocation'!$C$97</f>
        <v>Change Management Lead</v>
      </c>
      <c r="AD842" s="60">
        <f>'Phase-Resource Allocation'!$D$97</f>
        <v>1</v>
      </c>
      <c r="AE842" s="51">
        <f>IFERROR(INDEX('02_SCHEDULE'!$K$5:$K$124,MATCH(AA842&amp;"|"&amp;AB842,'02_SCHEDULE'!$M$5:$M$124,0)),0)</f>
        <v>72</v>
      </c>
      <c r="AF842" s="51">
        <f>IFERROR(INDEX('02_SCHEDULE'!$L$5:$L$124,MATCH(AA842&amp;"|"&amp;AB842,'02_SCHEDULE'!$M$5:$M$124,0)),0)</f>
        <v>72</v>
      </c>
      <c r="AG842" s="51">
        <f t="shared" si="35"/>
        <v>1</v>
      </c>
    </row>
    <row r="843" spans="27:33" x14ac:dyDescent="0.3">
      <c r="AA843" s="51" t="str">
        <f>'Sites Master'!$B$16</f>
        <v>Site 15</v>
      </c>
      <c r="AB843" s="51" t="str">
        <f>'Phase-Resource Allocation'!$B$98</f>
        <v>DIALT</v>
      </c>
      <c r="AC843" s="51" t="str">
        <f>'Phase-Resource Allocation'!$C$98</f>
        <v>Azure Lead</v>
      </c>
      <c r="AD843" s="60">
        <f>'Phase-Resource Allocation'!$D$98</f>
        <v>0.75</v>
      </c>
      <c r="AE843" s="51">
        <f>IFERROR(INDEX('02_SCHEDULE'!$K$5:$K$124,MATCH(AA843&amp;"|"&amp;AB843,'02_SCHEDULE'!$M$5:$M$124,0)),0)</f>
        <v>72</v>
      </c>
      <c r="AF843" s="51">
        <f>IFERROR(INDEX('02_SCHEDULE'!$L$5:$L$124,MATCH(AA843&amp;"|"&amp;AB843,'02_SCHEDULE'!$M$5:$M$124,0)),0)</f>
        <v>72</v>
      </c>
      <c r="AG843" s="51">
        <f t="shared" si="35"/>
        <v>0.75</v>
      </c>
    </row>
    <row r="844" spans="27:33" x14ac:dyDescent="0.3">
      <c r="AA844" s="51" t="str">
        <f>'Sites Master'!$B$16</f>
        <v>Site 15</v>
      </c>
      <c r="AB844" s="51" t="str">
        <f>'Phase-Resource Allocation'!$B$99</f>
        <v>DIALT</v>
      </c>
      <c r="AC844" s="51" t="str">
        <f>'Phase-Resource Allocation'!$C$99</f>
        <v>Azure Specialist</v>
      </c>
      <c r="AD844" s="60">
        <f>'Phase-Resource Allocation'!$D$99</f>
        <v>0.75</v>
      </c>
      <c r="AE844" s="51">
        <f>IFERROR(INDEX('02_SCHEDULE'!$K$5:$K$124,MATCH(AA844&amp;"|"&amp;AB844,'02_SCHEDULE'!$M$5:$M$124,0)),0)</f>
        <v>72</v>
      </c>
      <c r="AF844" s="51">
        <f>IFERROR(INDEX('02_SCHEDULE'!$L$5:$L$124,MATCH(AA844&amp;"|"&amp;AB844,'02_SCHEDULE'!$M$5:$M$124,0)),0)</f>
        <v>72</v>
      </c>
      <c r="AG844" s="51">
        <f t="shared" si="35"/>
        <v>0.75</v>
      </c>
    </row>
    <row r="845" spans="27:33" x14ac:dyDescent="0.3">
      <c r="AA845" s="51" t="str">
        <f>'Sites Master'!$B$16</f>
        <v>Site 15</v>
      </c>
      <c r="AB845" s="51" t="str">
        <f>'Phase-Resource Allocation'!$B$100</f>
        <v>DIALT</v>
      </c>
      <c r="AC845" s="51" t="str">
        <f>'Phase-Resource Allocation'!$C$100</f>
        <v>Functional Lead</v>
      </c>
      <c r="AD845" s="60">
        <f>'Phase-Resource Allocation'!$D$100</f>
        <v>1</v>
      </c>
      <c r="AE845" s="51">
        <f>IFERROR(INDEX('02_SCHEDULE'!$K$5:$K$124,MATCH(AA845&amp;"|"&amp;AB845,'02_SCHEDULE'!$M$5:$M$124,0)),0)</f>
        <v>72</v>
      </c>
      <c r="AF845" s="51">
        <f>IFERROR(INDEX('02_SCHEDULE'!$L$5:$L$124,MATCH(AA845&amp;"|"&amp;AB845,'02_SCHEDULE'!$M$5:$M$124,0)),0)</f>
        <v>72</v>
      </c>
      <c r="AG845" s="51">
        <f t="shared" si="35"/>
        <v>1</v>
      </c>
    </row>
    <row r="846" spans="27:33" x14ac:dyDescent="0.3">
      <c r="AA846" s="51" t="str">
        <f>'Sites Master'!$B$16</f>
        <v>Site 15</v>
      </c>
      <c r="AB846" s="51" t="str">
        <f>'Phase-Resource Allocation'!$B$101</f>
        <v>DIALT</v>
      </c>
      <c r="AC846" s="51" t="str">
        <f>'Phase-Resource Allocation'!$C$101</f>
        <v>Trainers</v>
      </c>
      <c r="AD846" s="60">
        <f>'Phase-Resource Allocation'!$D$101</f>
        <v>1</v>
      </c>
      <c r="AE846" s="51">
        <f>IFERROR(INDEX('02_SCHEDULE'!$K$5:$K$124,MATCH(AA846&amp;"|"&amp;AB846,'02_SCHEDULE'!$M$5:$M$124,0)),0)</f>
        <v>72</v>
      </c>
      <c r="AF846" s="51">
        <f>IFERROR(INDEX('02_SCHEDULE'!$L$5:$L$124,MATCH(AA846&amp;"|"&amp;AB846,'02_SCHEDULE'!$M$5:$M$124,0)),0)</f>
        <v>72</v>
      </c>
      <c r="AG846" s="51">
        <f t="shared" si="35"/>
        <v>1</v>
      </c>
    </row>
    <row r="847" spans="27:33" x14ac:dyDescent="0.3">
      <c r="AA847" s="51" t="str">
        <f>'Sites Master'!$B$16</f>
        <v>Site 15</v>
      </c>
      <c r="AB847" s="51" t="str">
        <f>'Phase-Resource Allocation'!$B$102</f>
        <v>DIALT</v>
      </c>
      <c r="AC847" s="51" t="str">
        <f>'Phase-Resource Allocation'!$C$102</f>
        <v>Functional Lead Vendor A</v>
      </c>
      <c r="AD847" s="60">
        <f>'Phase-Resource Allocation'!$D$102</f>
        <v>1</v>
      </c>
      <c r="AE847" s="51">
        <f>IFERROR(INDEX('02_SCHEDULE'!$K$5:$K$124,MATCH(AA847&amp;"|"&amp;AB847,'02_SCHEDULE'!$M$5:$M$124,0)),0)</f>
        <v>72</v>
      </c>
      <c r="AF847" s="51">
        <f>IFERROR(INDEX('02_SCHEDULE'!$L$5:$L$124,MATCH(AA847&amp;"|"&amp;AB847,'02_SCHEDULE'!$M$5:$M$124,0)),0)</f>
        <v>72</v>
      </c>
      <c r="AG847" s="51">
        <f t="shared" si="35"/>
        <v>1</v>
      </c>
    </row>
    <row r="848" spans="27:33" x14ac:dyDescent="0.3">
      <c r="AA848" s="51" t="str">
        <f>'Sites Master'!$B$16</f>
        <v>Site 15</v>
      </c>
      <c r="AB848" s="51" t="str">
        <f>'Phase-Resource Allocation'!$B$103</f>
        <v>Go Live</v>
      </c>
      <c r="AC848" s="51" t="str">
        <f>'Phase-Resource Allocation'!$C$103</f>
        <v>Solution Architect</v>
      </c>
      <c r="AD848" s="60">
        <f>'Phase-Resource Allocation'!$D$103</f>
        <v>1</v>
      </c>
      <c r="AE848" s="51">
        <f>IFERROR(INDEX('02_SCHEDULE'!$K$5:$K$124,MATCH(AA848&amp;"|"&amp;AB848,'02_SCHEDULE'!$M$5:$M$124,0)),0)</f>
        <v>73</v>
      </c>
      <c r="AF848" s="51">
        <f>IFERROR(INDEX('02_SCHEDULE'!$L$5:$L$124,MATCH(AA848&amp;"|"&amp;AB848,'02_SCHEDULE'!$M$5:$M$124,0)),0)</f>
        <v>73</v>
      </c>
      <c r="AG848" s="51">
        <f t="shared" si="35"/>
        <v>1</v>
      </c>
    </row>
    <row r="849" spans="27:33" x14ac:dyDescent="0.3">
      <c r="AA849" s="51" t="str">
        <f>'Sites Master'!$B$16</f>
        <v>Site 15</v>
      </c>
      <c r="AB849" s="51" t="str">
        <f>'Phase-Resource Allocation'!$B$104</f>
        <v>Go Live</v>
      </c>
      <c r="AC849" s="51" t="str">
        <f>'Phase-Resource Allocation'!$C$104</f>
        <v>Change Management Lead</v>
      </c>
      <c r="AD849" s="60">
        <f>'Phase-Resource Allocation'!$D$104</f>
        <v>1</v>
      </c>
      <c r="AE849" s="51">
        <f>IFERROR(INDEX('02_SCHEDULE'!$K$5:$K$124,MATCH(AA849&amp;"|"&amp;AB849,'02_SCHEDULE'!$M$5:$M$124,0)),0)</f>
        <v>73</v>
      </c>
      <c r="AF849" s="51">
        <f>IFERROR(INDEX('02_SCHEDULE'!$L$5:$L$124,MATCH(AA849&amp;"|"&amp;AB849,'02_SCHEDULE'!$M$5:$M$124,0)),0)</f>
        <v>73</v>
      </c>
      <c r="AG849" s="51">
        <f t="shared" si="35"/>
        <v>1</v>
      </c>
    </row>
    <row r="850" spans="27:33" x14ac:dyDescent="0.3">
      <c r="AA850" s="51" t="str">
        <f>'Sites Master'!$B$16</f>
        <v>Site 15</v>
      </c>
      <c r="AB850" s="51" t="str">
        <f>'Phase-Resource Allocation'!$B$105</f>
        <v>Go Live</v>
      </c>
      <c r="AC850" s="51" t="str">
        <f>'Phase-Resource Allocation'!$C$105</f>
        <v>SAP Integrations Lead</v>
      </c>
      <c r="AD850" s="60">
        <f>'Phase-Resource Allocation'!$D$105</f>
        <v>1</v>
      </c>
      <c r="AE850" s="51">
        <f>IFERROR(INDEX('02_SCHEDULE'!$K$5:$K$124,MATCH(AA850&amp;"|"&amp;AB850,'02_SCHEDULE'!$M$5:$M$124,0)),0)</f>
        <v>73</v>
      </c>
      <c r="AF850" s="51">
        <f>IFERROR(INDEX('02_SCHEDULE'!$L$5:$L$124,MATCH(AA850&amp;"|"&amp;AB850,'02_SCHEDULE'!$M$5:$M$124,0)),0)</f>
        <v>73</v>
      </c>
      <c r="AG850" s="51">
        <f t="shared" si="35"/>
        <v>1</v>
      </c>
    </row>
    <row r="851" spans="27:33" x14ac:dyDescent="0.3">
      <c r="AA851" s="51" t="str">
        <f>'Sites Master'!$B$16</f>
        <v>Site 15</v>
      </c>
      <c r="AB851" s="51" t="str">
        <f>'Phase-Resource Allocation'!$B$106</f>
        <v>Go Live</v>
      </c>
      <c r="AC851" s="51" t="str">
        <f>'Phase-Resource Allocation'!$C$106</f>
        <v>SAP Integrations Specialist</v>
      </c>
      <c r="AD851" s="60">
        <f>'Phase-Resource Allocation'!$D$106</f>
        <v>1</v>
      </c>
      <c r="AE851" s="51">
        <f>IFERROR(INDEX('02_SCHEDULE'!$K$5:$K$124,MATCH(AA851&amp;"|"&amp;AB851,'02_SCHEDULE'!$M$5:$M$124,0)),0)</f>
        <v>73</v>
      </c>
      <c r="AF851" s="51">
        <f>IFERROR(INDEX('02_SCHEDULE'!$L$5:$L$124,MATCH(AA851&amp;"|"&amp;AB851,'02_SCHEDULE'!$M$5:$M$124,0)),0)</f>
        <v>73</v>
      </c>
      <c r="AG851" s="51">
        <f t="shared" si="35"/>
        <v>1</v>
      </c>
    </row>
    <row r="852" spans="27:33" x14ac:dyDescent="0.3">
      <c r="AA852" s="51" t="str">
        <f>'Sites Master'!$B$16</f>
        <v>Site 15</v>
      </c>
      <c r="AB852" s="51" t="str">
        <f>'Phase-Resource Allocation'!$B$107</f>
        <v>Go Live</v>
      </c>
      <c r="AC852" s="51" t="str">
        <f>'Phase-Resource Allocation'!$C$107</f>
        <v>Azure Lead</v>
      </c>
      <c r="AD852" s="60">
        <f>'Phase-Resource Allocation'!$D$107</f>
        <v>1</v>
      </c>
      <c r="AE852" s="51">
        <f>IFERROR(INDEX('02_SCHEDULE'!$K$5:$K$124,MATCH(AA852&amp;"|"&amp;AB852,'02_SCHEDULE'!$M$5:$M$124,0)),0)</f>
        <v>73</v>
      </c>
      <c r="AF852" s="51">
        <f>IFERROR(INDEX('02_SCHEDULE'!$L$5:$L$124,MATCH(AA852&amp;"|"&amp;AB852,'02_SCHEDULE'!$M$5:$M$124,0)),0)</f>
        <v>73</v>
      </c>
      <c r="AG852" s="51">
        <f t="shared" si="35"/>
        <v>1</v>
      </c>
    </row>
    <row r="853" spans="27:33" x14ac:dyDescent="0.3">
      <c r="AA853" s="51" t="str">
        <f>'Sites Master'!$B$16</f>
        <v>Site 15</v>
      </c>
      <c r="AB853" s="51" t="str">
        <f>'Phase-Resource Allocation'!$B$108</f>
        <v>Go Live</v>
      </c>
      <c r="AC853" s="51" t="str">
        <f>'Phase-Resource Allocation'!$C$108</f>
        <v>Azure Specialist</v>
      </c>
      <c r="AD853" s="60">
        <f>'Phase-Resource Allocation'!$D$108</f>
        <v>1</v>
      </c>
      <c r="AE853" s="51">
        <f>IFERROR(INDEX('02_SCHEDULE'!$K$5:$K$124,MATCH(AA853&amp;"|"&amp;AB853,'02_SCHEDULE'!$M$5:$M$124,0)),0)</f>
        <v>73</v>
      </c>
      <c r="AF853" s="51">
        <f>IFERROR(INDEX('02_SCHEDULE'!$L$5:$L$124,MATCH(AA853&amp;"|"&amp;AB853,'02_SCHEDULE'!$M$5:$M$124,0)),0)</f>
        <v>73</v>
      </c>
      <c r="AG853" s="51">
        <f t="shared" si="35"/>
        <v>1</v>
      </c>
    </row>
    <row r="854" spans="27:33" x14ac:dyDescent="0.3">
      <c r="AA854" s="51" t="str">
        <f>'Sites Master'!$B$16</f>
        <v>Site 15</v>
      </c>
      <c r="AB854" s="51" t="str">
        <f>'Phase-Resource Allocation'!$B$109</f>
        <v>Go Live</v>
      </c>
      <c r="AC854" s="51" t="str">
        <f>'Phase-Resource Allocation'!$C$109</f>
        <v>Functional Lead</v>
      </c>
      <c r="AD854" s="60">
        <f>'Phase-Resource Allocation'!$D$109</f>
        <v>1</v>
      </c>
      <c r="AE854" s="51">
        <f>IFERROR(INDEX('02_SCHEDULE'!$K$5:$K$124,MATCH(AA854&amp;"|"&amp;AB854,'02_SCHEDULE'!$M$5:$M$124,0)),0)</f>
        <v>73</v>
      </c>
      <c r="AF854" s="51">
        <f>IFERROR(INDEX('02_SCHEDULE'!$L$5:$L$124,MATCH(AA854&amp;"|"&amp;AB854,'02_SCHEDULE'!$M$5:$M$124,0)),0)</f>
        <v>73</v>
      </c>
      <c r="AG854" s="51">
        <f t="shared" si="35"/>
        <v>1</v>
      </c>
    </row>
    <row r="855" spans="27:33" x14ac:dyDescent="0.3">
      <c r="AA855" s="51" t="str">
        <f>'Sites Master'!$B$16</f>
        <v>Site 15</v>
      </c>
      <c r="AB855" s="51" t="str">
        <f>'Phase-Resource Allocation'!$B$110</f>
        <v>Go Live</v>
      </c>
      <c r="AC855" s="51" t="str">
        <f>'Phase-Resource Allocation'!$C$110</f>
        <v>Trainers</v>
      </c>
      <c r="AD855" s="60">
        <f>'Phase-Resource Allocation'!$D$110</f>
        <v>1</v>
      </c>
      <c r="AE855" s="51">
        <f>IFERROR(INDEX('02_SCHEDULE'!$K$5:$K$124,MATCH(AA855&amp;"|"&amp;AB855,'02_SCHEDULE'!$M$5:$M$124,0)),0)</f>
        <v>73</v>
      </c>
      <c r="AF855" s="51">
        <f>IFERROR(INDEX('02_SCHEDULE'!$L$5:$L$124,MATCH(AA855&amp;"|"&amp;AB855,'02_SCHEDULE'!$M$5:$M$124,0)),0)</f>
        <v>73</v>
      </c>
      <c r="AG855" s="51">
        <f t="shared" si="35"/>
        <v>1</v>
      </c>
    </row>
    <row r="856" spans="27:33" x14ac:dyDescent="0.3">
      <c r="AA856" s="51" t="str">
        <f>'Sites Master'!$B$16</f>
        <v>Site 15</v>
      </c>
      <c r="AB856" s="51" t="str">
        <f>'Phase-Resource Allocation'!$B$111</f>
        <v>Go Live</v>
      </c>
      <c r="AC856" s="51" t="str">
        <f>'Phase-Resource Allocation'!$C$111</f>
        <v>Infrastructure Lead</v>
      </c>
      <c r="AD856" s="60">
        <f>'Phase-Resource Allocation'!$D$111</f>
        <v>1</v>
      </c>
      <c r="AE856" s="51">
        <f>IFERROR(INDEX('02_SCHEDULE'!$K$5:$K$124,MATCH(AA856&amp;"|"&amp;AB856,'02_SCHEDULE'!$M$5:$M$124,0)),0)</f>
        <v>73</v>
      </c>
      <c r="AF856" s="51">
        <f>IFERROR(INDEX('02_SCHEDULE'!$L$5:$L$124,MATCH(AA856&amp;"|"&amp;AB856,'02_SCHEDULE'!$M$5:$M$124,0)),0)</f>
        <v>73</v>
      </c>
      <c r="AG856" s="51">
        <f t="shared" si="35"/>
        <v>1</v>
      </c>
    </row>
    <row r="857" spans="27:33" x14ac:dyDescent="0.3">
      <c r="AA857" s="51" t="str">
        <f>'Sites Master'!$B$16</f>
        <v>Site 15</v>
      </c>
      <c r="AB857" s="51" t="str">
        <f>'Phase-Resource Allocation'!$B$112</f>
        <v>Go Live</v>
      </c>
      <c r="AC857" s="51" t="str">
        <f>'Phase-Resource Allocation'!$C$112</f>
        <v>Functional Lead Vendor A</v>
      </c>
      <c r="AD857" s="60">
        <f>'Phase-Resource Allocation'!$D$112</f>
        <v>1</v>
      </c>
      <c r="AE857" s="51">
        <f>IFERROR(INDEX('02_SCHEDULE'!$K$5:$K$124,MATCH(AA857&amp;"|"&amp;AB857,'02_SCHEDULE'!$M$5:$M$124,0)),0)</f>
        <v>73</v>
      </c>
      <c r="AF857" s="51">
        <f>IFERROR(INDEX('02_SCHEDULE'!$L$5:$L$124,MATCH(AA857&amp;"|"&amp;AB857,'02_SCHEDULE'!$M$5:$M$124,0)),0)</f>
        <v>73</v>
      </c>
      <c r="AG857" s="51">
        <f t="shared" si="35"/>
        <v>1</v>
      </c>
    </row>
    <row r="858" spans="27:33" x14ac:dyDescent="0.3">
      <c r="AA858" s="51" t="str">
        <f>'Sites Master'!$B$16</f>
        <v>Site 15</v>
      </c>
      <c r="AB858" s="51" t="str">
        <f>'Phase-Resource Allocation'!$B$113</f>
        <v>Hypercare</v>
      </c>
      <c r="AC858" s="51" t="str">
        <f>'Phase-Resource Allocation'!$C$113</f>
        <v>Solution Architect</v>
      </c>
      <c r="AD858" s="60">
        <f>'Phase-Resource Allocation'!$D$113</f>
        <v>0.5</v>
      </c>
      <c r="AE858" s="51">
        <f>IFERROR(INDEX('02_SCHEDULE'!$K$5:$K$124,MATCH(AA858&amp;"|"&amp;AB858,'02_SCHEDULE'!$M$5:$M$124,0)),0)</f>
        <v>74</v>
      </c>
      <c r="AF858" s="51">
        <f>IFERROR(INDEX('02_SCHEDULE'!$L$5:$L$124,MATCH(AA858&amp;"|"&amp;AB858,'02_SCHEDULE'!$M$5:$M$124,0)),0)</f>
        <v>77</v>
      </c>
      <c r="AG858" s="51">
        <f t="shared" si="35"/>
        <v>2</v>
      </c>
    </row>
    <row r="859" spans="27:33" x14ac:dyDescent="0.3">
      <c r="AA859" s="51" t="str">
        <f>'Sites Master'!$B$16</f>
        <v>Site 15</v>
      </c>
      <c r="AB859" s="51" t="str">
        <f>'Phase-Resource Allocation'!$B$114</f>
        <v>Hypercare</v>
      </c>
      <c r="AC859" s="51" t="str">
        <f>'Phase-Resource Allocation'!$C$114</f>
        <v>Change Management Lead</v>
      </c>
      <c r="AD859" s="60">
        <f>'Phase-Resource Allocation'!$D$114</f>
        <v>1</v>
      </c>
      <c r="AE859" s="51">
        <f>IFERROR(INDEX('02_SCHEDULE'!$K$5:$K$124,MATCH(AA859&amp;"|"&amp;AB859,'02_SCHEDULE'!$M$5:$M$124,0)),0)</f>
        <v>74</v>
      </c>
      <c r="AF859" s="51">
        <f>IFERROR(INDEX('02_SCHEDULE'!$L$5:$L$124,MATCH(AA859&amp;"|"&amp;AB859,'02_SCHEDULE'!$M$5:$M$124,0)),0)</f>
        <v>77</v>
      </c>
      <c r="AG859" s="51">
        <f t="shared" si="35"/>
        <v>4</v>
      </c>
    </row>
    <row r="860" spans="27:33" x14ac:dyDescent="0.3">
      <c r="AA860" s="51" t="str">
        <f>'Sites Master'!$B$16</f>
        <v>Site 15</v>
      </c>
      <c r="AB860" s="51" t="str">
        <f>'Phase-Resource Allocation'!$B$115</f>
        <v>Hypercare</v>
      </c>
      <c r="AC860" s="51" t="str">
        <f>'Phase-Resource Allocation'!$C$115</f>
        <v>SAP Integrations Lead</v>
      </c>
      <c r="AD860" s="60">
        <f>'Phase-Resource Allocation'!$D$115</f>
        <v>0.5</v>
      </c>
      <c r="AE860" s="51">
        <f>IFERROR(INDEX('02_SCHEDULE'!$K$5:$K$124,MATCH(AA860&amp;"|"&amp;AB860,'02_SCHEDULE'!$M$5:$M$124,0)),0)</f>
        <v>74</v>
      </c>
      <c r="AF860" s="51">
        <f>IFERROR(INDEX('02_SCHEDULE'!$L$5:$L$124,MATCH(AA860&amp;"|"&amp;AB860,'02_SCHEDULE'!$M$5:$M$124,0)),0)</f>
        <v>77</v>
      </c>
      <c r="AG860" s="51">
        <f t="shared" si="35"/>
        <v>2</v>
      </c>
    </row>
    <row r="861" spans="27:33" x14ac:dyDescent="0.3">
      <c r="AA861" s="51" t="str">
        <f>'Sites Master'!$B$16</f>
        <v>Site 15</v>
      </c>
      <c r="AB861" s="51" t="str">
        <f>'Phase-Resource Allocation'!$B$116</f>
        <v>Hypercare</v>
      </c>
      <c r="AC861" s="51" t="str">
        <f>'Phase-Resource Allocation'!$C$116</f>
        <v>SAP Integrations Specialist</v>
      </c>
      <c r="AD861" s="60">
        <f>'Phase-Resource Allocation'!$D$116</f>
        <v>0.5</v>
      </c>
      <c r="AE861" s="51">
        <f>IFERROR(INDEX('02_SCHEDULE'!$K$5:$K$124,MATCH(AA861&amp;"|"&amp;AB861,'02_SCHEDULE'!$M$5:$M$124,0)),0)</f>
        <v>74</v>
      </c>
      <c r="AF861" s="51">
        <f>IFERROR(INDEX('02_SCHEDULE'!$L$5:$L$124,MATCH(AA861&amp;"|"&amp;AB861,'02_SCHEDULE'!$M$5:$M$124,0)),0)</f>
        <v>77</v>
      </c>
      <c r="AG861" s="51">
        <f t="shared" si="35"/>
        <v>2</v>
      </c>
    </row>
    <row r="862" spans="27:33" x14ac:dyDescent="0.3">
      <c r="AA862" s="51" t="str">
        <f>'Sites Master'!$B$16</f>
        <v>Site 15</v>
      </c>
      <c r="AB862" s="51" t="str">
        <f>'Phase-Resource Allocation'!$B$117</f>
        <v>Hypercare</v>
      </c>
      <c r="AC862" s="51" t="str">
        <f>'Phase-Resource Allocation'!$C$117</f>
        <v>Azure Lead</v>
      </c>
      <c r="AD862" s="60">
        <f>'Phase-Resource Allocation'!$D$117</f>
        <v>0.5</v>
      </c>
      <c r="AE862" s="51">
        <f>IFERROR(INDEX('02_SCHEDULE'!$K$5:$K$124,MATCH(AA862&amp;"|"&amp;AB862,'02_SCHEDULE'!$M$5:$M$124,0)),0)</f>
        <v>74</v>
      </c>
      <c r="AF862" s="51">
        <f>IFERROR(INDEX('02_SCHEDULE'!$L$5:$L$124,MATCH(AA862&amp;"|"&amp;AB862,'02_SCHEDULE'!$M$5:$M$124,0)),0)</f>
        <v>77</v>
      </c>
      <c r="AG862" s="51">
        <f t="shared" si="35"/>
        <v>2</v>
      </c>
    </row>
    <row r="863" spans="27:33" x14ac:dyDescent="0.3">
      <c r="AA863" s="51" t="str">
        <f>'Sites Master'!$B$16</f>
        <v>Site 15</v>
      </c>
      <c r="AB863" s="51" t="str">
        <f>'Phase-Resource Allocation'!$B$118</f>
        <v>Hypercare</v>
      </c>
      <c r="AC863" s="51" t="str">
        <f>'Phase-Resource Allocation'!$C$118</f>
        <v>Azure Specialist</v>
      </c>
      <c r="AD863" s="60">
        <f>'Phase-Resource Allocation'!$D$118</f>
        <v>0.5</v>
      </c>
      <c r="AE863" s="51">
        <f>IFERROR(INDEX('02_SCHEDULE'!$K$5:$K$124,MATCH(AA863&amp;"|"&amp;AB863,'02_SCHEDULE'!$M$5:$M$124,0)),0)</f>
        <v>74</v>
      </c>
      <c r="AF863" s="51">
        <f>IFERROR(INDEX('02_SCHEDULE'!$L$5:$L$124,MATCH(AA863&amp;"|"&amp;AB863,'02_SCHEDULE'!$M$5:$M$124,0)),0)</f>
        <v>77</v>
      </c>
      <c r="AG863" s="51">
        <f t="shared" si="35"/>
        <v>2</v>
      </c>
    </row>
    <row r="864" spans="27:33" x14ac:dyDescent="0.3">
      <c r="AA864" s="51" t="str">
        <f>'Sites Master'!$B$16</f>
        <v>Site 15</v>
      </c>
      <c r="AB864" s="51" t="str">
        <f>'Phase-Resource Allocation'!$B$119</f>
        <v>Hypercare</v>
      </c>
      <c r="AC864" s="51" t="str">
        <f>'Phase-Resource Allocation'!$C$119</f>
        <v>Functional Lead</v>
      </c>
      <c r="AD864" s="60">
        <f>'Phase-Resource Allocation'!$D$119</f>
        <v>1</v>
      </c>
      <c r="AE864" s="51">
        <f>IFERROR(INDEX('02_SCHEDULE'!$K$5:$K$124,MATCH(AA864&amp;"|"&amp;AB864,'02_SCHEDULE'!$M$5:$M$124,0)),0)</f>
        <v>74</v>
      </c>
      <c r="AF864" s="51">
        <f>IFERROR(INDEX('02_SCHEDULE'!$L$5:$L$124,MATCH(AA864&amp;"|"&amp;AB864,'02_SCHEDULE'!$M$5:$M$124,0)),0)</f>
        <v>77</v>
      </c>
      <c r="AG864" s="51">
        <f t="shared" si="35"/>
        <v>4</v>
      </c>
    </row>
    <row r="865" spans="27:33" x14ac:dyDescent="0.3">
      <c r="AA865" s="51" t="str">
        <f>'Sites Master'!$B$16</f>
        <v>Site 15</v>
      </c>
      <c r="AB865" s="51" t="str">
        <f>'Phase-Resource Allocation'!$B$120</f>
        <v>Hypercare</v>
      </c>
      <c r="AC865" s="51" t="str">
        <f>'Phase-Resource Allocation'!$C$120</f>
        <v>Functional Lead</v>
      </c>
      <c r="AD865" s="60">
        <f>'Phase-Resource Allocation'!$D$120</f>
        <v>1</v>
      </c>
      <c r="AE865" s="51">
        <f>IFERROR(INDEX('02_SCHEDULE'!$K$5:$K$124,MATCH(AA865&amp;"|"&amp;AB865,'02_SCHEDULE'!$M$5:$M$124,0)),0)</f>
        <v>74</v>
      </c>
      <c r="AF865" s="51">
        <f>IFERROR(INDEX('02_SCHEDULE'!$L$5:$L$124,MATCH(AA865&amp;"|"&amp;AB865,'02_SCHEDULE'!$M$5:$M$124,0)),0)</f>
        <v>77</v>
      </c>
      <c r="AG865" s="51">
        <f t="shared" si="35"/>
        <v>4</v>
      </c>
    </row>
    <row r="866" spans="27:33" x14ac:dyDescent="0.3">
      <c r="AA866" s="51" t="str">
        <f>'Sites Master'!$B$16</f>
        <v>Site 15</v>
      </c>
      <c r="AB866" s="51" t="str">
        <f>'Phase-Resource Allocation'!$B$121</f>
        <v>Hypercare</v>
      </c>
      <c r="AC866" s="51" t="str">
        <f>'Phase-Resource Allocation'!$C$121</f>
        <v>Trainers</v>
      </c>
      <c r="AD866" s="60">
        <f>'Phase-Resource Allocation'!$D$121</f>
        <v>1</v>
      </c>
      <c r="AE866" s="51">
        <f>IFERROR(INDEX('02_SCHEDULE'!$K$5:$K$124,MATCH(AA866&amp;"|"&amp;AB866,'02_SCHEDULE'!$M$5:$M$124,0)),0)</f>
        <v>74</v>
      </c>
      <c r="AF866" s="51">
        <f>IFERROR(INDEX('02_SCHEDULE'!$L$5:$L$124,MATCH(AA866&amp;"|"&amp;AB866,'02_SCHEDULE'!$M$5:$M$124,0)),0)</f>
        <v>77</v>
      </c>
      <c r="AG866" s="51">
        <f t="shared" si="35"/>
        <v>4</v>
      </c>
    </row>
    <row r="867" spans="27:33" x14ac:dyDescent="0.3">
      <c r="AA867" s="51" t="str">
        <f>'Sites Master'!$B$16</f>
        <v>Site 15</v>
      </c>
      <c r="AB867" s="51" t="str">
        <f>'Phase-Resource Allocation'!$B$122</f>
        <v>Hypercare</v>
      </c>
      <c r="AC867" s="51" t="str">
        <f>'Phase-Resource Allocation'!$C$122</f>
        <v>Trainers</v>
      </c>
      <c r="AD867" s="60">
        <f>'Phase-Resource Allocation'!$D$122</f>
        <v>1</v>
      </c>
      <c r="AE867" s="51">
        <f>IFERROR(INDEX('02_SCHEDULE'!$K$5:$K$124,MATCH(AA867&amp;"|"&amp;AB867,'02_SCHEDULE'!$M$5:$M$124,0)),0)</f>
        <v>74</v>
      </c>
      <c r="AF867" s="51">
        <f>IFERROR(INDEX('02_SCHEDULE'!$L$5:$L$124,MATCH(AA867&amp;"|"&amp;AB867,'02_SCHEDULE'!$M$5:$M$124,0)),0)</f>
        <v>77</v>
      </c>
      <c r="AG867" s="51">
        <f t="shared" si="35"/>
        <v>4</v>
      </c>
    </row>
    <row r="868" spans="27:33" x14ac:dyDescent="0.3">
      <c r="AA868" s="51" t="str">
        <f>'Sites Master'!$B$16</f>
        <v>Site 15</v>
      </c>
      <c r="AB868" s="51" t="str">
        <f>'Phase-Resource Allocation'!$B$123</f>
        <v>Hypercare</v>
      </c>
      <c r="AC868" s="51" t="str">
        <f>'Phase-Resource Allocation'!$C$123</f>
        <v>Trainers</v>
      </c>
      <c r="AD868" s="60">
        <f>'Phase-Resource Allocation'!$D$123</f>
        <v>1</v>
      </c>
      <c r="AE868" s="51">
        <f>IFERROR(INDEX('02_SCHEDULE'!$K$5:$K$124,MATCH(AA868&amp;"|"&amp;AB868,'02_SCHEDULE'!$M$5:$M$124,0)),0)</f>
        <v>74</v>
      </c>
      <c r="AF868" s="51">
        <f>IFERROR(INDEX('02_SCHEDULE'!$L$5:$L$124,MATCH(AA868&amp;"|"&amp;AB868,'02_SCHEDULE'!$M$5:$M$124,0)),0)</f>
        <v>77</v>
      </c>
      <c r="AG868" s="51">
        <f t="shared" si="35"/>
        <v>4</v>
      </c>
    </row>
    <row r="869" spans="27:33" x14ac:dyDescent="0.3">
      <c r="AA869" s="51" t="str">
        <f>'Sites Master'!$B$16</f>
        <v>Site 15</v>
      </c>
      <c r="AB869" s="51" t="str">
        <f>'Phase-Resource Allocation'!$B$124</f>
        <v>Hypercare</v>
      </c>
      <c r="AC869" s="51" t="str">
        <f>'Phase-Resource Allocation'!$C$124</f>
        <v>Infrastructure Lead</v>
      </c>
      <c r="AD869" s="60">
        <f>'Phase-Resource Allocation'!$D$124</f>
        <v>1</v>
      </c>
      <c r="AE869" s="51">
        <f>IFERROR(INDEX('02_SCHEDULE'!$K$5:$K$124,MATCH(AA869&amp;"|"&amp;AB869,'02_SCHEDULE'!$M$5:$M$124,0)),0)</f>
        <v>74</v>
      </c>
      <c r="AF869" s="51">
        <f>IFERROR(INDEX('02_SCHEDULE'!$L$5:$L$124,MATCH(AA869&amp;"|"&amp;AB869,'02_SCHEDULE'!$M$5:$M$124,0)),0)</f>
        <v>77</v>
      </c>
      <c r="AG869" s="51">
        <f t="shared" si="35"/>
        <v>4</v>
      </c>
    </row>
    <row r="870" spans="27:33" x14ac:dyDescent="0.3">
      <c r="AA870" s="51" t="str">
        <f>'Sites Master'!$B$16</f>
        <v>Site 15</v>
      </c>
      <c r="AB870" s="51" t="str">
        <f>'Phase-Resource Allocation'!$B$125</f>
        <v>Hypercare</v>
      </c>
      <c r="AC870" s="51" t="str">
        <f>'Phase-Resource Allocation'!$C$125</f>
        <v>Functional Lead Vendor A</v>
      </c>
      <c r="AD870" s="60">
        <f>'Phase-Resource Allocation'!$D$125</f>
        <v>0.5</v>
      </c>
      <c r="AE870" s="51">
        <f>IFERROR(INDEX('02_SCHEDULE'!$K$5:$K$124,MATCH(AA870&amp;"|"&amp;AB870,'02_SCHEDULE'!$M$5:$M$124,0)),0)</f>
        <v>74</v>
      </c>
      <c r="AF870" s="51">
        <f>IFERROR(INDEX('02_SCHEDULE'!$L$5:$L$124,MATCH(AA870&amp;"|"&amp;AB870,'02_SCHEDULE'!$M$5:$M$124,0)),0)</f>
        <v>77</v>
      </c>
      <c r="AG870" s="51">
        <f t="shared" si="35"/>
        <v>2</v>
      </c>
    </row>
  </sheetData>
  <mergeCells count="7">
    <mergeCell ref="F194:H194"/>
    <mergeCell ref="B205:E205"/>
    <mergeCell ref="B2:S2"/>
    <mergeCell ref="B4:E4"/>
    <mergeCell ref="B22:W22"/>
    <mergeCell ref="B20:W20"/>
    <mergeCell ref="B176:E176"/>
  </mergeCells>
  <conditionalFormatting sqref="D24:R173">
    <cfRule type="cellIs" dxfId="9" priority="1" stopIfTrue="1" operator="notEqual">
      <formula>1</formula>
    </cfRule>
    <cfRule type="cellIs" dxfId="8" priority="2" stopIfTrue="1" operator="notBetween">
      <formula>0.8</formula>
      <formula>1</formula>
    </cfRule>
  </conditionalFormatting>
  <conditionalFormatting sqref="W24:W173">
    <cfRule type="cellIs" dxfId="7" priority="3" stopIfTrue="1" operator="equal">
      <formula>"""ROJO"""</formula>
    </cfRule>
    <cfRule type="cellIs" dxfId="6" priority="4" stopIfTrue="1" operator="equal">
      <formula>"""AMARILLO"""</formula>
    </cfRule>
    <cfRule type="cellIs" dxfId="5" priority="5" stopIfTrue="1" operator="equal">
      <formula>"""VERDE"""</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B4ED-782E-4619-A754-8F6637A9A6A5}">
  <sheetPr>
    <tabColor rgb="FF826015"/>
  </sheetPr>
  <dimension ref="B2:J48"/>
  <sheetViews>
    <sheetView showGridLines="0" workbookViewId="0"/>
  </sheetViews>
  <sheetFormatPr baseColWidth="10" defaultRowHeight="14.4" x14ac:dyDescent="0.3"/>
  <cols>
    <col min="2" max="2" width="55.77734375" customWidth="1"/>
    <col min="3" max="3" width="15.21875" bestFit="1" customWidth="1"/>
    <col min="5" max="9" width="16.77734375" customWidth="1"/>
  </cols>
  <sheetData>
    <row r="2" spans="2:10" ht="18" x14ac:dyDescent="0.35">
      <c r="B2" s="123" t="s">
        <v>184</v>
      </c>
      <c r="C2" s="123"/>
      <c r="D2" s="123"/>
      <c r="E2" s="123"/>
      <c r="F2" s="123"/>
      <c r="G2" s="123"/>
      <c r="H2" s="123"/>
      <c r="I2" s="123"/>
      <c r="J2" s="123"/>
    </row>
    <row r="3" spans="2:10" x14ac:dyDescent="0.3">
      <c r="B3" s="131" t="s">
        <v>185</v>
      </c>
      <c r="C3" s="131"/>
      <c r="D3" s="131"/>
      <c r="E3" s="131"/>
      <c r="F3" s="131"/>
      <c r="G3" s="131"/>
      <c r="H3" s="131"/>
      <c r="I3" s="131"/>
      <c r="J3" s="131"/>
    </row>
    <row r="5" spans="2:10" x14ac:dyDescent="0.3">
      <c r="B5" s="125" t="s">
        <v>186</v>
      </c>
      <c r="C5" s="125"/>
      <c r="D5" s="125"/>
      <c r="E5" s="125"/>
      <c r="F5" s="125"/>
      <c r="G5" s="125"/>
      <c r="H5" s="125"/>
      <c r="I5" s="125"/>
    </row>
    <row r="6" spans="2:10" ht="28.8" x14ac:dyDescent="0.3">
      <c r="B6" s="40" t="s">
        <v>139</v>
      </c>
      <c r="C6" s="40" t="s">
        <v>140</v>
      </c>
      <c r="D6" s="40" t="s">
        <v>1</v>
      </c>
      <c r="E6" s="40" t="s">
        <v>187</v>
      </c>
      <c r="F6" s="40" t="s">
        <v>188</v>
      </c>
      <c r="G6" s="40" t="s">
        <v>189</v>
      </c>
      <c r="H6" s="40" t="s">
        <v>190</v>
      </c>
      <c r="I6" s="40" t="s">
        <v>191</v>
      </c>
    </row>
    <row r="7" spans="2:10" x14ac:dyDescent="0.3">
      <c r="B7" s="41" t="str">
        <f>'Sites Master'!$B$2</f>
        <v>Site 01</v>
      </c>
      <c r="C7" s="41" t="str">
        <f>'Sites Master'!$A$2</f>
        <v>Mexico</v>
      </c>
      <c r="D7" s="41">
        <f>'Sites Master'!$C$2</f>
        <v>2</v>
      </c>
      <c r="E7" s="66">
        <f>INDEX('Financials (USD)'!$I$2:$I$16,MATCH(B7,'Financials (USD)'!$B$2:$B$16,0))</f>
        <v>47464.320379552395</v>
      </c>
      <c r="F7" s="66">
        <f>INDEX('Financials (USD)'!$J$2:$K$16,MATCH(B7,'Financials (USD)'!$B$2:$B$16,0),MATCH('01_INPUTS'!$C$11,'Financials (USD)'!$J$1:$K$1,0))</f>
        <v>7144.760000000002</v>
      </c>
      <c r="G7" s="66">
        <f>INDEX('Financials (USD)'!$L$2:$N$16,MATCH(B7,'Financials (USD)'!$B$2:$B$16,0),MATCH('01_INPUTS'!$C$12,'Financials (USD)'!$L$1:$N$1,0))</f>
        <v>44451</v>
      </c>
      <c r="H7" s="67">
        <f t="shared" ref="H7:H21" si="0">E7+F7+G7</f>
        <v>99060.080379552397</v>
      </c>
      <c r="I7" s="66">
        <f>INDEX('Financials (USD)'!$C$2:$C$16,MATCH(B7,'Financials (USD)'!$B$2:$B$16,0))</f>
        <v>18511</v>
      </c>
    </row>
    <row r="8" spans="2:10" x14ac:dyDescent="0.3">
      <c r="B8" s="41" t="str">
        <f>'Sites Master'!$B$3</f>
        <v>Site 02</v>
      </c>
      <c r="C8" s="41" t="str">
        <f>'Sites Master'!$A$3</f>
        <v>Mexico</v>
      </c>
      <c r="D8" s="41">
        <f>'Sites Master'!$C$3</f>
        <v>2</v>
      </c>
      <c r="E8" s="66">
        <f>INDEX('Financials (USD)'!$I$2:$I$16,MATCH(B8,'Financials (USD)'!$B$2:$B$16,0))</f>
        <v>143424.81506374691</v>
      </c>
      <c r="F8" s="66">
        <f>INDEX('Financials (USD)'!$J$2:$K$16,MATCH(B8,'Financials (USD)'!$B$2:$B$16,0),MATCH('01_INPUTS'!$C$11,'Financials (USD)'!$J$1:$K$1,0))</f>
        <v>81930.072</v>
      </c>
      <c r="G8" s="66">
        <f>INDEX('Financials (USD)'!$L$2:$N$16,MATCH(B8,'Financials (USD)'!$B$2:$B$16,0),MATCH('01_INPUTS'!$C$12,'Financials (USD)'!$L$1:$N$1,0))</f>
        <v>287249</v>
      </c>
      <c r="H8" s="67">
        <f t="shared" si="0"/>
        <v>512603.88706374692</v>
      </c>
      <c r="I8" s="66">
        <f>INDEX('Financials (USD)'!$C$2:$C$16,MATCH(B8,'Financials (USD)'!$B$2:$B$16,0))</f>
        <v>26878</v>
      </c>
    </row>
    <row r="9" spans="2:10" x14ac:dyDescent="0.3">
      <c r="B9" s="41" t="str">
        <f>'Sites Master'!$B$4</f>
        <v>Site 03</v>
      </c>
      <c r="C9" s="41" t="str">
        <f>'Sites Master'!$A$4</f>
        <v>Mexico</v>
      </c>
      <c r="D9" s="41">
        <f>'Sites Master'!$C$4</f>
        <v>2</v>
      </c>
      <c r="E9" s="66">
        <f>INDEX('Financials (USD)'!$I$2:$I$16,MATCH(B9,'Financials (USD)'!$B$2:$B$16,0))</f>
        <v>162848.35682253737</v>
      </c>
      <c r="F9" s="66">
        <f>INDEX('Financials (USD)'!$J$2:$K$16,MATCH(B9,'Financials (USD)'!$B$2:$B$16,0),MATCH('01_INPUTS'!$C$11,'Financials (USD)'!$J$1:$K$1,0))</f>
        <v>212307.9</v>
      </c>
      <c r="G9" s="66">
        <f>INDEX('Financials (USD)'!$L$2:$N$16,MATCH(B9,'Financials (USD)'!$B$2:$B$16,0),MATCH('01_INPUTS'!$C$12,'Financials (USD)'!$L$1:$N$1,0))</f>
        <v>378909</v>
      </c>
      <c r="H9" s="67">
        <f t="shared" si="0"/>
        <v>754065.2568225374</v>
      </c>
      <c r="I9" s="66">
        <f>INDEX('Financials (USD)'!$C$2:$C$16,MATCH(B9,'Financials (USD)'!$B$2:$B$16,0))</f>
        <v>61087</v>
      </c>
    </row>
    <row r="10" spans="2:10" x14ac:dyDescent="0.3">
      <c r="B10" s="41" t="str">
        <f>'Sites Master'!$B$5</f>
        <v>Site 04</v>
      </c>
      <c r="C10" s="41" t="str">
        <f>'Sites Master'!$A$5</f>
        <v>Mexico</v>
      </c>
      <c r="D10" s="41">
        <f>'Sites Master'!$C$5</f>
        <v>2</v>
      </c>
      <c r="E10" s="66">
        <f>INDEX('Financials (USD)'!$I$2:$I$16,MATCH(B10,'Financials (USD)'!$B$2:$B$16,0))</f>
        <v>206112.70596649183</v>
      </c>
      <c r="F10" s="66">
        <f>INDEX('Financials (USD)'!$J$2:$K$16,MATCH(B10,'Financials (USD)'!$B$2:$B$16,0),MATCH('01_INPUTS'!$C$11,'Financials (USD)'!$J$1:$K$1,0))</f>
        <v>184000.18</v>
      </c>
      <c r="G10" s="66">
        <f>INDEX('Financials (USD)'!$L$2:$N$16,MATCH(B10,'Financials (USD)'!$B$2:$B$16,0),MATCH('01_INPUTS'!$C$12,'Financials (USD)'!$L$1:$N$1,0))</f>
        <v>411279</v>
      </c>
      <c r="H10" s="67">
        <f t="shared" si="0"/>
        <v>801391.88596649189</v>
      </c>
      <c r="I10" s="66">
        <f>INDEX('Financials (USD)'!$C$2:$C$16,MATCH(B10,'Financials (USD)'!$B$2:$B$16,0))</f>
        <v>70898</v>
      </c>
    </row>
    <row r="11" spans="2:10" x14ac:dyDescent="0.3">
      <c r="B11" s="41" t="str">
        <f>'Sites Master'!$B$6</f>
        <v>Site 05</v>
      </c>
      <c r="C11" s="41" t="str">
        <f>'Sites Master'!$A$6</f>
        <v>Mexico</v>
      </c>
      <c r="D11" s="41">
        <f>'Sites Master'!$C$6</f>
        <v>3</v>
      </c>
      <c r="E11" s="66">
        <f>INDEX('Financials (USD)'!$I$2:$I$16,MATCH(B11,'Financials (USD)'!$B$2:$B$16,0))</f>
        <v>43142.561035058723</v>
      </c>
      <c r="F11" s="66">
        <f>INDEX('Financials (USD)'!$J$2:$K$16,MATCH(B11,'Financials (USD)'!$B$2:$B$16,0),MATCH('01_INPUTS'!$C$11,'Financials (USD)'!$J$1:$K$1,0))</f>
        <v>73600.071999999986</v>
      </c>
      <c r="G11" s="66">
        <f>INDEX('Financials (USD)'!$L$2:$N$16,MATCH(B11,'Financials (USD)'!$B$2:$B$16,0),MATCH('01_INPUTS'!$C$12,'Financials (USD)'!$L$1:$N$1,0))</f>
        <v>219880</v>
      </c>
      <c r="H11" s="67">
        <f t="shared" si="0"/>
        <v>336622.63303505874</v>
      </c>
      <c r="I11" s="66">
        <f>INDEX('Financials (USD)'!$C$2:$C$16,MATCH(B11,'Financials (USD)'!$B$2:$B$16,0))</f>
        <v>14809</v>
      </c>
    </row>
    <row r="12" spans="2:10" x14ac:dyDescent="0.3">
      <c r="B12" s="41" t="str">
        <f>'Sites Master'!$B$7</f>
        <v>Site 06</v>
      </c>
      <c r="C12" s="41" t="str">
        <f>'Sites Master'!$A$7</f>
        <v>Mexico</v>
      </c>
      <c r="D12" s="41">
        <f>'Sites Master'!$C$7</f>
        <v>1</v>
      </c>
      <c r="E12" s="66">
        <f>INDEX('Financials (USD)'!$I$2:$I$16,MATCH(B12,'Financials (USD)'!$B$2:$B$16,0))</f>
        <v>369764.55883579311</v>
      </c>
      <c r="F12" s="66">
        <f>INDEX('Financials (USD)'!$J$2:$K$16,MATCH(B12,'Financials (USD)'!$B$2:$B$16,0),MATCH('01_INPUTS'!$C$11,'Financials (USD)'!$J$1:$K$1,0))</f>
        <v>302730.288</v>
      </c>
      <c r="G12" s="66">
        <f>INDEX('Financials (USD)'!$L$2:$N$16,MATCH(B12,'Financials (USD)'!$B$2:$B$16,0),MATCH('01_INPUTS'!$C$12,'Financials (USD)'!$L$1:$N$1,0))</f>
        <v>523835</v>
      </c>
      <c r="H12" s="67">
        <f t="shared" si="0"/>
        <v>1196329.846835793</v>
      </c>
      <c r="I12" s="66">
        <f>INDEX('Financials (USD)'!$C$2:$C$16,MATCH(B12,'Financials (USD)'!$B$2:$B$16,0))</f>
        <v>76636</v>
      </c>
    </row>
    <row r="13" spans="2:10" x14ac:dyDescent="0.3">
      <c r="B13" s="41" t="str">
        <f>'Sites Master'!$B$8</f>
        <v>Site 07</v>
      </c>
      <c r="C13" s="41" t="str">
        <f>'Sites Master'!$A$8</f>
        <v>Mexico</v>
      </c>
      <c r="D13" s="41">
        <f>'Sites Master'!$C$8</f>
        <v>2</v>
      </c>
      <c r="E13" s="66">
        <f>INDEX('Financials (USD)'!$I$2:$I$16,MATCH(B13,'Financials (USD)'!$B$2:$B$16,0))</f>
        <v>189431.24867389468</v>
      </c>
      <c r="F13" s="66">
        <f>INDEX('Financials (USD)'!$J$2:$K$16,MATCH(B13,'Financials (USD)'!$B$2:$B$16,0),MATCH('01_INPUTS'!$C$11,'Financials (USD)'!$J$1:$K$1,0))</f>
        <v>147200.144</v>
      </c>
      <c r="G13" s="66">
        <f>INDEX('Financials (USD)'!$L$2:$N$16,MATCH(B13,'Financials (USD)'!$B$2:$B$16,0),MATCH('01_INPUTS'!$C$12,'Financials (USD)'!$L$1:$N$1,0))</f>
        <v>277152</v>
      </c>
      <c r="H13" s="67">
        <f t="shared" si="0"/>
        <v>613783.39267389465</v>
      </c>
      <c r="I13" s="66">
        <f>INDEX('Financials (USD)'!$C$2:$C$16,MATCH(B13,'Financials (USD)'!$B$2:$B$16,0))</f>
        <v>30543</v>
      </c>
    </row>
    <row r="14" spans="2:10" x14ac:dyDescent="0.3">
      <c r="B14" s="41" t="str">
        <f>'Sites Master'!$B$9</f>
        <v>Site 08</v>
      </c>
      <c r="C14" s="41" t="str">
        <f>'Sites Master'!$A$9</f>
        <v>Colombia</v>
      </c>
      <c r="D14" s="41">
        <f>'Sites Master'!$C$9</f>
        <v>1</v>
      </c>
      <c r="E14" s="66">
        <f>INDEX('Financials (USD)'!$I$2:$I$16,MATCH(B14,'Financials (USD)'!$B$2:$B$16,0))</f>
        <v>50000</v>
      </c>
      <c r="F14" s="66">
        <f>INDEX('Financials (USD)'!$J$2:$K$16,MATCH(B14,'Financials (USD)'!$B$2:$B$16,0),MATCH('01_INPUTS'!$C$11,'Financials (USD)'!$J$1:$K$1,0))</f>
        <v>0</v>
      </c>
      <c r="G14" s="66">
        <f>INDEX('Financials (USD)'!$L$2:$N$16,MATCH(B14,'Financials (USD)'!$B$2:$B$16,0),MATCH('01_INPUTS'!$C$12,'Financials (USD)'!$L$1:$N$1,0))</f>
        <v>0</v>
      </c>
      <c r="H14" s="67">
        <f t="shared" si="0"/>
        <v>50000</v>
      </c>
      <c r="I14" s="66">
        <f>INDEX('Financials (USD)'!$C$2:$C$16,MATCH(B14,'Financials (USD)'!$B$2:$B$16,0))</f>
        <v>70420</v>
      </c>
    </row>
    <row r="15" spans="2:10" x14ac:dyDescent="0.3">
      <c r="B15" s="41" t="str">
        <f>'Sites Master'!$B$10</f>
        <v>Site 09</v>
      </c>
      <c r="C15" s="41" t="str">
        <f>'Sites Master'!$A$10</f>
        <v>Colombia</v>
      </c>
      <c r="D15" s="41">
        <f>'Sites Master'!$C$10</f>
        <v>2</v>
      </c>
      <c r="E15" s="66">
        <f>INDEX('Financials (USD)'!$I$2:$I$16,MATCH(B15,'Financials (USD)'!$B$2:$B$16,0))</f>
        <v>34747</v>
      </c>
      <c r="F15" s="66">
        <f>INDEX('Financials (USD)'!$J$2:$K$16,MATCH(B15,'Financials (USD)'!$B$2:$B$16,0),MATCH('01_INPUTS'!$C$11,'Financials (USD)'!$J$1:$K$1,0))</f>
        <v>0</v>
      </c>
      <c r="G15" s="66">
        <f>INDEX('Financials (USD)'!$L$2:$N$16,MATCH(B15,'Financials (USD)'!$B$2:$B$16,0),MATCH('01_INPUTS'!$C$12,'Financials (USD)'!$L$1:$N$1,0))</f>
        <v>133781</v>
      </c>
      <c r="H15" s="67">
        <f t="shared" si="0"/>
        <v>168528</v>
      </c>
      <c r="I15" s="66">
        <f>INDEX('Financials (USD)'!$C$2:$C$16,MATCH(B15,'Financials (USD)'!$B$2:$B$16,0))</f>
        <v>15920</v>
      </c>
    </row>
    <row r="16" spans="2:10" x14ac:dyDescent="0.3">
      <c r="B16" s="41" t="str">
        <f>'Sites Master'!$B$11</f>
        <v>Site 10</v>
      </c>
      <c r="C16" s="41" t="str">
        <f>'Sites Master'!$A$11</f>
        <v>Colombia</v>
      </c>
      <c r="D16" s="41">
        <f>'Sites Master'!$C$11</f>
        <v>1</v>
      </c>
      <c r="E16" s="66">
        <f>INDEX('Financials (USD)'!$I$2:$I$16,MATCH(B16,'Financials (USD)'!$B$2:$B$16,0))</f>
        <v>106583</v>
      </c>
      <c r="F16" s="66">
        <f>INDEX('Financials (USD)'!$J$2:$K$16,MATCH(B16,'Financials (USD)'!$B$2:$B$16,0),MATCH('01_INPUTS'!$C$11,'Financials (USD)'!$J$1:$K$1,0))</f>
        <v>308459.675475</v>
      </c>
      <c r="G16" s="66">
        <f>INDEX('Financials (USD)'!$L$2:$N$16,MATCH(B16,'Financials (USD)'!$B$2:$B$16,0),MATCH('01_INPUTS'!$C$12,'Financials (USD)'!$L$1:$N$1,0))</f>
        <v>487872</v>
      </c>
      <c r="H16" s="67">
        <f t="shared" si="0"/>
        <v>902914.67547499994</v>
      </c>
      <c r="I16" s="66">
        <f>INDEX('Financials (USD)'!$C$2:$C$16,MATCH(B16,'Financials (USD)'!$B$2:$B$16,0))</f>
        <v>90320</v>
      </c>
    </row>
    <row r="17" spans="2:9" x14ac:dyDescent="0.3">
      <c r="B17" s="41" t="str">
        <f>'Sites Master'!$B$12</f>
        <v>Site 11</v>
      </c>
      <c r="C17" s="41" t="str">
        <f>'Sites Master'!$A$12</f>
        <v>Colombia</v>
      </c>
      <c r="D17" s="41">
        <f>'Sites Master'!$C$12</f>
        <v>3</v>
      </c>
      <c r="E17" s="66">
        <f>INDEX('Financials (USD)'!$I$2:$I$16,MATCH(B17,'Financials (USD)'!$B$2:$B$16,0))</f>
        <v>40333</v>
      </c>
      <c r="F17" s="66">
        <f>INDEX('Financials (USD)'!$J$2:$K$16,MATCH(B17,'Financials (USD)'!$B$2:$B$16,0),MATCH('01_INPUTS'!$C$11,'Financials (USD)'!$J$1:$K$1,0))</f>
        <v>176263</v>
      </c>
      <c r="G17" s="66">
        <f>INDEX('Financials (USD)'!$L$2:$N$16,MATCH(B17,'Financials (USD)'!$B$2:$B$16,0),MATCH('01_INPUTS'!$C$12,'Financials (USD)'!$L$1:$N$1,0))</f>
        <v>180753</v>
      </c>
      <c r="H17" s="67">
        <f t="shared" si="0"/>
        <v>397349</v>
      </c>
      <c r="I17" s="66">
        <f>INDEX('Financials (USD)'!$C$2:$C$16,MATCH(B17,'Financials (USD)'!$B$2:$B$16,0))</f>
        <v>24480</v>
      </c>
    </row>
    <row r="18" spans="2:9" x14ac:dyDescent="0.3">
      <c r="B18" s="41" t="str">
        <f>'Sites Master'!$B$13</f>
        <v>Site 12</v>
      </c>
      <c r="C18" s="41" t="str">
        <f>'Sites Master'!$A$13</f>
        <v>Colombia</v>
      </c>
      <c r="D18" s="41">
        <f>'Sites Master'!$C$13</f>
        <v>4</v>
      </c>
      <c r="E18" s="66">
        <f>INDEX('Financials (USD)'!$I$2:$I$16,MATCH(B18,'Financials (USD)'!$B$2:$B$16,0))</f>
        <v>11986</v>
      </c>
      <c r="F18" s="66">
        <f>INDEX('Financials (USD)'!$J$2:$K$16,MATCH(B18,'Financials (USD)'!$B$2:$B$16,0),MATCH('01_INPUTS'!$C$11,'Financials (USD)'!$J$1:$K$1,0))</f>
        <v>88131</v>
      </c>
      <c r="G18" s="66">
        <f>INDEX('Financials (USD)'!$L$2:$N$16,MATCH(B18,'Financials (USD)'!$B$2:$B$16,0),MATCH('01_INPUTS'!$C$12,'Financials (USD)'!$L$1:$N$1,0))</f>
        <v>116598</v>
      </c>
      <c r="H18" s="67">
        <f t="shared" si="0"/>
        <v>216715</v>
      </c>
      <c r="I18" s="66">
        <f>INDEX('Financials (USD)'!$C$2:$C$16,MATCH(B18,'Financials (USD)'!$B$2:$B$16,0))</f>
        <v>10180</v>
      </c>
    </row>
    <row r="19" spans="2:9" x14ac:dyDescent="0.3">
      <c r="B19" s="41" t="str">
        <f>'Sites Master'!$B$14</f>
        <v>Site 13</v>
      </c>
      <c r="C19" s="41" t="str">
        <f>'Sites Master'!$A$14</f>
        <v>Colombia</v>
      </c>
      <c r="D19" s="41">
        <f>'Sites Master'!$C$14</f>
        <v>1</v>
      </c>
      <c r="E19" s="66">
        <f>INDEX('Financials (USD)'!$I$2:$I$16,MATCH(B19,'Financials (USD)'!$B$2:$B$16,0))</f>
        <v>557721</v>
      </c>
      <c r="F19" s="66">
        <f>INDEX('Financials (USD)'!$J$2:$K$16,MATCH(B19,'Financials (USD)'!$B$2:$B$16,0),MATCH('01_INPUTS'!$C$11,'Financials (USD)'!$J$1:$K$1,0))</f>
        <v>1189773</v>
      </c>
      <c r="G19" s="66">
        <f>INDEX('Financials (USD)'!$L$2:$N$16,MATCH(B19,'Financials (USD)'!$B$2:$B$16,0),MATCH('01_INPUTS'!$C$12,'Financials (USD)'!$L$1:$N$1,0))</f>
        <v>333663</v>
      </c>
      <c r="H19" s="67">
        <f t="shared" si="0"/>
        <v>2081157</v>
      </c>
      <c r="I19" s="66">
        <f>INDEX('Financials (USD)'!$C$2:$C$16,MATCH(B19,'Financials (USD)'!$B$2:$B$16,0))</f>
        <v>109140</v>
      </c>
    </row>
    <row r="20" spans="2:9" x14ac:dyDescent="0.3">
      <c r="B20" s="41" t="str">
        <f>'Sites Master'!$B$15</f>
        <v>Site 14</v>
      </c>
      <c r="C20" s="41" t="str">
        <f>'Sites Master'!$A$15</f>
        <v>Colombia</v>
      </c>
      <c r="D20" s="41">
        <f>'Sites Master'!$C$15</f>
        <v>1</v>
      </c>
      <c r="E20" s="66">
        <f>INDEX('Financials (USD)'!$I$2:$I$16,MATCH(B20,'Financials (USD)'!$B$2:$B$16,0))</f>
        <v>121140</v>
      </c>
      <c r="F20" s="66">
        <f>INDEX('Financials (USD)'!$J$2:$K$16,MATCH(B20,'Financials (USD)'!$B$2:$B$16,0),MATCH('01_INPUTS'!$C$11,'Financials (USD)'!$J$1:$K$1,0))</f>
        <v>925379</v>
      </c>
      <c r="G20" s="66">
        <f>INDEX('Financials (USD)'!$L$2:$N$16,MATCH(B20,'Financials (USD)'!$B$2:$B$16,0),MATCH('01_INPUTS'!$C$12,'Financials (USD)'!$L$1:$N$1,0))</f>
        <v>319639</v>
      </c>
      <c r="H20" s="67">
        <f t="shared" si="0"/>
        <v>1366158</v>
      </c>
      <c r="I20" s="66">
        <f>INDEX('Financials (USD)'!$C$2:$C$16,MATCH(B20,'Financials (USD)'!$B$2:$B$16,0))</f>
        <v>56820</v>
      </c>
    </row>
    <row r="21" spans="2:9" x14ac:dyDescent="0.3">
      <c r="B21" s="41" t="str">
        <f>'Sites Master'!$B$16</f>
        <v>Site 15</v>
      </c>
      <c r="C21" s="41" t="str">
        <f>'Sites Master'!$A$16</f>
        <v>Colombia</v>
      </c>
      <c r="D21" s="41">
        <f>'Sites Master'!$C$16</f>
        <v>2</v>
      </c>
      <c r="E21" s="66">
        <f>INDEX('Financials (USD)'!$I$2:$I$16,MATCH(B21,'Financials (USD)'!$B$2:$B$16,0))</f>
        <v>44271</v>
      </c>
      <c r="F21" s="66">
        <f>INDEX('Financials (USD)'!$J$2:$K$16,MATCH(B21,'Financials (USD)'!$B$2:$B$16,0),MATCH('01_INPUTS'!$C$11,'Financials (USD)'!$J$1:$K$1,0))</f>
        <v>88131</v>
      </c>
      <c r="G21" s="66">
        <f>INDEX('Financials (USD)'!$L$2:$N$16,MATCH(B21,'Financials (USD)'!$B$2:$B$16,0),MATCH('01_INPUTS'!$C$12,'Financials (USD)'!$L$1:$N$1,0))</f>
        <v>139767</v>
      </c>
      <c r="H21" s="67">
        <f t="shared" si="0"/>
        <v>272169</v>
      </c>
      <c r="I21" s="66">
        <f>INDEX('Financials (USD)'!$C$2:$C$16,MATCH(B21,'Financials (USD)'!$B$2:$B$16,0))</f>
        <v>27560</v>
      </c>
    </row>
    <row r="22" spans="2:9" x14ac:dyDescent="0.3">
      <c r="B22" s="46" t="s">
        <v>192</v>
      </c>
      <c r="H22" s="68">
        <f>SUM(H7:H21)</f>
        <v>9768847.6582520753</v>
      </c>
      <c r="I22" s="68">
        <f>SUM(I7:I21)</f>
        <v>704202</v>
      </c>
    </row>
    <row r="24" spans="2:9" x14ac:dyDescent="0.3">
      <c r="B24" s="125" t="s">
        <v>193</v>
      </c>
      <c r="C24" s="125"/>
      <c r="D24" s="125"/>
      <c r="E24" s="125"/>
      <c r="F24" s="125"/>
    </row>
    <row r="25" spans="2:9" ht="57.6" x14ac:dyDescent="0.3">
      <c r="B25" s="40" t="s">
        <v>134</v>
      </c>
      <c r="C25" s="40" t="s">
        <v>166</v>
      </c>
      <c r="D25" s="69" t="s">
        <v>194</v>
      </c>
      <c r="E25" s="40" t="s">
        <v>195</v>
      </c>
      <c r="F25" s="69" t="s">
        <v>196</v>
      </c>
    </row>
    <row r="26" spans="2:9" x14ac:dyDescent="0.3">
      <c r="B26" s="41" t="str">
        <f>'01_INPUTS'!$B$17</f>
        <v>Solution Architect</v>
      </c>
      <c r="C26" s="41">
        <f>'01_INPUTS'!$E$17</f>
        <v>1</v>
      </c>
      <c r="D26" s="70">
        <f>SUMIF('Resource Master'!$A$2:$A$19,B26,'Resource Master'!$F$2:$F$19)/COUNTIF('Resource Master'!$A$2:$A$19,B26)</f>
        <v>36000</v>
      </c>
      <c r="E26" s="71">
        <f>'02_SCHEDULE'!$E$3</f>
        <v>19.792865362485617</v>
      </c>
      <c r="F26" s="72">
        <f t="shared" ref="F26:F40" si="1">C26*D26*E26</f>
        <v>712543.15304948227</v>
      </c>
    </row>
    <row r="27" spans="2:9" x14ac:dyDescent="0.3">
      <c r="B27" s="41" t="str">
        <f>'01_INPUTS'!$B$18</f>
        <v>Warehouse Manager Org A</v>
      </c>
      <c r="C27" s="41">
        <f>'01_INPUTS'!$E$18</f>
        <v>1</v>
      </c>
      <c r="D27" s="70">
        <f>SUMIF('Resource Master'!$A$2:$A$19,B27,'Resource Master'!$F$2:$F$19)/COUNTIF('Resource Master'!$A$2:$A$19,B27)</f>
        <v>35000</v>
      </c>
      <c r="E27" s="71">
        <f>'02_SCHEDULE'!$E$3</f>
        <v>19.792865362485617</v>
      </c>
      <c r="F27" s="72">
        <f t="shared" si="1"/>
        <v>692750.28768699663</v>
      </c>
    </row>
    <row r="28" spans="2:9" x14ac:dyDescent="0.3">
      <c r="B28" s="41" t="str">
        <f>'01_INPUTS'!$B$19</f>
        <v>Project Manager Country B</v>
      </c>
      <c r="C28" s="41">
        <f>'01_INPUTS'!$E$19</f>
        <v>1</v>
      </c>
      <c r="D28" s="70">
        <f>SUMIF('Resource Master'!$A$2:$A$19,B28,'Resource Master'!$F$2:$F$19)/COUNTIF('Resource Master'!$A$2:$A$19,B28)</f>
        <v>25000</v>
      </c>
      <c r="E28" s="71">
        <f>'02_SCHEDULE'!$E$3</f>
        <v>19.792865362485617</v>
      </c>
      <c r="F28" s="72">
        <f t="shared" si="1"/>
        <v>494821.63406214042</v>
      </c>
    </row>
    <row r="29" spans="2:9" x14ac:dyDescent="0.3">
      <c r="B29" s="41" t="str">
        <f>'01_INPUTS'!$B$20</f>
        <v>Project Manager Country A</v>
      </c>
      <c r="C29" s="41">
        <f>'01_INPUTS'!$E$20</f>
        <v>1</v>
      </c>
      <c r="D29" s="70">
        <f>SUMIF('Resource Master'!$A$2:$A$19,B29,'Resource Master'!$F$2:$F$19)/COUNTIF('Resource Master'!$A$2:$A$19,B29)</f>
        <v>25000</v>
      </c>
      <c r="E29" s="71">
        <f>'02_SCHEDULE'!$E$3</f>
        <v>19.792865362485617</v>
      </c>
      <c r="F29" s="72">
        <f t="shared" si="1"/>
        <v>494821.63406214042</v>
      </c>
    </row>
    <row r="30" spans="2:9" x14ac:dyDescent="0.3">
      <c r="B30" s="41" t="str">
        <f>'01_INPUTS'!$B$21</f>
        <v>Change Management Lead</v>
      </c>
      <c r="C30" s="41">
        <f>'01_INPUTS'!$E$21</f>
        <v>2</v>
      </c>
      <c r="D30" s="70">
        <f>SUMIF('Resource Master'!$A$2:$A$19,B30,'Resource Master'!$F$2:$F$19)/COUNTIF('Resource Master'!$A$2:$A$19,B30)</f>
        <v>16000</v>
      </c>
      <c r="E30" s="71">
        <f>'02_SCHEDULE'!$E$3</f>
        <v>19.792865362485617</v>
      </c>
      <c r="F30" s="72">
        <f t="shared" si="1"/>
        <v>633371.69159953971</v>
      </c>
    </row>
    <row r="31" spans="2:9" x14ac:dyDescent="0.3">
      <c r="B31" s="41" t="str">
        <f>'01_INPUTS'!$B$22</f>
        <v>Infrastructure Lead</v>
      </c>
      <c r="C31" s="41">
        <f>'01_INPUTS'!$E$22</f>
        <v>2</v>
      </c>
      <c r="D31" s="70">
        <f>SUMIF('Resource Master'!$A$2:$A$19,B31,'Resource Master'!$F$2:$F$19)/COUNTIF('Resource Master'!$A$2:$A$19,B31)</f>
        <v>42500</v>
      </c>
      <c r="E31" s="71">
        <f>'02_SCHEDULE'!$E$3</f>
        <v>19.792865362485617</v>
      </c>
      <c r="F31" s="72">
        <f t="shared" si="1"/>
        <v>1682393.5558112776</v>
      </c>
    </row>
    <row r="32" spans="2:9" x14ac:dyDescent="0.3">
      <c r="B32" s="41" t="str">
        <f>'01_INPUTS'!$B$23</f>
        <v>Functional Lead</v>
      </c>
      <c r="C32" s="41">
        <f>'01_INPUTS'!$E$23</f>
        <v>2</v>
      </c>
      <c r="D32" s="70">
        <f>SUMIF('Resource Master'!$A$2:$A$19,B32,'Resource Master'!$F$2:$F$19)/COUNTIF('Resource Master'!$A$2:$A$19,B32)</f>
        <v>35000</v>
      </c>
      <c r="E32" s="71">
        <f>'02_SCHEDULE'!$E$3</f>
        <v>19.792865362485617</v>
      </c>
      <c r="F32" s="72">
        <f t="shared" si="1"/>
        <v>1385500.5753739933</v>
      </c>
    </row>
    <row r="33" spans="2:6" x14ac:dyDescent="0.3">
      <c r="B33" s="41" t="str">
        <f>'01_INPUTS'!$B$24</f>
        <v>SAP Integrations Lead</v>
      </c>
      <c r="C33" s="41">
        <f>'01_INPUTS'!$E$24</f>
        <v>1</v>
      </c>
      <c r="D33" s="70">
        <f>SUMIF('Resource Master'!$A$2:$A$19,B33,'Resource Master'!$F$2:$F$19)/COUNTIF('Resource Master'!$A$2:$A$19,B33)</f>
        <v>62000</v>
      </c>
      <c r="E33" s="71">
        <f>'02_SCHEDULE'!$E$3</f>
        <v>19.792865362485617</v>
      </c>
      <c r="F33" s="72">
        <f t="shared" si="1"/>
        <v>1227157.6524741084</v>
      </c>
    </row>
    <row r="34" spans="2:6" x14ac:dyDescent="0.3">
      <c r="B34" s="41" t="str">
        <f>'01_INPUTS'!$B$25</f>
        <v>SAP Integrations Specialist</v>
      </c>
      <c r="C34" s="41">
        <f>'01_INPUTS'!$E$25</f>
        <v>1</v>
      </c>
      <c r="D34" s="70">
        <f>SUMIF('Resource Master'!$A$2:$A$19,B34,'Resource Master'!$F$2:$F$19)/COUNTIF('Resource Master'!$A$2:$A$19,B34)</f>
        <v>55000</v>
      </c>
      <c r="E34" s="71">
        <f>'02_SCHEDULE'!$E$3</f>
        <v>19.792865362485617</v>
      </c>
      <c r="F34" s="72">
        <f t="shared" si="1"/>
        <v>1088607.5949367089</v>
      </c>
    </row>
    <row r="35" spans="2:6" x14ac:dyDescent="0.3">
      <c r="B35" s="41" t="str">
        <f>'01_INPUTS'!$B$26</f>
        <v>Azure Lead</v>
      </c>
      <c r="C35" s="41">
        <f>'01_INPUTS'!$E$26</f>
        <v>1</v>
      </c>
      <c r="D35" s="70">
        <f>SUMIF('Resource Master'!$A$2:$A$19,B35,'Resource Master'!$F$2:$F$19)/COUNTIF('Resource Master'!$A$2:$A$19,B35)</f>
        <v>48000</v>
      </c>
      <c r="E35" s="71">
        <f>'02_SCHEDULE'!$E$3</f>
        <v>19.792865362485617</v>
      </c>
      <c r="F35" s="72">
        <f t="shared" si="1"/>
        <v>950057.53739930969</v>
      </c>
    </row>
    <row r="36" spans="2:6" x14ac:dyDescent="0.3">
      <c r="B36" s="41" t="str">
        <f>'01_INPUTS'!$B$27</f>
        <v>Azure Specialist</v>
      </c>
      <c r="C36" s="41">
        <f>'01_INPUTS'!$E$27</f>
        <v>1</v>
      </c>
      <c r="D36" s="70">
        <f>SUMIF('Resource Master'!$A$2:$A$19,B36,'Resource Master'!$F$2:$F$19)/COUNTIF('Resource Master'!$A$2:$A$19,B36)</f>
        <v>45000</v>
      </c>
      <c r="E36" s="71">
        <f>'02_SCHEDULE'!$E$3</f>
        <v>19.792865362485617</v>
      </c>
      <c r="F36" s="72">
        <f t="shared" si="1"/>
        <v>890678.94131185277</v>
      </c>
    </row>
    <row r="37" spans="2:6" x14ac:dyDescent="0.3">
      <c r="B37" s="41" t="str">
        <f>'01_INPUTS'!$B$28</f>
        <v>Testing Lead</v>
      </c>
      <c r="C37" s="41">
        <f>'01_INPUTS'!$E$28</f>
        <v>1</v>
      </c>
      <c r="D37" s="70">
        <f>SUMIF('Resource Master'!$A$2:$A$19,B37,'Resource Master'!$F$2:$F$19)/COUNTIF('Resource Master'!$A$2:$A$19,B37)</f>
        <v>35000</v>
      </c>
      <c r="E37" s="71">
        <f>'02_SCHEDULE'!$E$3</f>
        <v>19.792865362485617</v>
      </c>
      <c r="F37" s="72">
        <f t="shared" si="1"/>
        <v>692750.28768699663</v>
      </c>
    </row>
    <row r="38" spans="2:6" x14ac:dyDescent="0.3">
      <c r="B38" s="41" t="str">
        <f>'01_INPUTS'!$B$29</f>
        <v>Trainers</v>
      </c>
      <c r="C38" s="41">
        <f>'01_INPUTS'!$E$29</f>
        <v>1</v>
      </c>
      <c r="D38" s="70">
        <f>SUMIF('Resource Master'!$A$2:$A$19,B38,'Resource Master'!$F$2:$F$19)/COUNTIF('Resource Master'!$A$2:$A$19,B38)</f>
        <v>28000</v>
      </c>
      <c r="E38" s="71">
        <f>'02_SCHEDULE'!$E$3</f>
        <v>19.792865362485617</v>
      </c>
      <c r="F38" s="72">
        <f t="shared" si="1"/>
        <v>554200.23014959728</v>
      </c>
    </row>
    <row r="39" spans="2:6" x14ac:dyDescent="0.3">
      <c r="B39" s="41" t="str">
        <f>'01_INPUTS'!$B$30</f>
        <v>Functional Lead Vendor A</v>
      </c>
      <c r="C39" s="41">
        <f>'01_INPUTS'!$E$30</f>
        <v>2</v>
      </c>
      <c r="D39" s="70">
        <f>SUMIF('Resource Master'!$A$2:$A$19,B39,'Resource Master'!$F$2:$F$19)/COUNTIF('Resource Master'!$A$2:$A$19,B39)</f>
        <v>36000</v>
      </c>
      <c r="E39" s="71">
        <f>'02_SCHEDULE'!$E$3</f>
        <v>19.792865362485617</v>
      </c>
      <c r="F39" s="72">
        <f t="shared" si="1"/>
        <v>1425086.3060989645</v>
      </c>
    </row>
    <row r="40" spans="2:6" x14ac:dyDescent="0.3">
      <c r="B40" s="41" t="str">
        <f>'01_INPUTS'!$B$31</f>
        <v>Support Lead</v>
      </c>
      <c r="C40" s="41">
        <f>'01_INPUTS'!$E$31</f>
        <v>2</v>
      </c>
      <c r="D40" s="70">
        <f>SUMIF('Resource Master'!$A$2:$A$19,B40,'Resource Master'!$F$2:$F$19)/COUNTIF('Resource Master'!$A$2:$A$19,B40)</f>
        <v>22000</v>
      </c>
      <c r="E40" s="71">
        <f>'02_SCHEDULE'!$E$3</f>
        <v>19.792865362485617</v>
      </c>
      <c r="F40" s="72">
        <f t="shared" si="1"/>
        <v>870886.07594936714</v>
      </c>
    </row>
    <row r="41" spans="2:6" x14ac:dyDescent="0.3">
      <c r="B41" s="46" t="s">
        <v>197</v>
      </c>
      <c r="F41" s="73">
        <f>SUM(F26:F40)</f>
        <v>13795627.157652473</v>
      </c>
    </row>
    <row r="43" spans="2:6" x14ac:dyDescent="0.3">
      <c r="B43" s="132" t="s">
        <v>198</v>
      </c>
      <c r="C43" s="132"/>
    </row>
    <row r="44" spans="2:6" x14ac:dyDescent="0.3">
      <c r="B44" s="74" t="s">
        <v>199</v>
      </c>
      <c r="C44" s="75">
        <f>H22</f>
        <v>9768847.6582520753</v>
      </c>
    </row>
    <row r="45" spans="2:6" x14ac:dyDescent="0.3">
      <c r="B45" s="74" t="s">
        <v>200</v>
      </c>
      <c r="C45" s="76">
        <f>F41</f>
        <v>13795627.157652473</v>
      </c>
    </row>
    <row r="46" spans="2:6" x14ac:dyDescent="0.3">
      <c r="B46" s="74" t="s">
        <v>201</v>
      </c>
      <c r="C46" s="75">
        <f>I22</f>
        <v>704202</v>
      </c>
    </row>
    <row r="47" spans="2:6" ht="28.8" x14ac:dyDescent="0.3">
      <c r="B47" s="74" t="s">
        <v>202</v>
      </c>
      <c r="C47" s="77">
        <f>IFERROR(H22/I22,"N/A")</f>
        <v>13.872223677655098</v>
      </c>
    </row>
    <row r="48" spans="2:6" x14ac:dyDescent="0.3">
      <c r="B48" s="74" t="s">
        <v>203</v>
      </c>
      <c r="C48" s="77">
        <f>IFERROR((H22/I22)/12,"N/A")</f>
        <v>1.1560186398045915</v>
      </c>
    </row>
  </sheetData>
  <mergeCells count="5">
    <mergeCell ref="B2:J2"/>
    <mergeCell ref="B3:J3"/>
    <mergeCell ref="B5:I5"/>
    <mergeCell ref="B24:F24"/>
    <mergeCell ref="B43:C4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99932-35D6-46A4-9EC0-2B8D923BFDD4}">
  <sheetPr>
    <tabColor rgb="FF8C1E1E"/>
  </sheetPr>
  <dimension ref="B2:S93"/>
  <sheetViews>
    <sheetView showGridLines="0" tabSelected="1" workbookViewId="0"/>
  </sheetViews>
  <sheetFormatPr baseColWidth="10" defaultRowHeight="14.4" x14ac:dyDescent="0.3"/>
  <cols>
    <col min="2" max="2" width="30.77734375" customWidth="1"/>
    <col min="3" max="3" width="55.77734375" customWidth="1"/>
    <col min="8" max="8" width="17.109375" bestFit="1" customWidth="1"/>
    <col min="10" max="10" width="18.5546875" bestFit="1" customWidth="1"/>
    <col min="12" max="12" width="19.77734375" bestFit="1" customWidth="1"/>
    <col min="14" max="14" width="16.109375" bestFit="1" customWidth="1"/>
  </cols>
  <sheetData>
    <row r="2" spans="2:19" ht="18" x14ac:dyDescent="0.35">
      <c r="B2" s="123" t="s">
        <v>204</v>
      </c>
      <c r="C2" s="123"/>
      <c r="D2" s="123"/>
      <c r="E2" s="123"/>
      <c r="F2" s="123"/>
      <c r="G2" s="123"/>
      <c r="H2" s="123"/>
      <c r="I2" s="123"/>
      <c r="J2" s="123"/>
      <c r="K2" s="123"/>
      <c r="L2" s="123"/>
      <c r="M2" s="123"/>
      <c r="N2" s="123"/>
      <c r="O2" s="123"/>
      <c r="P2" s="123"/>
      <c r="Q2" s="123"/>
      <c r="R2" s="123"/>
      <c r="S2" s="123"/>
    </row>
    <row r="3" spans="2:19" x14ac:dyDescent="0.3">
      <c r="B3" s="124" t="str">
        <f>"Escenario: "&amp;'01_INPUTS'!$C$6&amp;"   |   Deployment Maturity: "&amp;'01_INPUTS'!$C$8&amp;"   |   Max. sites en paralelo: "&amp;'01_INPUTS'!$C$9</f>
        <v>Escenario: Escenario Base   |   Deployment Maturity: A   |   Max. sites en paralelo: 3</v>
      </c>
      <c r="C3" s="124"/>
      <c r="D3" s="124"/>
      <c r="E3" s="124"/>
      <c r="F3" s="124"/>
      <c r="G3" s="124"/>
      <c r="H3" s="124"/>
      <c r="I3" s="124"/>
      <c r="J3" s="124"/>
      <c r="K3" s="124"/>
      <c r="L3" s="124"/>
      <c r="M3" s="124"/>
      <c r="N3" s="124"/>
      <c r="O3" s="124"/>
      <c r="P3" s="124"/>
      <c r="Q3" s="124"/>
      <c r="R3" s="124"/>
      <c r="S3" s="124"/>
    </row>
    <row r="5" spans="2:19" ht="33" x14ac:dyDescent="0.3">
      <c r="B5" s="78" t="s">
        <v>205</v>
      </c>
      <c r="D5" s="78" t="s">
        <v>206</v>
      </c>
      <c r="F5" s="78" t="s">
        <v>207</v>
      </c>
      <c r="H5" s="78" t="s">
        <v>208</v>
      </c>
      <c r="J5" s="78" t="s">
        <v>209</v>
      </c>
      <c r="L5" s="78" t="s">
        <v>210</v>
      </c>
      <c r="N5" s="78" t="s">
        <v>211</v>
      </c>
      <c r="P5" s="78" t="s">
        <v>212</v>
      </c>
      <c r="R5" s="78" t="s">
        <v>213</v>
      </c>
    </row>
    <row r="6" spans="2:19" ht="18" x14ac:dyDescent="0.35">
      <c r="B6" s="79">
        <f>'02_SCHEDULE'!$E$3</f>
        <v>19.792865362485617</v>
      </c>
      <c r="D6" s="80">
        <f>'01_INPUTS'!$C$13</f>
        <v>8</v>
      </c>
      <c r="F6" s="83" t="str">
        <f>IF('02_SCHEDULE'!$K$3="CUMPLE","CUMPLE","NO CUMPLE")</f>
        <v>NO CUMPLE</v>
      </c>
      <c r="H6" s="80">
        <f>COUNTA('Sites Master'!$B$2:$B$16)</f>
        <v>15</v>
      </c>
      <c r="J6" s="81">
        <f>'04_COSTS'!$C$44</f>
        <v>9768847.6582520753</v>
      </c>
      <c r="L6" s="82">
        <f>'04_COSTS'!$C$45</f>
        <v>13795627.157652473</v>
      </c>
      <c r="N6" s="81">
        <f>'04_COSTS'!$C$46</f>
        <v>704202</v>
      </c>
      <c r="P6" s="79">
        <f>'04_COSTS'!$C$47</f>
        <v>13.872223677655098</v>
      </c>
      <c r="R6" s="84">
        <f>COUNTIF('03_RESOURCES'!$C$207:$C$221,"&gt;1")</f>
        <v>11</v>
      </c>
    </row>
    <row r="8" spans="2:19" ht="15.6" x14ac:dyDescent="0.3">
      <c r="B8" s="85" t="s">
        <v>214</v>
      </c>
      <c r="C8" s="85" t="str">
        <f>IF('02_SCHEDULE'!$K$3="NO CUMPLE","ROJO - no cumple 8 meses",IF(COUNTIF('03_RESOURCES'!$C$207:$C$221,"&gt;1")&gt;0,"AMARILLO - cumple 8 meses pero con sobrecarga de recursos","VERDE - cumple 8 meses sin sobrecarga de recursos"))</f>
        <v>ROJO - no cumple 8 meses</v>
      </c>
    </row>
    <row r="10" spans="2:19" x14ac:dyDescent="0.3">
      <c r="B10" s="125" t="s">
        <v>215</v>
      </c>
      <c r="C10" s="125"/>
      <c r="D10" s="125"/>
      <c r="E10" s="125"/>
      <c r="F10" s="125"/>
    </row>
    <row r="11" spans="2:19" x14ac:dyDescent="0.3">
      <c r="B11" s="39" t="s">
        <v>139</v>
      </c>
      <c r="C11" s="39" t="s">
        <v>216</v>
      </c>
      <c r="D11" s="39" t="s">
        <v>217</v>
      </c>
      <c r="E11" s="87" t="s">
        <v>218</v>
      </c>
      <c r="F11" s="87" t="s">
        <v>219</v>
      </c>
    </row>
    <row r="12" spans="2:19" x14ac:dyDescent="0.3">
      <c r="B12" s="41" t="str">
        <f>'Sites Master'!$B$2</f>
        <v>Site 01</v>
      </c>
      <c r="C12" s="89">
        <f>INDEX('02_SCHEDULE'!$S$5:$S$19,MATCH(B12,'02_SCHEDULE'!$P$5:$P$19,0))-'01_INPUTS'!$C$7</f>
        <v>0</v>
      </c>
      <c r="D12" s="89">
        <f>INDEX('02_SCHEDULE'!$R$5:$R$19,MATCH(B12,'02_SCHEDULE'!$P$5:$P$19,0))*7</f>
        <v>112</v>
      </c>
      <c r="E12" s="88">
        <f>INDEX('02_SCHEDULE'!$S$5:$S$19,MATCH(B12,'02_SCHEDULE'!$P$5:$P$19,0))</f>
        <v>46251</v>
      </c>
      <c r="F12" s="88">
        <f>INDEX('02_SCHEDULE'!$T$5:$T$19,MATCH(B12,'02_SCHEDULE'!$P$5:$P$19,0))</f>
        <v>46362</v>
      </c>
    </row>
    <row r="13" spans="2:19" x14ac:dyDescent="0.3">
      <c r="B13" s="41" t="str">
        <f>'Sites Master'!$B$3</f>
        <v>Site 02</v>
      </c>
      <c r="C13" s="89">
        <f>INDEX('02_SCHEDULE'!$S$5:$S$19,MATCH(B13,'02_SCHEDULE'!$P$5:$P$19,0))-'01_INPUTS'!$C$7</f>
        <v>0</v>
      </c>
      <c r="D13" s="89">
        <f>INDEX('02_SCHEDULE'!$R$5:$R$19,MATCH(B13,'02_SCHEDULE'!$P$5:$P$19,0))*7</f>
        <v>112</v>
      </c>
      <c r="E13" s="88">
        <f>INDEX('02_SCHEDULE'!$S$5:$S$19,MATCH(B13,'02_SCHEDULE'!$P$5:$P$19,0))</f>
        <v>46251</v>
      </c>
      <c r="F13" s="88">
        <f>INDEX('02_SCHEDULE'!$T$5:$T$19,MATCH(B13,'02_SCHEDULE'!$P$5:$P$19,0))</f>
        <v>46362</v>
      </c>
    </row>
    <row r="14" spans="2:19" x14ac:dyDescent="0.3">
      <c r="B14" s="41" t="str">
        <f>'Sites Master'!$B$4</f>
        <v>Site 03</v>
      </c>
      <c r="C14" s="89">
        <f>INDEX('02_SCHEDULE'!$S$5:$S$19,MATCH(B14,'02_SCHEDULE'!$P$5:$P$19,0))-'01_INPUTS'!$C$7</f>
        <v>0</v>
      </c>
      <c r="D14" s="89">
        <f>INDEX('02_SCHEDULE'!$R$5:$R$19,MATCH(B14,'02_SCHEDULE'!$P$5:$P$19,0))*7</f>
        <v>112</v>
      </c>
      <c r="E14" s="88">
        <f>INDEX('02_SCHEDULE'!$S$5:$S$19,MATCH(B14,'02_SCHEDULE'!$P$5:$P$19,0))</f>
        <v>46251</v>
      </c>
      <c r="F14" s="88">
        <f>INDEX('02_SCHEDULE'!$T$5:$T$19,MATCH(B14,'02_SCHEDULE'!$P$5:$P$19,0))</f>
        <v>46362</v>
      </c>
    </row>
    <row r="15" spans="2:19" x14ac:dyDescent="0.3">
      <c r="B15" s="41" t="str">
        <f>'Sites Master'!$B$5</f>
        <v>Site 04</v>
      </c>
      <c r="C15" s="89">
        <f>INDEX('02_SCHEDULE'!$S$5:$S$19,MATCH(B15,'02_SCHEDULE'!$P$5:$P$19,0))-'01_INPUTS'!$C$7</f>
        <v>112</v>
      </c>
      <c r="D15" s="89">
        <f>INDEX('02_SCHEDULE'!$R$5:$R$19,MATCH(B15,'02_SCHEDULE'!$P$5:$P$19,0))*7</f>
        <v>112</v>
      </c>
      <c r="E15" s="88">
        <f>INDEX('02_SCHEDULE'!$S$5:$S$19,MATCH(B15,'02_SCHEDULE'!$P$5:$P$19,0))</f>
        <v>46363</v>
      </c>
      <c r="F15" s="88">
        <f>INDEX('02_SCHEDULE'!$T$5:$T$19,MATCH(B15,'02_SCHEDULE'!$P$5:$P$19,0))</f>
        <v>46474</v>
      </c>
    </row>
    <row r="16" spans="2:19" x14ac:dyDescent="0.3">
      <c r="B16" s="41" t="str">
        <f>'Sites Master'!$B$6</f>
        <v>Site 05</v>
      </c>
      <c r="C16" s="89">
        <f>INDEX('02_SCHEDULE'!$S$5:$S$19,MATCH(B16,'02_SCHEDULE'!$P$5:$P$19,0))-'01_INPUTS'!$C$7</f>
        <v>112</v>
      </c>
      <c r="D16" s="89">
        <f>INDEX('02_SCHEDULE'!$R$5:$R$19,MATCH(B16,'02_SCHEDULE'!$P$5:$P$19,0))*7</f>
        <v>105</v>
      </c>
      <c r="E16" s="88">
        <f>INDEX('02_SCHEDULE'!$S$5:$S$19,MATCH(B16,'02_SCHEDULE'!$P$5:$P$19,0))</f>
        <v>46363</v>
      </c>
      <c r="F16" s="88">
        <f>INDEX('02_SCHEDULE'!$T$5:$T$19,MATCH(B16,'02_SCHEDULE'!$P$5:$P$19,0))</f>
        <v>46467</v>
      </c>
    </row>
    <row r="17" spans="2:14" x14ac:dyDescent="0.3">
      <c r="B17" s="41" t="str">
        <f>'Sites Master'!$B$7</f>
        <v>Site 06</v>
      </c>
      <c r="C17" s="89">
        <f>INDEX('02_SCHEDULE'!$S$5:$S$19,MATCH(B17,'02_SCHEDULE'!$P$5:$P$19,0))-'01_INPUTS'!$C$7</f>
        <v>112</v>
      </c>
      <c r="D17" s="89">
        <f>INDEX('02_SCHEDULE'!$R$5:$R$19,MATCH(B17,'02_SCHEDULE'!$P$5:$P$19,0))*7</f>
        <v>133</v>
      </c>
      <c r="E17" s="88">
        <f>INDEX('02_SCHEDULE'!$S$5:$S$19,MATCH(B17,'02_SCHEDULE'!$P$5:$P$19,0))</f>
        <v>46363</v>
      </c>
      <c r="F17" s="88">
        <f>INDEX('02_SCHEDULE'!$T$5:$T$19,MATCH(B17,'02_SCHEDULE'!$P$5:$P$19,0))</f>
        <v>46495</v>
      </c>
    </row>
    <row r="18" spans="2:14" x14ac:dyDescent="0.3">
      <c r="B18" s="41" t="str">
        <f>'Sites Master'!$B$8</f>
        <v>Site 07</v>
      </c>
      <c r="C18" s="89">
        <f>INDEX('02_SCHEDULE'!$S$5:$S$19,MATCH(B18,'02_SCHEDULE'!$P$5:$P$19,0))-'01_INPUTS'!$C$7</f>
        <v>224</v>
      </c>
      <c r="D18" s="89">
        <f>INDEX('02_SCHEDULE'!$R$5:$R$19,MATCH(B18,'02_SCHEDULE'!$P$5:$P$19,0))*7</f>
        <v>112</v>
      </c>
      <c r="E18" s="88">
        <f>INDEX('02_SCHEDULE'!$S$5:$S$19,MATCH(B18,'02_SCHEDULE'!$P$5:$P$19,0))</f>
        <v>46475</v>
      </c>
      <c r="F18" s="88">
        <f>INDEX('02_SCHEDULE'!$T$5:$T$19,MATCH(B18,'02_SCHEDULE'!$P$5:$P$19,0))</f>
        <v>46586</v>
      </c>
    </row>
    <row r="19" spans="2:14" x14ac:dyDescent="0.3">
      <c r="B19" s="41" t="str">
        <f>'Sites Master'!$B$9</f>
        <v>Site 08</v>
      </c>
      <c r="C19" s="89">
        <f>INDEX('02_SCHEDULE'!$S$5:$S$19,MATCH(B19,'02_SCHEDULE'!$P$5:$P$19,0))-'01_INPUTS'!$C$7</f>
        <v>217</v>
      </c>
      <c r="D19" s="89">
        <f>INDEX('02_SCHEDULE'!$R$5:$R$19,MATCH(B19,'02_SCHEDULE'!$P$5:$P$19,0))*7</f>
        <v>133</v>
      </c>
      <c r="E19" s="88">
        <f>INDEX('02_SCHEDULE'!$S$5:$S$19,MATCH(B19,'02_SCHEDULE'!$P$5:$P$19,0))</f>
        <v>46468</v>
      </c>
      <c r="F19" s="88">
        <f>INDEX('02_SCHEDULE'!$T$5:$T$19,MATCH(B19,'02_SCHEDULE'!$P$5:$P$19,0))</f>
        <v>46600</v>
      </c>
    </row>
    <row r="20" spans="2:14" x14ac:dyDescent="0.3">
      <c r="B20" s="41" t="str">
        <f>'Sites Master'!$B$10</f>
        <v>Site 09</v>
      </c>
      <c r="C20" s="89">
        <f>INDEX('02_SCHEDULE'!$S$5:$S$19,MATCH(B20,'02_SCHEDULE'!$P$5:$P$19,0))-'01_INPUTS'!$C$7</f>
        <v>245</v>
      </c>
      <c r="D20" s="89">
        <f>INDEX('02_SCHEDULE'!$R$5:$R$19,MATCH(B20,'02_SCHEDULE'!$P$5:$P$19,0))*7</f>
        <v>112</v>
      </c>
      <c r="E20" s="88">
        <f>INDEX('02_SCHEDULE'!$S$5:$S$19,MATCH(B20,'02_SCHEDULE'!$P$5:$P$19,0))</f>
        <v>46496</v>
      </c>
      <c r="F20" s="88">
        <f>INDEX('02_SCHEDULE'!$T$5:$T$19,MATCH(B20,'02_SCHEDULE'!$P$5:$P$19,0))</f>
        <v>46607</v>
      </c>
    </row>
    <row r="21" spans="2:14" x14ac:dyDescent="0.3">
      <c r="B21" s="41" t="str">
        <f>'Sites Master'!$B$11</f>
        <v>Site 10</v>
      </c>
      <c r="C21" s="89">
        <f>INDEX('02_SCHEDULE'!$S$5:$S$19,MATCH(B21,'02_SCHEDULE'!$P$5:$P$19,0))-'01_INPUTS'!$C$7</f>
        <v>336</v>
      </c>
      <c r="D21" s="89">
        <f>INDEX('02_SCHEDULE'!$R$5:$R$19,MATCH(B21,'02_SCHEDULE'!$P$5:$P$19,0))*7</f>
        <v>133</v>
      </c>
      <c r="E21" s="88">
        <f>INDEX('02_SCHEDULE'!$S$5:$S$19,MATCH(B21,'02_SCHEDULE'!$P$5:$P$19,0))</f>
        <v>46587</v>
      </c>
      <c r="F21" s="88">
        <f>INDEX('02_SCHEDULE'!$T$5:$T$19,MATCH(B21,'02_SCHEDULE'!$P$5:$P$19,0))</f>
        <v>46719</v>
      </c>
    </row>
    <row r="22" spans="2:14" x14ac:dyDescent="0.3">
      <c r="B22" s="41" t="str">
        <f>'Sites Master'!$B$12</f>
        <v>Site 11</v>
      </c>
      <c r="C22" s="89">
        <f>INDEX('02_SCHEDULE'!$S$5:$S$19,MATCH(B22,'02_SCHEDULE'!$P$5:$P$19,0))-'01_INPUTS'!$C$7</f>
        <v>350</v>
      </c>
      <c r="D22" s="89">
        <f>INDEX('02_SCHEDULE'!$R$5:$R$19,MATCH(B22,'02_SCHEDULE'!$P$5:$P$19,0))*7</f>
        <v>105</v>
      </c>
      <c r="E22" s="88">
        <f>INDEX('02_SCHEDULE'!$S$5:$S$19,MATCH(B22,'02_SCHEDULE'!$P$5:$P$19,0))</f>
        <v>46601</v>
      </c>
      <c r="F22" s="88">
        <f>INDEX('02_SCHEDULE'!$T$5:$T$19,MATCH(B22,'02_SCHEDULE'!$P$5:$P$19,0))</f>
        <v>46705</v>
      </c>
    </row>
    <row r="23" spans="2:14" x14ac:dyDescent="0.3">
      <c r="B23" s="41" t="str">
        <f>'Sites Master'!$B$13</f>
        <v>Site 12</v>
      </c>
      <c r="C23" s="89">
        <f>INDEX('02_SCHEDULE'!$S$5:$S$19,MATCH(B23,'02_SCHEDULE'!$P$5:$P$19,0))-'01_INPUTS'!$C$7</f>
        <v>357</v>
      </c>
      <c r="D23" s="89">
        <f>INDEX('02_SCHEDULE'!$R$5:$R$19,MATCH(B23,'02_SCHEDULE'!$P$5:$P$19,0))*7</f>
        <v>70</v>
      </c>
      <c r="E23" s="88">
        <f>INDEX('02_SCHEDULE'!$S$5:$S$19,MATCH(B23,'02_SCHEDULE'!$P$5:$P$19,0))</f>
        <v>46608</v>
      </c>
      <c r="F23" s="88">
        <f>INDEX('02_SCHEDULE'!$T$5:$T$19,MATCH(B23,'02_SCHEDULE'!$P$5:$P$19,0))</f>
        <v>46677</v>
      </c>
    </row>
    <row r="24" spans="2:14" x14ac:dyDescent="0.3">
      <c r="B24" s="41" t="str">
        <f>'Sites Master'!$B$14</f>
        <v>Site 13</v>
      </c>
      <c r="C24" s="89">
        <f>INDEX('02_SCHEDULE'!$S$5:$S$19,MATCH(B24,'02_SCHEDULE'!$P$5:$P$19,0))-'01_INPUTS'!$C$7</f>
        <v>469</v>
      </c>
      <c r="D24" s="89">
        <f>INDEX('02_SCHEDULE'!$R$5:$R$19,MATCH(B24,'02_SCHEDULE'!$P$5:$P$19,0))*7</f>
        <v>133</v>
      </c>
      <c r="E24" s="88">
        <f>INDEX('02_SCHEDULE'!$S$5:$S$19,MATCH(B24,'02_SCHEDULE'!$P$5:$P$19,0))</f>
        <v>46720</v>
      </c>
      <c r="F24" s="88">
        <f>INDEX('02_SCHEDULE'!$T$5:$T$19,MATCH(B24,'02_SCHEDULE'!$P$5:$P$19,0))</f>
        <v>46852</v>
      </c>
    </row>
    <row r="25" spans="2:14" x14ac:dyDescent="0.3">
      <c r="B25" s="41" t="str">
        <f>'Sites Master'!$B$15</f>
        <v>Site 14</v>
      </c>
      <c r="C25" s="89">
        <f>INDEX('02_SCHEDULE'!$S$5:$S$19,MATCH(B25,'02_SCHEDULE'!$P$5:$P$19,0))-'01_INPUTS'!$C$7</f>
        <v>455</v>
      </c>
      <c r="D25" s="89">
        <f>INDEX('02_SCHEDULE'!$R$5:$R$19,MATCH(B25,'02_SCHEDULE'!$P$5:$P$19,0))*7</f>
        <v>133</v>
      </c>
      <c r="E25" s="88">
        <f>INDEX('02_SCHEDULE'!$S$5:$S$19,MATCH(B25,'02_SCHEDULE'!$P$5:$P$19,0))</f>
        <v>46706</v>
      </c>
      <c r="F25" s="88">
        <f>INDEX('02_SCHEDULE'!$T$5:$T$19,MATCH(B25,'02_SCHEDULE'!$P$5:$P$19,0))</f>
        <v>46838</v>
      </c>
    </row>
    <row r="26" spans="2:14" x14ac:dyDescent="0.3">
      <c r="B26" s="41" t="str">
        <f>'Sites Master'!$B$16</f>
        <v>Site 15</v>
      </c>
      <c r="C26" s="89">
        <f>INDEX('02_SCHEDULE'!$S$5:$S$19,MATCH(B26,'02_SCHEDULE'!$P$5:$P$19,0))-'01_INPUTS'!$C$7</f>
        <v>427</v>
      </c>
      <c r="D26" s="89">
        <f>INDEX('02_SCHEDULE'!$R$5:$R$19,MATCH(B26,'02_SCHEDULE'!$P$5:$P$19,0))*7</f>
        <v>112</v>
      </c>
      <c r="E26" s="88">
        <f>INDEX('02_SCHEDULE'!$S$5:$S$19,MATCH(B26,'02_SCHEDULE'!$P$5:$P$19,0))</f>
        <v>46678</v>
      </c>
      <c r="F26" s="88">
        <f>INDEX('02_SCHEDULE'!$T$5:$T$19,MATCH(B26,'02_SCHEDULE'!$P$5:$P$19,0))</f>
        <v>46789</v>
      </c>
    </row>
    <row r="27" spans="2:14" x14ac:dyDescent="0.3">
      <c r="B27" s="46" t="s">
        <v>220</v>
      </c>
      <c r="C27" s="86">
        <f>'01_INPUTS'!$C$13*30.44</f>
        <v>243.52</v>
      </c>
    </row>
    <row r="30" spans="2:14" x14ac:dyDescent="0.3">
      <c r="B30" s="126" t="s">
        <v>284</v>
      </c>
      <c r="C30" s="125"/>
      <c r="D30" s="125"/>
      <c r="E30" s="125"/>
      <c r="F30" s="125"/>
      <c r="G30" s="125"/>
      <c r="H30" s="125"/>
      <c r="I30" s="125"/>
      <c r="J30" s="125"/>
      <c r="K30" s="125"/>
      <c r="L30" s="125"/>
      <c r="M30" s="125"/>
      <c r="N30" s="125"/>
    </row>
    <row r="31" spans="2:14" x14ac:dyDescent="0.3">
      <c r="B31" s="127" t="s">
        <v>285</v>
      </c>
      <c r="C31" s="127"/>
      <c r="D31" s="127"/>
      <c r="E31" s="127"/>
      <c r="F31" s="127"/>
      <c r="G31" s="127"/>
      <c r="H31" s="127"/>
      <c r="I31" s="127"/>
      <c r="J31" s="127"/>
      <c r="K31" s="127"/>
      <c r="L31" s="127"/>
      <c r="M31" s="127"/>
      <c r="N31" s="127"/>
    </row>
    <row r="33" spans="2:12" ht="22.2" x14ac:dyDescent="0.3">
      <c r="B33" s="110" t="s">
        <v>286</v>
      </c>
      <c r="D33" s="110" t="s">
        <v>287</v>
      </c>
      <c r="F33" s="110" t="s">
        <v>288</v>
      </c>
      <c r="H33" s="110" t="s">
        <v>289</v>
      </c>
      <c r="J33" s="110" t="s">
        <v>290</v>
      </c>
      <c r="L33" s="110" t="s">
        <v>291</v>
      </c>
    </row>
    <row r="34" spans="2:12" ht="17.399999999999999" x14ac:dyDescent="0.35">
      <c r="B34" s="111" t="str">
        <f>'07_SCENARIOS'!$C$7</f>
        <v>A</v>
      </c>
      <c r="D34" s="112">
        <f>ROUND('07_SCENARIOS'!$E$7*4.345,0)</f>
        <v>19</v>
      </c>
      <c r="F34" s="113">
        <f>'07_SCENARIOS'!$E$7</f>
        <v>4.3728423475258902</v>
      </c>
      <c r="H34" s="114">
        <f>'07_SCENARIOS'!$F$7</f>
        <v>4991382.5190292802</v>
      </c>
      <c r="J34" s="115">
        <f>'07_SCENARIOS'!$L$7</f>
        <v>24831185.2704258</v>
      </c>
      <c r="L34" s="116" t="str">
        <f>'07_SCENARIOS'!$I$7</f>
        <v>CUMPLE</v>
      </c>
    </row>
    <row r="36" spans="2:12" ht="33" x14ac:dyDescent="0.3">
      <c r="B36" s="110" t="s">
        <v>292</v>
      </c>
      <c r="D36" s="110" t="s">
        <v>293</v>
      </c>
      <c r="F36" s="110" t="s">
        <v>294</v>
      </c>
      <c r="H36" s="110" t="s">
        <v>212</v>
      </c>
      <c r="J36" s="110" t="s">
        <v>295</v>
      </c>
      <c r="L36" s="110" t="s">
        <v>296</v>
      </c>
    </row>
    <row r="37" spans="2:12" ht="17.399999999999999" x14ac:dyDescent="0.35">
      <c r="B37" s="117">
        <f>'07_SCENARIOS'!$F$6-'07_SCENARIOS'!$F$7</f>
        <v>4777465.1392227951</v>
      </c>
      <c r="D37" s="113">
        <f>154.5</f>
        <v>154.5</v>
      </c>
      <c r="F37" s="118">
        <f>1</f>
        <v>1</v>
      </c>
      <c r="H37" s="113">
        <f>'07_SCENARIOS'!$H$7</f>
        <v>7.0879982150423899</v>
      </c>
      <c r="J37" s="119">
        <f>'07_SCENARIOS'!$J$7</f>
        <v>0</v>
      </c>
      <c r="L37" s="115">
        <f>'07_SCENARIOS'!$L$6</f>
        <v>13795627.157652473</v>
      </c>
    </row>
    <row r="39" spans="2:12" x14ac:dyDescent="0.3">
      <c r="B39" s="129" t="s">
        <v>297</v>
      </c>
      <c r="C39" s="129"/>
    </row>
    <row r="40" spans="2:12" x14ac:dyDescent="0.3">
      <c r="B40" s="39" t="s">
        <v>298</v>
      </c>
      <c r="C40" s="39" t="s">
        <v>299</v>
      </c>
    </row>
    <row r="41" spans="2:12" x14ac:dyDescent="0.3">
      <c r="B41" s="93" t="s">
        <v>90</v>
      </c>
      <c r="C41" s="120" t="s">
        <v>0</v>
      </c>
    </row>
    <row r="42" spans="2:12" x14ac:dyDescent="0.3">
      <c r="B42" s="93" t="s">
        <v>300</v>
      </c>
      <c r="C42" s="120">
        <v>15</v>
      </c>
    </row>
    <row r="43" spans="2:12" x14ac:dyDescent="0.3">
      <c r="B43" s="93" t="s">
        <v>301</v>
      </c>
      <c r="C43" s="120" t="s">
        <v>65</v>
      </c>
    </row>
    <row r="44" spans="2:12" x14ac:dyDescent="0.3">
      <c r="B44" s="93" t="s">
        <v>302</v>
      </c>
      <c r="C44" s="120" t="s">
        <v>68</v>
      </c>
    </row>
    <row r="45" spans="2:12" x14ac:dyDescent="0.3">
      <c r="B45" s="93" t="s">
        <v>25</v>
      </c>
      <c r="C45" s="120" t="s">
        <v>303</v>
      </c>
    </row>
    <row r="46" spans="2:12" x14ac:dyDescent="0.3">
      <c r="B46" s="93" t="s">
        <v>20</v>
      </c>
      <c r="C46" s="120" t="s">
        <v>304</v>
      </c>
    </row>
    <row r="47" spans="2:12" x14ac:dyDescent="0.3">
      <c r="B47" s="93" t="s">
        <v>83</v>
      </c>
      <c r="C47" s="120" t="s">
        <v>305</v>
      </c>
    </row>
    <row r="48" spans="2:12" x14ac:dyDescent="0.3">
      <c r="B48" s="93" t="s">
        <v>81</v>
      </c>
      <c r="C48" s="120" t="s">
        <v>305</v>
      </c>
    </row>
    <row r="49" spans="2:5" x14ac:dyDescent="0.3">
      <c r="B49" s="93" t="s">
        <v>22</v>
      </c>
      <c r="C49" s="120" t="s">
        <v>306</v>
      </c>
    </row>
    <row r="50" spans="2:5" x14ac:dyDescent="0.3">
      <c r="B50" s="93" t="s">
        <v>23</v>
      </c>
      <c r="C50" s="120" t="s">
        <v>303</v>
      </c>
    </row>
    <row r="51" spans="2:5" x14ac:dyDescent="0.3">
      <c r="B51" s="93" t="s">
        <v>17</v>
      </c>
      <c r="C51" s="120" t="s">
        <v>303</v>
      </c>
    </row>
    <row r="52" spans="2:5" ht="57.6" x14ac:dyDescent="0.3">
      <c r="B52" s="93" t="s">
        <v>307</v>
      </c>
      <c r="C52" s="120" t="s">
        <v>308</v>
      </c>
    </row>
    <row r="54" spans="2:5" x14ac:dyDescent="0.3">
      <c r="B54" s="125" t="s">
        <v>309</v>
      </c>
      <c r="C54" s="125"/>
      <c r="D54" s="125"/>
      <c r="E54" s="125"/>
    </row>
    <row r="55" spans="2:5" x14ac:dyDescent="0.3">
      <c r="B55" s="39" t="s">
        <v>139</v>
      </c>
      <c r="C55" s="39" t="s">
        <v>216</v>
      </c>
      <c r="D55" s="39" t="s">
        <v>217</v>
      </c>
    </row>
    <row r="56" spans="2:5" x14ac:dyDescent="0.3">
      <c r="B56" s="41" t="s">
        <v>2</v>
      </c>
      <c r="C56" s="89">
        <f>0</f>
        <v>0</v>
      </c>
      <c r="D56" s="89">
        <f>112</f>
        <v>112</v>
      </c>
    </row>
    <row r="57" spans="2:5" x14ac:dyDescent="0.3">
      <c r="B57" s="41" t="s">
        <v>69</v>
      </c>
      <c r="C57" s="89">
        <f>0</f>
        <v>0</v>
      </c>
      <c r="D57" s="89">
        <f>112</f>
        <v>112</v>
      </c>
    </row>
    <row r="58" spans="2:5" x14ac:dyDescent="0.3">
      <c r="B58" s="41" t="s">
        <v>3</v>
      </c>
      <c r="C58" s="89">
        <f>0</f>
        <v>0</v>
      </c>
      <c r="D58" s="89">
        <f>112</f>
        <v>112</v>
      </c>
    </row>
    <row r="59" spans="2:5" x14ac:dyDescent="0.3">
      <c r="B59" s="41" t="s">
        <v>4</v>
      </c>
      <c r="C59" s="89">
        <f>0</f>
        <v>0</v>
      </c>
      <c r="D59" s="89">
        <f>112</f>
        <v>112</v>
      </c>
    </row>
    <row r="60" spans="2:5" x14ac:dyDescent="0.3">
      <c r="B60" s="41" t="s">
        <v>6</v>
      </c>
      <c r="C60" s="89">
        <f>0</f>
        <v>0</v>
      </c>
      <c r="D60" s="89">
        <f>105</f>
        <v>105</v>
      </c>
    </row>
    <row r="61" spans="2:5" x14ac:dyDescent="0.3">
      <c r="B61" s="41" t="s">
        <v>7</v>
      </c>
      <c r="C61" s="89">
        <f>0</f>
        <v>0</v>
      </c>
      <c r="D61" s="89">
        <f>133</f>
        <v>133</v>
      </c>
    </row>
    <row r="62" spans="2:5" x14ac:dyDescent="0.3">
      <c r="B62" s="41" t="s">
        <v>8</v>
      </c>
      <c r="C62" s="89">
        <f>0</f>
        <v>0</v>
      </c>
      <c r="D62" s="89">
        <f>112</f>
        <v>112</v>
      </c>
    </row>
    <row r="63" spans="2:5" x14ac:dyDescent="0.3">
      <c r="B63" s="41" t="s">
        <v>9</v>
      </c>
      <c r="C63" s="89">
        <f>0</f>
        <v>0</v>
      </c>
      <c r="D63" s="89">
        <f>133</f>
        <v>133</v>
      </c>
    </row>
    <row r="64" spans="2:5" x14ac:dyDescent="0.3">
      <c r="B64" s="41" t="s">
        <v>10</v>
      </c>
      <c r="C64" s="89">
        <f>0</f>
        <v>0</v>
      </c>
      <c r="D64" s="89">
        <f>112</f>
        <v>112</v>
      </c>
    </row>
    <row r="65" spans="2:8" x14ac:dyDescent="0.3">
      <c r="B65" s="41" t="s">
        <v>11</v>
      </c>
      <c r="C65" s="89">
        <f>0</f>
        <v>0</v>
      </c>
      <c r="D65" s="89">
        <f>133</f>
        <v>133</v>
      </c>
    </row>
    <row r="66" spans="2:8" x14ac:dyDescent="0.3">
      <c r="B66" s="41" t="s">
        <v>12</v>
      </c>
      <c r="C66" s="89">
        <f>0</f>
        <v>0</v>
      </c>
      <c r="D66" s="89">
        <f>105</f>
        <v>105</v>
      </c>
    </row>
    <row r="67" spans="2:8" x14ac:dyDescent="0.3">
      <c r="B67" s="41" t="s">
        <v>13</v>
      </c>
      <c r="C67" s="89">
        <f>0</f>
        <v>0</v>
      </c>
      <c r="D67" s="89">
        <f>70</f>
        <v>70</v>
      </c>
    </row>
    <row r="68" spans="2:8" x14ac:dyDescent="0.3">
      <c r="B68" s="41" t="s">
        <v>14</v>
      </c>
      <c r="C68" s="89">
        <f>0</f>
        <v>0</v>
      </c>
      <c r="D68" s="89">
        <f>133</f>
        <v>133</v>
      </c>
    </row>
    <row r="69" spans="2:8" x14ac:dyDescent="0.3">
      <c r="B69" s="41" t="s">
        <v>15</v>
      </c>
      <c r="C69" s="89">
        <f>0</f>
        <v>0</v>
      </c>
      <c r="D69" s="89">
        <f>133</f>
        <v>133</v>
      </c>
    </row>
    <row r="70" spans="2:8" x14ac:dyDescent="0.3">
      <c r="B70" s="41" t="s">
        <v>16</v>
      </c>
      <c r="C70" s="89">
        <f>0</f>
        <v>0</v>
      </c>
      <c r="D70" s="89">
        <f>112</f>
        <v>112</v>
      </c>
    </row>
    <row r="72" spans="2:8" x14ac:dyDescent="0.3">
      <c r="B72" s="125" t="s">
        <v>310</v>
      </c>
      <c r="C72" s="125"/>
      <c r="E72" s="125" t="s">
        <v>319</v>
      </c>
      <c r="F72" s="125"/>
      <c r="G72" s="125"/>
      <c r="H72" s="125"/>
    </row>
    <row r="73" spans="2:8" ht="43.2" x14ac:dyDescent="0.3">
      <c r="B73" s="39" t="s">
        <v>139</v>
      </c>
      <c r="C73" s="39" t="s">
        <v>311</v>
      </c>
      <c r="E73" s="40" t="s">
        <v>134</v>
      </c>
      <c r="F73" s="40" t="s">
        <v>313</v>
      </c>
      <c r="G73" s="40" t="s">
        <v>314</v>
      </c>
      <c r="H73" s="40" t="s">
        <v>315</v>
      </c>
    </row>
    <row r="74" spans="2:8" x14ac:dyDescent="0.3">
      <c r="B74" s="41" t="s">
        <v>2</v>
      </c>
      <c r="C74" s="66">
        <f>47464.3203795523</f>
        <v>47464.3203795523</v>
      </c>
      <c r="E74" s="41" t="s">
        <v>25</v>
      </c>
      <c r="F74" s="41">
        <f>9.5</f>
        <v>9.5</v>
      </c>
      <c r="G74" s="70">
        <f>36000</f>
        <v>36000</v>
      </c>
      <c r="H74" s="70">
        <f>1495512.08285385</f>
        <v>1495512.08285385</v>
      </c>
    </row>
    <row r="75" spans="2:8" x14ac:dyDescent="0.3">
      <c r="B75" s="41" t="s">
        <v>69</v>
      </c>
      <c r="C75" s="66">
        <f>396471.017766449</f>
        <v>396471.01776644902</v>
      </c>
      <c r="E75" s="41" t="s">
        <v>79</v>
      </c>
      <c r="F75" s="41">
        <f>0</f>
        <v>0</v>
      </c>
      <c r="G75" s="70">
        <f>35000</f>
        <v>35000</v>
      </c>
      <c r="H75" s="70">
        <f>0</f>
        <v>0</v>
      </c>
    </row>
    <row r="76" spans="2:8" x14ac:dyDescent="0.3">
      <c r="B76" s="41" t="s">
        <v>3</v>
      </c>
      <c r="C76" s="66">
        <f>534979.244853425</f>
        <v>534979.24485342496</v>
      </c>
      <c r="E76" s="41" t="s">
        <v>81</v>
      </c>
      <c r="F76" s="41">
        <f>0</f>
        <v>0</v>
      </c>
      <c r="G76" s="70">
        <f>25000</f>
        <v>25000</v>
      </c>
      <c r="H76" s="70">
        <f>0</f>
        <v>0</v>
      </c>
    </row>
    <row r="77" spans="2:8" x14ac:dyDescent="0.3">
      <c r="B77" s="41" t="s">
        <v>4</v>
      </c>
      <c r="C77" s="66">
        <f>657224.496507032</f>
        <v>657224.49650703196</v>
      </c>
      <c r="E77" s="41" t="s">
        <v>83</v>
      </c>
      <c r="F77" s="41">
        <f>0</f>
        <v>0</v>
      </c>
      <c r="G77" s="70">
        <f>25000</f>
        <v>25000</v>
      </c>
      <c r="H77" s="70">
        <f>0</f>
        <v>0</v>
      </c>
    </row>
    <row r="78" spans="2:8" x14ac:dyDescent="0.3">
      <c r="B78" s="41" t="s">
        <v>6</v>
      </c>
      <c r="C78" s="66">
        <f>224362.719818842</f>
        <v>224362.71981884199</v>
      </c>
      <c r="E78" s="41" t="s">
        <v>19</v>
      </c>
      <c r="F78" s="41">
        <f>14</f>
        <v>14</v>
      </c>
      <c r="G78" s="70">
        <f>16000</f>
        <v>16000</v>
      </c>
      <c r="H78" s="70">
        <f>979516.685845799</f>
        <v>979516.68584579905</v>
      </c>
    </row>
    <row r="79" spans="2:8" x14ac:dyDescent="0.3">
      <c r="B79" s="41" t="s">
        <v>7</v>
      </c>
      <c r="C79" s="66">
        <f>966325.960237194</f>
        <v>966325.96023719397</v>
      </c>
      <c r="E79" s="41" t="s">
        <v>22</v>
      </c>
      <c r="F79" s="41">
        <f>14</f>
        <v>14</v>
      </c>
      <c r="G79" s="70">
        <f>42500</f>
        <v>42500</v>
      </c>
      <c r="H79" s="70">
        <f>2601841.1967779</f>
        <v>2601841.1967779002</v>
      </c>
    </row>
    <row r="80" spans="2:8" x14ac:dyDescent="0.3">
      <c r="B80" s="41" t="s">
        <v>8</v>
      </c>
      <c r="C80" s="66">
        <f>465773.639526285</f>
        <v>465773.639526285</v>
      </c>
      <c r="E80" s="41" t="s">
        <v>20</v>
      </c>
      <c r="F80" s="41">
        <f>24</f>
        <v>24</v>
      </c>
      <c r="G80" s="70">
        <f>35000</f>
        <v>35000</v>
      </c>
      <c r="H80" s="70">
        <f>3673187.57192174</f>
        <v>3673187.5719217402</v>
      </c>
    </row>
    <row r="81" spans="2:8" x14ac:dyDescent="0.3">
      <c r="B81" s="41" t="s">
        <v>9</v>
      </c>
      <c r="C81" s="66">
        <f>50000</f>
        <v>50000</v>
      </c>
      <c r="E81" s="41" t="s">
        <v>23</v>
      </c>
      <c r="F81" s="41">
        <f>9.5</f>
        <v>9.5</v>
      </c>
      <c r="G81" s="70">
        <f>62000</f>
        <v>62000</v>
      </c>
      <c r="H81" s="70">
        <f>2575604.14269275</f>
        <v>2575604.1426927499</v>
      </c>
    </row>
    <row r="82" spans="2:8" x14ac:dyDescent="0.3">
      <c r="B82" s="41" t="s">
        <v>10</v>
      </c>
      <c r="C82" s="66">
        <f>135609</f>
        <v>135609</v>
      </c>
      <c r="E82" s="41" t="s">
        <v>24</v>
      </c>
      <c r="F82" s="41">
        <f>9.5</f>
        <v>9.5</v>
      </c>
      <c r="G82" s="70">
        <f>55000</f>
        <v>55000</v>
      </c>
      <c r="H82" s="70">
        <f>2284810.12658227</f>
        <v>2284810.12658227</v>
      </c>
    </row>
    <row r="83" spans="2:8" x14ac:dyDescent="0.3">
      <c r="B83" s="41" t="s">
        <v>11</v>
      </c>
      <c r="C83" s="66">
        <f>261528.834960521</f>
        <v>261528.834960521</v>
      </c>
      <c r="E83" s="41" t="s">
        <v>17</v>
      </c>
      <c r="F83" s="41">
        <f>9.5</f>
        <v>9.5</v>
      </c>
      <c r="G83" s="70">
        <f>48000</f>
        <v>48000</v>
      </c>
      <c r="H83" s="70">
        <f>1994016.1104718</f>
        <v>1994016.1104718</v>
      </c>
    </row>
    <row r="84" spans="2:8" x14ac:dyDescent="0.3">
      <c r="B84" s="41" t="s">
        <v>12</v>
      </c>
      <c r="C84" s="66">
        <f>134906.811804733</f>
        <v>134906.81180473301</v>
      </c>
      <c r="E84" s="41" t="s">
        <v>18</v>
      </c>
      <c r="F84" s="41">
        <f>9.5</f>
        <v>9.5</v>
      </c>
      <c r="G84" s="70">
        <f>45000</f>
        <v>45000</v>
      </c>
      <c r="H84" s="70">
        <f>1869390.10356731</f>
        <v>1869390.1035673099</v>
      </c>
    </row>
    <row r="85" spans="2:8" x14ac:dyDescent="0.3">
      <c r="B85" s="41" t="s">
        <v>13</v>
      </c>
      <c r="C85" s="66">
        <f>55628.3158409288</f>
        <v>55628.315840928801</v>
      </c>
      <c r="E85" s="41" t="s">
        <v>26</v>
      </c>
      <c r="F85" s="41">
        <f>9.5</f>
        <v>9.5</v>
      </c>
      <c r="G85" s="70">
        <f>35000</f>
        <v>35000</v>
      </c>
      <c r="H85" s="70">
        <f>1453970.08055235</f>
        <v>1453970.08055235</v>
      </c>
    </row>
    <row r="86" spans="2:8" x14ac:dyDescent="0.3">
      <c r="B86" s="41" t="s">
        <v>14</v>
      </c>
      <c r="C86" s="66">
        <f>694270.417695183</f>
        <v>694270.41769518296</v>
      </c>
      <c r="E86" s="41" t="s">
        <v>27</v>
      </c>
      <c r="F86" s="41">
        <f>36</f>
        <v>36</v>
      </c>
      <c r="G86" s="70">
        <f>28000</f>
        <v>28000</v>
      </c>
      <c r="H86" s="70">
        <f>4407825.08630609</f>
        <v>4407825.0863060895</v>
      </c>
    </row>
    <row r="87" spans="2:8" x14ac:dyDescent="0.3">
      <c r="B87" s="41" t="s">
        <v>15</v>
      </c>
      <c r="C87" s="66">
        <f>242636.104578221</f>
        <v>242636.10457822101</v>
      </c>
      <c r="E87" s="41" t="s">
        <v>21</v>
      </c>
      <c r="F87" s="41">
        <f>9.5</f>
        <v>9.5</v>
      </c>
      <c r="G87" s="70">
        <f>36000</f>
        <v>36000</v>
      </c>
      <c r="H87" s="70">
        <f>1495512.08285385</f>
        <v>1495512.08285385</v>
      </c>
    </row>
    <row r="88" spans="2:8" x14ac:dyDescent="0.3">
      <c r="B88" s="41" t="s">
        <v>16</v>
      </c>
      <c r="C88" s="66">
        <f>124201.635060907</f>
        <v>124201.63506090701</v>
      </c>
      <c r="E88" s="41" t="s">
        <v>87</v>
      </c>
      <c r="F88" s="41">
        <f>0</f>
        <v>0</v>
      </c>
      <c r="G88" s="70">
        <f>22000</f>
        <v>22000</v>
      </c>
      <c r="H88" s="70">
        <f>0</f>
        <v>0</v>
      </c>
    </row>
    <row r="89" spans="2:8" x14ac:dyDescent="0.3">
      <c r="B89" s="93" t="s">
        <v>312</v>
      </c>
      <c r="C89" s="121">
        <f>SUM(C74:C88)</f>
        <v>4991382.5190292746</v>
      </c>
      <c r="E89" s="93" t="s">
        <v>312</v>
      </c>
      <c r="F89" s="41"/>
      <c r="G89" s="41"/>
      <c r="H89" s="122">
        <f>SUM(H74:H88)</f>
        <v>24831185.270425711</v>
      </c>
    </row>
    <row r="91" spans="2:8" x14ac:dyDescent="0.3">
      <c r="B91" s="128" t="s">
        <v>316</v>
      </c>
      <c r="C91" s="128"/>
    </row>
    <row r="92" spans="2:8" x14ac:dyDescent="0.3">
      <c r="B92" s="93" t="s">
        <v>317</v>
      </c>
      <c r="C92" s="121">
        <f>C89</f>
        <v>4991382.5190292746</v>
      </c>
    </row>
    <row r="93" spans="2:8" x14ac:dyDescent="0.3">
      <c r="B93" s="93" t="s">
        <v>318</v>
      </c>
      <c r="C93" s="122">
        <f>H89</f>
        <v>24831185.270425711</v>
      </c>
    </row>
  </sheetData>
  <mergeCells count="10">
    <mergeCell ref="B72:C72"/>
    <mergeCell ref="E72:H72"/>
    <mergeCell ref="B91:C91"/>
    <mergeCell ref="B54:E54"/>
    <mergeCell ref="B39:C39"/>
    <mergeCell ref="B2:S2"/>
    <mergeCell ref="B3:S3"/>
    <mergeCell ref="B10:F10"/>
    <mergeCell ref="B30:N30"/>
    <mergeCell ref="B31:N31"/>
  </mergeCells>
  <conditionalFormatting sqref="B8:M8">
    <cfRule type="expression" dxfId="4" priority="1" stopIfTrue="1">
      <formula>"ISNUMBER(SEARCH(""ROJO"",$C$8))"</formula>
    </cfRule>
    <cfRule type="expression" dxfId="3" priority="2" stopIfTrue="1">
      <formula>"ISNUMBER(SEARCH(""AMARILLO"",$C$8))"</formula>
    </cfRule>
    <cfRule type="expression" dxfId="2" priority="3" stopIfTrue="1">
      <formula>"ISNUMBER(SEARCH(""VERDE"",$C$8))"</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12AE-6A30-45CF-BB08-938C151711B8}">
  <sheetPr>
    <tabColor rgb="FF5A3C8C"/>
  </sheetPr>
  <dimension ref="B2:N45"/>
  <sheetViews>
    <sheetView showGridLines="0" workbookViewId="0"/>
  </sheetViews>
  <sheetFormatPr baseColWidth="10" defaultRowHeight="14.4" x14ac:dyDescent="0.3"/>
  <cols>
    <col min="3" max="3" width="16.77734375" customWidth="1"/>
    <col min="5" max="5" width="26.77734375" customWidth="1"/>
    <col min="6" max="6" width="20.77734375" customWidth="1"/>
  </cols>
  <sheetData>
    <row r="2" spans="2:14" ht="18" x14ac:dyDescent="0.35">
      <c r="B2" s="123" t="s">
        <v>221</v>
      </c>
      <c r="C2" s="123"/>
      <c r="D2" s="123"/>
      <c r="E2" s="123"/>
      <c r="F2" s="123"/>
      <c r="G2" s="123"/>
      <c r="H2" s="123"/>
      <c r="I2" s="123"/>
      <c r="J2" s="123"/>
      <c r="K2" s="123"/>
      <c r="L2" s="123"/>
      <c r="M2" s="123"/>
      <c r="N2" s="123"/>
    </row>
    <row r="4" spans="2:14" ht="15.6" x14ac:dyDescent="0.3">
      <c r="B4" s="46" t="s">
        <v>222</v>
      </c>
      <c r="C4" s="90" t="str">
        <f>'Sites Master'!$B$2</f>
        <v>Site 01</v>
      </c>
    </row>
    <row r="6" spans="2:14" x14ac:dyDescent="0.3">
      <c r="B6" s="125"/>
      <c r="C6" s="125"/>
      <c r="E6" s="125" t="s">
        <v>229</v>
      </c>
      <c r="F6" s="125"/>
    </row>
    <row r="7" spans="2:14" x14ac:dyDescent="0.3">
      <c r="B7" s="93" t="s">
        <v>140</v>
      </c>
      <c r="C7" s="41" t="str">
        <f>INDEX('Sites Master'!$A$2:$A$16,MATCH($C$4,'Sites Master'!$B$2:$B$16,0))</f>
        <v>Mexico</v>
      </c>
      <c r="E7" s="93" t="s">
        <v>150</v>
      </c>
      <c r="F7" s="89">
        <f>INDEX('02_SCHEDULE'!$R$5:$R$19,MATCH($C$4,'02_SCHEDULE'!$P$5:$P$19,0))</f>
        <v>16</v>
      </c>
    </row>
    <row r="8" spans="2:14" x14ac:dyDescent="0.3">
      <c r="B8" s="93" t="s">
        <v>1</v>
      </c>
      <c r="C8" s="89">
        <f>INDEX('Sites Master'!$C$2:$C$16,MATCH($C$4,'Sites Master'!$B$2:$B$16,0))</f>
        <v>2</v>
      </c>
      <c r="E8" s="93" t="s">
        <v>218</v>
      </c>
      <c r="F8" s="88">
        <f>INDEX('02_SCHEDULE'!$S$5:$S$19,MATCH($C$4,'02_SCHEDULE'!$P$5:$P$19,0))</f>
        <v>46251</v>
      </c>
    </row>
    <row r="9" spans="2:14" x14ac:dyDescent="0.3">
      <c r="B9" s="93" t="s">
        <v>223</v>
      </c>
      <c r="C9" s="91">
        <f>INDEX('Sites Master'!$D$2:$D$16,MATCH($C$4,'Sites Master'!$B$2:$B$16,0))</f>
        <v>3.72</v>
      </c>
      <c r="E9" s="93" t="s">
        <v>219</v>
      </c>
      <c r="F9" s="88">
        <f>INDEX('02_SCHEDULE'!$T$5:$T$19,MATCH($C$4,'02_SCHEDULE'!$P$5:$P$19,0))</f>
        <v>46362</v>
      </c>
    </row>
    <row r="10" spans="2:14" x14ac:dyDescent="0.3">
      <c r="B10" s="93" t="s">
        <v>224</v>
      </c>
      <c r="C10" s="91">
        <f>INDEX('Sites Master'!$E$2:$E$16,MATCH($C$4,'Sites Master'!$B$2:$B$16,0))</f>
        <v>1.43</v>
      </c>
      <c r="E10" s="93" t="s">
        <v>230</v>
      </c>
      <c r="F10" s="66">
        <f>INDEX('04_COSTS'!$H$7:$H$21,MATCH($C$4,'04_COSTS'!$B$7:$B$21,0))</f>
        <v>99060.080379552397</v>
      </c>
    </row>
    <row r="11" spans="2:14" x14ac:dyDescent="0.3">
      <c r="B11" s="93" t="s">
        <v>225</v>
      </c>
      <c r="C11" s="92">
        <f>INDEX('Sites Master'!$F$2:$F$16,MATCH($C$4,'Sites Master'!$B$2:$B$16,0))</f>
        <v>6400</v>
      </c>
      <c r="E11" s="93" t="s">
        <v>191</v>
      </c>
      <c r="F11" s="66">
        <f>INDEX('04_COSTS'!$I$7:$I$21,MATCH($C$4,'04_COSTS'!$B$7:$B$21,0))</f>
        <v>18511</v>
      </c>
    </row>
    <row r="12" spans="2:14" x14ac:dyDescent="0.3">
      <c r="B12" s="93" t="s">
        <v>226</v>
      </c>
      <c r="C12" s="89">
        <f>INDEX('Sites Master'!$I$2:$I$16,MATCH($C$4,'Sites Master'!$B$2:$B$16,0))</f>
        <v>1</v>
      </c>
      <c r="E12" s="93" t="s">
        <v>231</v>
      </c>
      <c r="F12" s="71">
        <f>IFERROR(F10/F11,"N/A")</f>
        <v>5.3514170158042456</v>
      </c>
    </row>
    <row r="13" spans="2:14" x14ac:dyDescent="0.3">
      <c r="B13" s="93" t="s">
        <v>227</v>
      </c>
      <c r="C13" s="92">
        <f>INDEX('Sites Master'!$J$2:$J$16,MATCH($C$4,'Sites Master'!$B$2:$B$16,0))</f>
        <v>9100</v>
      </c>
      <c r="E13" s="93" t="s">
        <v>177</v>
      </c>
      <c r="F13" s="71">
        <f>INDEX('03_RESOURCES'!$D$178:$D$192,MATCH($C$4,'03_RESOURCES'!$B$178:$B$192,0))</f>
        <v>92</v>
      </c>
    </row>
    <row r="14" spans="2:14" x14ac:dyDescent="0.3">
      <c r="B14" s="93" t="s">
        <v>48</v>
      </c>
      <c r="C14" s="41" t="str">
        <f>INDEX('Sites Master'!$N$2:$N$16,MATCH($C$4,'Sites Master'!$B$2:$B$16,0))</f>
        <v>No</v>
      </c>
    </row>
    <row r="15" spans="2:14" x14ac:dyDescent="0.3">
      <c r="B15" s="93" t="s">
        <v>228</v>
      </c>
      <c r="C15" s="63">
        <f>INDEX('Sites Master'!$R$2:$R$16,MATCH($C$4,'Sites Master'!$B$2:$B$16,0))</f>
        <v>0.85</v>
      </c>
    </row>
    <row r="16" spans="2:14" x14ac:dyDescent="0.3">
      <c r="B16" s="93" t="s">
        <v>53</v>
      </c>
      <c r="C16" s="89">
        <f>INDEX('Sites Master'!$S$2:$S$16,MATCH($C$4,'Sites Master'!$B$2:$B$16,0))</f>
        <v>15</v>
      </c>
    </row>
    <row r="18" spans="2:3" x14ac:dyDescent="0.3">
      <c r="B18" s="125" t="s">
        <v>232</v>
      </c>
      <c r="C18" s="125"/>
    </row>
    <row r="19" spans="2:3" x14ac:dyDescent="0.3">
      <c r="B19" s="39" t="s">
        <v>134</v>
      </c>
      <c r="C19" s="39" t="s">
        <v>164</v>
      </c>
    </row>
    <row r="20" spans="2:3" x14ac:dyDescent="0.3">
      <c r="B20" s="41" t="str">
        <f>'01_INPUTS'!$B$17</f>
        <v>Solution Architect</v>
      </c>
      <c r="C20" s="71">
        <f>SUMIFS('03_RESOURCES'!$AG$3:$AG$870,'03_RESOURCES'!$AA$3:$AA$870,$C$4,'03_RESOURCES'!$AC$3:$AC$870,B20)</f>
        <v>6</v>
      </c>
    </row>
    <row r="21" spans="2:3" x14ac:dyDescent="0.3">
      <c r="B21" s="41" t="str">
        <f>'01_INPUTS'!$B$18</f>
        <v>Warehouse Manager Org A</v>
      </c>
      <c r="C21" s="71">
        <f>SUMIFS('03_RESOURCES'!$AG$3:$AG$870,'03_RESOURCES'!$AA$3:$AA$870,$C$4,'03_RESOURCES'!$AC$3:$AC$870,B21)</f>
        <v>0</v>
      </c>
    </row>
    <row r="22" spans="2:3" x14ac:dyDescent="0.3">
      <c r="B22" s="41" t="str">
        <f>'01_INPUTS'!$B$19</f>
        <v>Project Manager Country B</v>
      </c>
      <c r="C22" s="71">
        <f>SUMIFS('03_RESOURCES'!$AG$3:$AG$870,'03_RESOURCES'!$AA$3:$AA$870,$C$4,'03_RESOURCES'!$AC$3:$AC$870,B22)</f>
        <v>0</v>
      </c>
    </row>
    <row r="23" spans="2:3" x14ac:dyDescent="0.3">
      <c r="B23" s="41" t="str">
        <f>'01_INPUTS'!$B$20</f>
        <v>Project Manager Country A</v>
      </c>
      <c r="C23" s="71">
        <f>SUMIFS('03_RESOURCES'!$AG$3:$AG$870,'03_RESOURCES'!$AA$3:$AA$870,$C$4,'03_RESOURCES'!$AC$3:$AC$870,B23)</f>
        <v>0</v>
      </c>
    </row>
    <row r="24" spans="2:3" x14ac:dyDescent="0.3">
      <c r="B24" s="41" t="str">
        <f>'01_INPUTS'!$B$21</f>
        <v>Change Management Lead</v>
      </c>
      <c r="C24" s="71">
        <f>SUMIFS('03_RESOURCES'!$AG$3:$AG$870,'03_RESOURCES'!$AA$3:$AA$870,$C$4,'03_RESOURCES'!$AC$3:$AC$870,B24)</f>
        <v>11</v>
      </c>
    </row>
    <row r="25" spans="2:3" x14ac:dyDescent="0.3">
      <c r="B25" s="41" t="str">
        <f>'01_INPUTS'!$B$22</f>
        <v>Infrastructure Lead</v>
      </c>
      <c r="C25" s="71">
        <f>SUMIFS('03_RESOURCES'!$AG$3:$AG$870,'03_RESOURCES'!$AA$3:$AA$870,$C$4,'03_RESOURCES'!$AC$3:$AC$870,B25)</f>
        <v>10</v>
      </c>
    </row>
    <row r="26" spans="2:3" x14ac:dyDescent="0.3">
      <c r="B26" s="41" t="str">
        <f>'01_INPUTS'!$B$23</f>
        <v>Functional Lead</v>
      </c>
      <c r="C26" s="71">
        <f>SUMIFS('03_RESOURCES'!$AG$3:$AG$870,'03_RESOURCES'!$AA$3:$AA$870,$C$4,'03_RESOURCES'!$AC$3:$AC$870,B26)</f>
        <v>14</v>
      </c>
    </row>
    <row r="27" spans="2:3" x14ac:dyDescent="0.3">
      <c r="B27" s="41" t="str">
        <f>'01_INPUTS'!$B$24</f>
        <v>SAP Integrations Lead</v>
      </c>
      <c r="C27" s="71">
        <f>SUMIFS('03_RESOURCES'!$AG$3:$AG$870,'03_RESOURCES'!$AA$3:$AA$870,$C$4,'03_RESOURCES'!$AC$3:$AC$870,B27)</f>
        <v>7</v>
      </c>
    </row>
    <row r="28" spans="2:3" x14ac:dyDescent="0.3">
      <c r="B28" s="41" t="str">
        <f>'01_INPUTS'!$B$25</f>
        <v>SAP Integrations Specialist</v>
      </c>
      <c r="C28" s="71">
        <f>SUMIFS('03_RESOURCES'!$AG$3:$AG$870,'03_RESOURCES'!$AA$3:$AA$870,$C$4,'03_RESOURCES'!$AC$3:$AC$870,B28)</f>
        <v>5</v>
      </c>
    </row>
    <row r="29" spans="2:3" x14ac:dyDescent="0.3">
      <c r="B29" s="41" t="str">
        <f>'01_INPUTS'!$B$26</f>
        <v>Azure Lead</v>
      </c>
      <c r="C29" s="71">
        <f>SUMIFS('03_RESOURCES'!$AG$3:$AG$870,'03_RESOURCES'!$AA$3:$AA$870,$C$4,'03_RESOURCES'!$AC$3:$AC$870,B29)</f>
        <v>5.75</v>
      </c>
    </row>
    <row r="30" spans="2:3" x14ac:dyDescent="0.3">
      <c r="B30" s="41" t="str">
        <f>'01_INPUTS'!$B$27</f>
        <v>Azure Specialist</v>
      </c>
      <c r="C30" s="71">
        <f>SUMIFS('03_RESOURCES'!$AG$3:$AG$870,'03_RESOURCES'!$AA$3:$AA$870,$C$4,'03_RESOURCES'!$AC$3:$AC$870,B30)</f>
        <v>5.75</v>
      </c>
    </row>
    <row r="31" spans="2:3" x14ac:dyDescent="0.3">
      <c r="B31" s="41" t="str">
        <f>'01_INPUTS'!$B$28</f>
        <v>Testing Lead</v>
      </c>
      <c r="C31" s="71">
        <f>SUMIFS('03_RESOURCES'!$AG$3:$AG$870,'03_RESOURCES'!$AA$3:$AA$870,$C$4,'03_RESOURCES'!$AC$3:$AC$870,B31)</f>
        <v>2.5</v>
      </c>
    </row>
    <row r="32" spans="2:3" x14ac:dyDescent="0.3">
      <c r="B32" s="41" t="str">
        <f>'01_INPUTS'!$B$29</f>
        <v>Trainers</v>
      </c>
      <c r="C32" s="71">
        <f>SUMIFS('03_RESOURCES'!$AG$3:$AG$870,'03_RESOURCES'!$AA$3:$AA$870,$C$4,'03_RESOURCES'!$AC$3:$AC$870,B32)</f>
        <v>20</v>
      </c>
    </row>
    <row r="33" spans="2:11" x14ac:dyDescent="0.3">
      <c r="B33" s="41" t="str">
        <f>'01_INPUTS'!$B$30</f>
        <v>Functional Lead Vendor A</v>
      </c>
      <c r="C33" s="71">
        <f>SUMIFS('03_RESOURCES'!$AG$3:$AG$870,'03_RESOURCES'!$AA$3:$AA$870,$C$4,'03_RESOURCES'!$AC$3:$AC$870,B33)</f>
        <v>5</v>
      </c>
    </row>
    <row r="34" spans="2:11" x14ac:dyDescent="0.3">
      <c r="B34" s="41" t="str">
        <f>'01_INPUTS'!$B$31</f>
        <v>Support Lead</v>
      </c>
      <c r="C34" s="71">
        <f>SUMIFS('03_RESOURCES'!$AG$3:$AG$870,'03_RESOURCES'!$AA$3:$AA$870,$C$4,'03_RESOURCES'!$AC$3:$AC$870,B34)</f>
        <v>0</v>
      </c>
    </row>
    <row r="36" spans="2:11" x14ac:dyDescent="0.3">
      <c r="E36" s="125" t="s">
        <v>233</v>
      </c>
      <c r="F36" s="125"/>
      <c r="G36" s="125"/>
      <c r="H36" s="125"/>
      <c r="I36" s="125"/>
      <c r="K36" s="51" t="s">
        <v>235</v>
      </c>
    </row>
    <row r="37" spans="2:11" ht="28.8" x14ac:dyDescent="0.3">
      <c r="E37" s="40" t="s">
        <v>148</v>
      </c>
      <c r="F37" s="40" t="s">
        <v>234</v>
      </c>
      <c r="G37" s="40" t="s">
        <v>217</v>
      </c>
      <c r="H37" s="40" t="s">
        <v>218</v>
      </c>
      <c r="I37" s="40" t="s">
        <v>219</v>
      </c>
      <c r="K37" s="51">
        <f>MATCH($C$4,'02_SCHEDULE'!$B$5:$B$124,0)+4</f>
        <v>5</v>
      </c>
    </row>
    <row r="38" spans="2:11" x14ac:dyDescent="0.3">
      <c r="E38" s="41" t="str" cm="1">
        <f t="array" ref="E38">INDEX('02_SCHEDULE'!$F$5:$F$124,$K37+0-5+1)</f>
        <v>Site Readiness</v>
      </c>
      <c r="F38" s="89">
        <f t="shared" ref="F38:F45" si="0">H38-$H$38</f>
        <v>0</v>
      </c>
      <c r="G38" s="89" cm="1">
        <f t="array" ref="G38">INDEX('02_SCHEDULE'!$H$5:$H$124,$K37+0-5+1)*7</f>
        <v>28</v>
      </c>
      <c r="H38" s="88" cm="1">
        <f t="array" ref="H38">INDEX('02_SCHEDULE'!$I$5:$I$124,$K37+0-5+1)</f>
        <v>46251</v>
      </c>
      <c r="I38" s="88" cm="1">
        <f t="array" ref="I38">INDEX('02_SCHEDULE'!$J$5:$J$124,$K37+0-5+1)</f>
        <v>46278</v>
      </c>
    </row>
    <row r="39" spans="2:11" x14ac:dyDescent="0.3">
      <c r="E39" s="41" t="str" cm="1">
        <f t="array" ref="E39">INDEX('02_SCHEDULE'!$F$5:$F$124,$K37+1-5+1)</f>
        <v>Design Adaptation</v>
      </c>
      <c r="F39" s="89">
        <f t="shared" si="0"/>
        <v>28</v>
      </c>
      <c r="G39" s="89" cm="1">
        <f t="array" ref="G39">INDEX('02_SCHEDULE'!$H$5:$H$124,$K37+1-5+1)*7</f>
        <v>7</v>
      </c>
      <c r="H39" s="88" cm="1">
        <f t="array" ref="H39">INDEX('02_SCHEDULE'!$I$5:$I$124,$K37+1-5+1)</f>
        <v>46279</v>
      </c>
      <c r="I39" s="88" cm="1">
        <f t="array" ref="I39">INDEX('02_SCHEDULE'!$J$5:$J$124,$K37+1-5+1)</f>
        <v>46285</v>
      </c>
    </row>
    <row r="40" spans="2:11" x14ac:dyDescent="0.3">
      <c r="E40" s="41" t="str" cm="1">
        <f t="array" ref="E40">INDEX('02_SCHEDULE'!$F$5:$F$124,$K37+2-5+1)</f>
        <v>Functional Review</v>
      </c>
      <c r="F40" s="89">
        <f t="shared" si="0"/>
        <v>35</v>
      </c>
      <c r="G40" s="89" cm="1">
        <f t="array" ref="G40">INDEX('02_SCHEDULE'!$H$5:$H$124,$K37+2-5+1)*7</f>
        <v>7</v>
      </c>
      <c r="H40" s="88" cm="1">
        <f t="array" ref="H40">INDEX('02_SCHEDULE'!$I$5:$I$124,$K37+2-5+1)</f>
        <v>46286</v>
      </c>
      <c r="I40" s="88" cm="1">
        <f t="array" ref="I40">INDEX('02_SCHEDULE'!$J$5:$J$124,$K37+2-5+1)</f>
        <v>46292</v>
      </c>
    </row>
    <row r="41" spans="2:11" x14ac:dyDescent="0.3">
      <c r="E41" s="41" t="str" cm="1">
        <f t="array" ref="E41">INDEX('02_SCHEDULE'!$F$5:$F$124,$K37+3-5+1)</f>
        <v>UAT</v>
      </c>
      <c r="F41" s="89">
        <f t="shared" si="0"/>
        <v>42</v>
      </c>
      <c r="G41" s="89" cm="1">
        <f t="array" ref="G41">INDEX('02_SCHEDULE'!$H$5:$H$124,$K37+3-5+1)*7</f>
        <v>14</v>
      </c>
      <c r="H41" s="88" cm="1">
        <f t="array" ref="H41">INDEX('02_SCHEDULE'!$I$5:$I$124,$K37+3-5+1)</f>
        <v>46293</v>
      </c>
      <c r="I41" s="88" cm="1">
        <f t="array" ref="I41">INDEX('02_SCHEDULE'!$J$5:$J$124,$K37+3-5+1)</f>
        <v>46306</v>
      </c>
    </row>
    <row r="42" spans="2:11" x14ac:dyDescent="0.3">
      <c r="E42" s="41" t="str" cm="1">
        <f t="array" ref="E42">INDEX('02_SCHEDULE'!$F$5:$F$124,$K37+4-5+1)</f>
        <v>Training</v>
      </c>
      <c r="F42" s="89">
        <f t="shared" si="0"/>
        <v>56</v>
      </c>
      <c r="G42" s="89" cm="1">
        <f t="array" ref="G42">INDEX('02_SCHEDULE'!$H$5:$H$124,$K37+4-5+1)*7</f>
        <v>14</v>
      </c>
      <c r="H42" s="88" cm="1">
        <f t="array" ref="H42">INDEX('02_SCHEDULE'!$I$5:$I$124,$K37+4-5+1)</f>
        <v>46307</v>
      </c>
      <c r="I42" s="88" cm="1">
        <f t="array" ref="I42">INDEX('02_SCHEDULE'!$J$5:$J$124,$K37+4-5+1)</f>
        <v>46320</v>
      </c>
    </row>
    <row r="43" spans="2:11" x14ac:dyDescent="0.3">
      <c r="E43" s="41" t="str" cm="1">
        <f t="array" ref="E43">INDEX('02_SCHEDULE'!$F$5:$F$124,$K37+5-5+1)</f>
        <v>DIALT</v>
      </c>
      <c r="F43" s="89">
        <f t="shared" si="0"/>
        <v>70</v>
      </c>
      <c r="G43" s="89" cm="1">
        <f t="array" ref="G43">INDEX('02_SCHEDULE'!$H$5:$H$124,$K37+5-5+1)*7</f>
        <v>7</v>
      </c>
      <c r="H43" s="88" cm="1">
        <f t="array" ref="H43">INDEX('02_SCHEDULE'!$I$5:$I$124,$K37+5-5+1)</f>
        <v>46321</v>
      </c>
      <c r="I43" s="88" cm="1">
        <f t="array" ref="I43">INDEX('02_SCHEDULE'!$J$5:$J$124,$K37+5-5+1)</f>
        <v>46327</v>
      </c>
    </row>
    <row r="44" spans="2:11" x14ac:dyDescent="0.3">
      <c r="E44" s="41" t="str" cm="1">
        <f t="array" ref="E44">INDEX('02_SCHEDULE'!$F$5:$F$124,$K37+6-5+1)</f>
        <v>Go Live</v>
      </c>
      <c r="F44" s="89">
        <f t="shared" si="0"/>
        <v>77</v>
      </c>
      <c r="G44" s="89" cm="1">
        <f t="array" ref="G44">INDEX('02_SCHEDULE'!$H$5:$H$124,$K37+6-5+1)*7</f>
        <v>7</v>
      </c>
      <c r="H44" s="88" cm="1">
        <f t="array" ref="H44">INDEX('02_SCHEDULE'!$I$5:$I$124,$K37+6-5+1)</f>
        <v>46328</v>
      </c>
      <c r="I44" s="88" cm="1">
        <f t="array" ref="I44">INDEX('02_SCHEDULE'!$J$5:$J$124,$K37+6-5+1)</f>
        <v>46334</v>
      </c>
    </row>
    <row r="45" spans="2:11" x14ac:dyDescent="0.3">
      <c r="E45" s="41" t="str" cm="1">
        <f t="array" ref="E45">INDEX('02_SCHEDULE'!$F$5:$F$124,$K37+7-5+1)</f>
        <v>Hypercare</v>
      </c>
      <c r="F45" s="89">
        <f t="shared" si="0"/>
        <v>84</v>
      </c>
      <c r="G45" s="89" cm="1">
        <f t="array" ref="G45">INDEX('02_SCHEDULE'!$H$5:$H$124,$K37+7-5+1)*7</f>
        <v>28</v>
      </c>
      <c r="H45" s="88" cm="1">
        <f t="array" ref="H45">INDEX('02_SCHEDULE'!$I$5:$I$124,$K37+7-5+1)</f>
        <v>46335</v>
      </c>
      <c r="I45" s="88" cm="1">
        <f t="array" ref="I45">INDEX('02_SCHEDULE'!$J$5:$J$124,$K37+7-5+1)</f>
        <v>46362</v>
      </c>
    </row>
  </sheetData>
  <mergeCells count="5">
    <mergeCell ref="B2:N2"/>
    <mergeCell ref="B6:C6"/>
    <mergeCell ref="E6:F6"/>
    <mergeCell ref="B18:C18"/>
    <mergeCell ref="E36:I3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5434DDD-B911-47ED-A055-B43A7330BF85}">
          <x14:formula1>
            <xm:f>'Sites Master'!$B$2:$B$16</xm:f>
          </x14:formula1>
          <xm:sqref>C4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22E5-2489-4268-A4F2-F5DB0A3EC13E}">
  <sheetPr>
    <tabColor rgb="FF1E648C"/>
  </sheetPr>
  <dimension ref="B2:L16"/>
  <sheetViews>
    <sheetView showGridLines="0" workbookViewId="0">
      <pane xSplit="9" ySplit="19" topLeftCell="J20" activePane="bottomRight" state="frozen"/>
      <selection pane="topRight" activeCell="J1" sqref="J1"/>
      <selection pane="bottomLeft" activeCell="A20" sqref="A20"/>
      <selection pane="bottomRight"/>
    </sheetView>
  </sheetViews>
  <sheetFormatPr baseColWidth="10" defaultRowHeight="14.4" x14ac:dyDescent="0.3"/>
  <cols>
    <col min="2" max="2" width="42.77734375" customWidth="1"/>
    <col min="3" max="11" width="15.77734375" customWidth="1"/>
    <col min="12" max="12" width="16.77734375" customWidth="1"/>
  </cols>
  <sheetData>
    <row r="2" spans="2:12" ht="18" x14ac:dyDescent="0.35">
      <c r="B2" s="123" t="s">
        <v>236</v>
      </c>
      <c r="C2" s="123"/>
      <c r="D2" s="123"/>
      <c r="E2" s="123"/>
      <c r="F2" s="123"/>
      <c r="G2" s="123"/>
      <c r="H2" s="123"/>
      <c r="I2" s="123"/>
      <c r="J2" s="123"/>
      <c r="K2" s="123"/>
    </row>
    <row r="3" spans="2:12" x14ac:dyDescent="0.3">
      <c r="B3" s="127" t="s">
        <v>237</v>
      </c>
      <c r="C3" s="127"/>
      <c r="D3" s="127"/>
      <c r="E3" s="127"/>
      <c r="F3" s="127"/>
      <c r="G3" s="127"/>
      <c r="H3" s="127"/>
      <c r="I3" s="127"/>
      <c r="J3" s="127"/>
      <c r="K3" s="127"/>
    </row>
    <row r="5" spans="2:12" ht="43.2" x14ac:dyDescent="0.3">
      <c r="B5" s="40" t="s">
        <v>238</v>
      </c>
      <c r="C5" s="40" t="s">
        <v>90</v>
      </c>
      <c r="D5" s="40" t="s">
        <v>239</v>
      </c>
      <c r="E5" s="40" t="s">
        <v>240</v>
      </c>
      <c r="F5" s="40" t="s">
        <v>241</v>
      </c>
      <c r="G5" s="40" t="s">
        <v>191</v>
      </c>
      <c r="H5" s="40" t="s">
        <v>242</v>
      </c>
      <c r="I5" s="40" t="s">
        <v>243</v>
      </c>
      <c r="J5" s="40" t="s">
        <v>244</v>
      </c>
      <c r="K5" s="40" t="s">
        <v>245</v>
      </c>
      <c r="L5" s="40" t="s">
        <v>283</v>
      </c>
    </row>
    <row r="6" spans="2:12" x14ac:dyDescent="0.3">
      <c r="B6" s="94" t="str">
        <f>"ESCENARIO ACTUAL (en vivo): "&amp;'01_INPUTS'!$C$6</f>
        <v>ESCENARIO ACTUAL (en vivo): Escenario Base</v>
      </c>
      <c r="C6" s="94" t="str">
        <f>'01_INPUTS'!$C$8</f>
        <v>A</v>
      </c>
      <c r="D6" s="94" t="str">
        <f>"Fuente:"&amp;'01_INPUTS'!$C$10&amp;" | Max.Paralelo:"&amp;'01_INPUTS'!$C$9&amp;" | Etiquetado:"&amp;'01_INPUTS'!$C$11&amp;" | WiFi:"&amp;'01_INPUTS'!$C$12</f>
        <v>Fuente:Actual | Max.Paralelo:3 | Etiquetado:Label Printers / Labelers | WiFi:WiFi Full</v>
      </c>
      <c r="E6" s="95">
        <f>'02_SCHEDULE'!$E$3</f>
        <v>19.792865362485617</v>
      </c>
      <c r="F6" s="96">
        <f>'04_COSTS'!$C$44</f>
        <v>9768847.6582520753</v>
      </c>
      <c r="G6" s="96">
        <f>'04_COSTS'!$C$46</f>
        <v>704202</v>
      </c>
      <c r="H6" s="95">
        <f>'04_COSTS'!$C$47</f>
        <v>13.872223677655098</v>
      </c>
      <c r="I6" s="94" t="str">
        <f>'02_SCHEDULE'!$K$3</f>
        <v>NO CUMPLE</v>
      </c>
      <c r="J6" s="94">
        <f>COUNTIF('03_RESOURCES'!$C$207:$C$221,"&gt;1")</f>
        <v>11</v>
      </c>
      <c r="K6" s="94" t="str">
        <f>'03_RESOURCES'!$C$223&amp;" ("&amp;TEXT('03_RESOURCES'!$E$223,"0%")&amp;")"</f>
        <v>Trainers (900%)</v>
      </c>
      <c r="L6" s="104">
        <f>'04_COSTS'!$C$45</f>
        <v>13795627.157652473</v>
      </c>
    </row>
    <row r="7" spans="2:12" x14ac:dyDescent="0.3">
      <c r="B7" s="105" t="str">
        <f>"ESCENARIO OPTIMO (busqueda: 54 combinaciones evaluadas)"</f>
        <v>ESCENARIO OPTIMO (busqueda: 54 combinaciones evaluadas)</v>
      </c>
      <c r="C7" s="105" t="str">
        <f>"A"</f>
        <v>A</v>
      </c>
      <c r="D7" s="105" t="str">
        <f>"Fuente:Actual+ajuste manual (headcount minimo sin sobrecarga) | Max.Paralelo:15 | Etiquetado:Manual Labeling | WiFi:WiFi Prioritized"</f>
        <v>Fuente:Actual+ajuste manual (headcount minimo sin sobrecarga) | Max.Paralelo:15 | Etiquetado:Manual Labeling | WiFi:WiFi Prioritized</v>
      </c>
      <c r="E7" s="106">
        <f>4.37284234752589</f>
        <v>4.3728423475258902</v>
      </c>
      <c r="F7" s="107">
        <f>4991382.51902928</f>
        <v>4991382.5190292802</v>
      </c>
      <c r="G7" s="107">
        <f>704202</f>
        <v>704202</v>
      </c>
      <c r="H7" s="106">
        <f>7.08799821504239</f>
        <v>7.0879982150423899</v>
      </c>
      <c r="I7" s="105" t="str">
        <f>"CUMPLE"</f>
        <v>CUMPLE</v>
      </c>
      <c r="J7" s="108">
        <f>0</f>
        <v>0</v>
      </c>
      <c r="K7" s="105" t="str">
        <f>"Solution Architect (100%)"</f>
        <v>Solution Architect (100%)</v>
      </c>
      <c r="L7" s="109">
        <f>24831185.2704258</f>
        <v>24831185.2704258</v>
      </c>
    </row>
    <row r="8" spans="2:12" x14ac:dyDescent="0.3">
      <c r="B8" s="97" t="s">
        <v>246</v>
      </c>
      <c r="C8" s="98"/>
      <c r="D8" s="98"/>
      <c r="E8" s="99"/>
      <c r="F8" s="100"/>
      <c r="G8" s="100"/>
      <c r="H8" s="99"/>
      <c r="I8" s="98"/>
      <c r="J8" s="98"/>
      <c r="K8" s="98"/>
      <c r="L8" s="70"/>
    </row>
    <row r="9" spans="2:12" x14ac:dyDescent="0.3">
      <c r="B9" s="97" t="s">
        <v>246</v>
      </c>
      <c r="C9" s="98"/>
      <c r="D9" s="98"/>
      <c r="E9" s="99"/>
      <c r="F9" s="100"/>
      <c r="G9" s="100"/>
      <c r="H9" s="99"/>
      <c r="I9" s="98"/>
      <c r="J9" s="98"/>
      <c r="K9" s="98"/>
      <c r="L9" s="70"/>
    </row>
    <row r="10" spans="2:12" x14ac:dyDescent="0.3">
      <c r="B10" s="97" t="s">
        <v>246</v>
      </c>
      <c r="C10" s="98"/>
      <c r="D10" s="98"/>
      <c r="E10" s="99"/>
      <c r="F10" s="100"/>
      <c r="G10" s="100"/>
      <c r="H10" s="99"/>
      <c r="I10" s="98"/>
      <c r="J10" s="98"/>
      <c r="K10" s="98"/>
      <c r="L10" s="70"/>
    </row>
    <row r="11" spans="2:12" x14ac:dyDescent="0.3">
      <c r="B11" s="97" t="s">
        <v>246</v>
      </c>
      <c r="C11" s="98"/>
      <c r="D11" s="98"/>
      <c r="E11" s="99"/>
      <c r="F11" s="100"/>
      <c r="G11" s="100"/>
      <c r="H11" s="99"/>
      <c r="I11" s="98"/>
      <c r="J11" s="98"/>
      <c r="K11" s="98"/>
      <c r="L11" s="70"/>
    </row>
    <row r="13" spans="2:12" ht="15.6" x14ac:dyDescent="0.3">
      <c r="B13" s="133" t="s">
        <v>247</v>
      </c>
      <c r="C13" s="125"/>
    </row>
    <row r="14" spans="2:12" x14ac:dyDescent="0.3">
      <c r="B14" t="s">
        <v>248</v>
      </c>
      <c r="C14" s="46" cm="1">
        <f t="array" ref="C14">SUMPRODUCT((ISNUMBER($F$6:$F$11))*($I$6:$I$11="CUMPLE"))</f>
        <v>1</v>
      </c>
    </row>
    <row r="15" spans="2:12" ht="15.6" x14ac:dyDescent="0.3">
      <c r="B15" s="85" t="str">
        <f>IF(C14=0,"NINGUN ESCENARIO CUMPLE EL OBJETIVO DE 8 MESES","Escenario recomendado (cumple 8 meses y menor costo):")</f>
        <v>Escenario recomendado (cumple 8 meses y menor costo):</v>
      </c>
      <c r="C15" s="85" t="str" cm="1">
        <f t="array" ref="C15">IF(C14=0,"Principal cuello de botella (escenario actual): "&amp;'03_RESOURCES'!$C$223&amp;" al "&amp;TEXT('03_RESOURCES'!$E$223,"0%")&amp;" de utilizacion",IFERROR(_xlfn.XLOOKUP(1,($I$6:$I$11="CUMPLE")*($F$6:$F$11=_xlfn.MINIFS($F$6:$F$11,$I$6:$I$11,"CUMPLE")),$B$6:$B$11),"-"))</f>
        <v>ESCENARIO OPTIMO (busqueda: 54 combinaciones evaluadas)</v>
      </c>
    </row>
    <row r="16" spans="2:12" x14ac:dyDescent="0.3">
      <c r="B16" t="s">
        <v>249</v>
      </c>
      <c r="C16" s="101">
        <f>IF(C14=0,"N/A",_xlfn.MINIFS($F$6:$F$11,$I$6:$I$11,"CUMPLE"))</f>
        <v>4991382.5190292802</v>
      </c>
    </row>
  </sheetData>
  <mergeCells count="3">
    <mergeCell ref="B2:K2"/>
    <mergeCell ref="B3:K3"/>
    <mergeCell ref="B13:C13"/>
  </mergeCells>
  <conditionalFormatting sqref="B15:K15">
    <cfRule type="expression" dxfId="1" priority="1" stopIfTrue="1">
      <formula>"$C$14=0"</formula>
    </cfRule>
    <cfRule type="expression" dxfId="0" priority="2" stopIfTrue="1">
      <formula>"$C$14&gt;0"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ENTREGABLES</vt:lpstr>
      <vt:lpstr>Sites Master</vt:lpstr>
      <vt:lpstr>Financials (USD)</vt:lpstr>
      <vt:lpstr>Resource Master</vt:lpstr>
      <vt:lpstr>Implementation Phases</vt:lpstr>
      <vt:lpstr>Phase-Resource Allocation</vt:lpstr>
      <vt:lpstr>00_README</vt:lpstr>
      <vt:lpstr>01_INPUTS</vt:lpstr>
      <vt:lpstr>02_SCHEDULE</vt:lpstr>
      <vt:lpstr>03_RESOURCES</vt:lpstr>
      <vt:lpstr>04_COSTS</vt:lpstr>
      <vt:lpstr>05_DASHBOARD</vt:lpstr>
      <vt:lpstr>06_SITE_VIEW</vt:lpstr>
      <vt:lpstr>07_SCENARIOS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Anonymized</dc:creator>
  <cp:lastModifiedBy>Ruth Garcia Aguilera Maribel</cp:lastModifiedBy>
  <dcterms:created xsi:type="dcterms:W3CDTF">2026-05-14T15:08:56Z</dcterms:created>
  <dcterms:modified xsi:type="dcterms:W3CDTF">2026-08-12T04:23:30Z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2026-05-15T05:28:18Z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e84c5339-aa22-40c4-9f4e-d6501b7e7c73</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ies>
</file>